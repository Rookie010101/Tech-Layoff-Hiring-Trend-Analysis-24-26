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D:\RnW project work\Excel Projects\Practical\"/>
    </mc:Choice>
  </mc:AlternateContent>
  <xr:revisionPtr revIDLastSave="0" documentId="13_ncr:1_{AFB1914E-E948-4ADB-86D5-61DC71A1C6B4}" xr6:coauthVersionLast="47" xr6:coauthVersionMax="47" xr10:uidLastSave="{00000000-0000-0000-0000-000000000000}"/>
  <bookViews>
    <workbookView xWindow="-108" yWindow="-108" windowWidth="23256" windowHeight="12456" activeTab="1" xr2:uid="{7D9AE138-CB3D-48FE-9802-D0BA333DBAF4}"/>
  </bookViews>
  <sheets>
    <sheet name="Dashboard" sheetId="5" r:id="rId1"/>
    <sheet name="Analysis" sheetId="4" r:id="rId2"/>
    <sheet name="Raw_data" sheetId="3" r:id="rId3"/>
  </sheets>
  <definedNames>
    <definedName name="Slicer_indust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22" i="4" l="1"/>
  <c r="I121" i="4"/>
  <c r="I120" i="4"/>
  <c r="I119" i="4"/>
  <c r="F119" i="4"/>
  <c r="L119" i="4"/>
  <c r="L120" i="4" s="1"/>
  <c r="L118" i="4"/>
  <c r="I118" i="4"/>
  <c r="F120" i="4"/>
  <c r="F118" i="4"/>
  <c r="F117" i="4"/>
</calcChain>
</file>

<file path=xl/sharedStrings.xml><?xml version="1.0" encoding="utf-8"?>
<sst xmlns="http://schemas.openxmlformats.org/spreadsheetml/2006/main" count="30033" uniqueCount="3118">
  <si>
    <t>Total Layoffs</t>
  </si>
  <si>
    <t>Company Name</t>
  </si>
  <si>
    <t>AI</t>
  </si>
  <si>
    <t>Cloud</t>
  </si>
  <si>
    <t>Cybersecurity</t>
  </si>
  <si>
    <t>E-Commerce</t>
  </si>
  <si>
    <t>FinTech</t>
  </si>
  <si>
    <t>Gaming</t>
  </si>
  <si>
    <t>Social Media</t>
  </si>
  <si>
    <t>Big Tech</t>
  </si>
  <si>
    <t>Enterprise</t>
  </si>
  <si>
    <t>Mid-size</t>
  </si>
  <si>
    <t>Startup</t>
  </si>
  <si>
    <t>Country</t>
  </si>
  <si>
    <t>Canada</t>
  </si>
  <si>
    <t>Germany</t>
  </si>
  <si>
    <t>India</t>
  </si>
  <si>
    <t>Singapore</t>
  </si>
  <si>
    <t>UK</t>
  </si>
  <si>
    <t>USA</t>
  </si>
  <si>
    <t>AI Replacement Risk</t>
  </si>
  <si>
    <t>AI Automation</t>
  </si>
  <si>
    <t>Overhiring Correction</t>
  </si>
  <si>
    <t>Restructuring</t>
  </si>
  <si>
    <t>Cost Cutting</t>
  </si>
  <si>
    <t>Market Slowdown</t>
  </si>
  <si>
    <t>KPIs</t>
  </si>
  <si>
    <t>Adobe</t>
  </si>
  <si>
    <t>Industry</t>
  </si>
  <si>
    <t>record_id</t>
  </si>
  <si>
    <t>company_name</t>
  </si>
  <si>
    <t>industry</t>
  </si>
  <si>
    <t>country</t>
  </si>
  <si>
    <t>company_size</t>
  </si>
  <si>
    <t>month</t>
  </si>
  <si>
    <t>year</t>
  </si>
  <si>
    <t>layoffs_count</t>
  </si>
  <si>
    <t>layoff_percentage</t>
  </si>
  <si>
    <t>reason_for_layoffs</t>
  </si>
  <si>
    <t>ai_automation_impact</t>
  </si>
  <si>
    <t>ai_replacement_risk</t>
  </si>
  <si>
    <t>open_roles</t>
  </si>
  <si>
    <t>hiring_trend</t>
  </si>
  <si>
    <t>remote_jobs_percentage</t>
  </si>
  <si>
    <t>top_hiring_role</t>
  </si>
  <si>
    <t>stock_growth_percent</t>
  </si>
  <si>
    <t>revenue_growth_percent</t>
  </si>
  <si>
    <t>salary_budget_change</t>
  </si>
  <si>
    <t>ai_adoption_level</t>
  </si>
  <si>
    <t>employee_sentiment</t>
  </si>
  <si>
    <t>job_security_score</t>
  </si>
  <si>
    <t>market_condition</t>
  </si>
  <si>
    <t>T0</t>
  </si>
  <si>
    <t>Microsoft</t>
  </si>
  <si>
    <t>Mar</t>
  </si>
  <si>
    <t>Moderate Hiring</t>
  </si>
  <si>
    <t>ML Engineer</t>
  </si>
  <si>
    <t>Bull Market</t>
  </si>
  <si>
    <t>T1</t>
  </si>
  <si>
    <t>Palantir</t>
  </si>
  <si>
    <t>Feb</t>
  </si>
  <si>
    <t>T2</t>
  </si>
  <si>
    <t>Anthropic</t>
  </si>
  <si>
    <t>Apr</t>
  </si>
  <si>
    <t>Hiring Freeze</t>
  </si>
  <si>
    <t>Frontend Developer</t>
  </si>
  <si>
    <t>Recession</t>
  </si>
  <si>
    <t>T3</t>
  </si>
  <si>
    <t>Spotify</t>
  </si>
  <si>
    <t>Jun</t>
  </si>
  <si>
    <t>T4</t>
  </si>
  <si>
    <t>Uber</t>
  </si>
  <si>
    <t>T5</t>
  </si>
  <si>
    <t>Databricks</t>
  </si>
  <si>
    <t>Jul</t>
  </si>
  <si>
    <t>Downsizing</t>
  </si>
  <si>
    <t>Data Scientist</t>
  </si>
  <si>
    <t>T6</t>
  </si>
  <si>
    <t>Dec</t>
  </si>
  <si>
    <t>Product Manager</t>
  </si>
  <si>
    <t>T7</t>
  </si>
  <si>
    <t>Airbnb</t>
  </si>
  <si>
    <t>T8</t>
  </si>
  <si>
    <t>Intel</t>
  </si>
  <si>
    <t>Cloud Engineer</t>
  </si>
  <si>
    <t>T9</t>
  </si>
  <si>
    <t>DevOps Engineer</t>
  </si>
  <si>
    <t>T10</t>
  </si>
  <si>
    <t>Software Engineer</t>
  </si>
  <si>
    <t>T11</t>
  </si>
  <si>
    <t>Amazon</t>
  </si>
  <si>
    <t>T12</t>
  </si>
  <si>
    <t>Apple</t>
  </si>
  <si>
    <t>T13</t>
  </si>
  <si>
    <t>Stripe</t>
  </si>
  <si>
    <t>T14</t>
  </si>
  <si>
    <t>T15</t>
  </si>
  <si>
    <t>SAP</t>
  </si>
  <si>
    <t>Nov</t>
  </si>
  <si>
    <t>T16</t>
  </si>
  <si>
    <t>Salesforce</t>
  </si>
  <si>
    <t>Jan</t>
  </si>
  <si>
    <t>T17</t>
  </si>
  <si>
    <t>T18</t>
  </si>
  <si>
    <t>Oct</t>
  </si>
  <si>
    <t>T19</t>
  </si>
  <si>
    <t>Google</t>
  </si>
  <si>
    <t>T20</t>
  </si>
  <si>
    <t>T21</t>
  </si>
  <si>
    <t>T22</t>
  </si>
  <si>
    <t>T23</t>
  </si>
  <si>
    <t>T24</t>
  </si>
  <si>
    <t>May</t>
  </si>
  <si>
    <t>T25</t>
  </si>
  <si>
    <t>T26</t>
  </si>
  <si>
    <t>Aug</t>
  </si>
  <si>
    <t>Stable</t>
  </si>
  <si>
    <t>T27</t>
  </si>
  <si>
    <t>Aggressive Hiring</t>
  </si>
  <si>
    <t>T28</t>
  </si>
  <si>
    <t>T29</t>
  </si>
  <si>
    <t>T30</t>
  </si>
  <si>
    <t>OpenAI</t>
  </si>
  <si>
    <t>T31</t>
  </si>
  <si>
    <t>T32</t>
  </si>
  <si>
    <t>Cybersecurity Analyst</t>
  </si>
  <si>
    <t>T33</t>
  </si>
  <si>
    <t>T34</t>
  </si>
  <si>
    <t>T35</t>
  </si>
  <si>
    <t>T36</t>
  </si>
  <si>
    <t>T37</t>
  </si>
  <si>
    <t>Sep</t>
  </si>
  <si>
    <t>T38</t>
  </si>
  <si>
    <t>T39</t>
  </si>
  <si>
    <t>T40</t>
  </si>
  <si>
    <t>T41</t>
  </si>
  <si>
    <t>T42</t>
  </si>
  <si>
    <t>Oracle</t>
  </si>
  <si>
    <t>T43</t>
  </si>
  <si>
    <t>Netflix</t>
  </si>
  <si>
    <t>T44</t>
  </si>
  <si>
    <t>T45</t>
  </si>
  <si>
    <t>Meta</t>
  </si>
  <si>
    <t>T46</t>
  </si>
  <si>
    <t>T47</t>
  </si>
  <si>
    <t>T48</t>
  </si>
  <si>
    <t>T49</t>
  </si>
  <si>
    <t>T50</t>
  </si>
  <si>
    <t>T51</t>
  </si>
  <si>
    <t>T52</t>
  </si>
  <si>
    <t>T53</t>
  </si>
  <si>
    <t>T54</t>
  </si>
  <si>
    <t>T55</t>
  </si>
  <si>
    <t>T56</t>
  </si>
  <si>
    <t>T57</t>
  </si>
  <si>
    <t>T58</t>
  </si>
  <si>
    <t>T59</t>
  </si>
  <si>
    <t>T60</t>
  </si>
  <si>
    <t>T61</t>
  </si>
  <si>
    <t>NVIDIA</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</si>
  <si>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</si>
  <si>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</si>
  <si>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</si>
  <si>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</si>
  <si>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</si>
  <si>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</si>
  <si>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</si>
  <si>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</si>
  <si>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</si>
  <si>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</si>
  <si>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</si>
  <si>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</si>
  <si>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</si>
  <si>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</si>
  <si>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</si>
  <si>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</si>
  <si>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</si>
  <si>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</si>
  <si>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</si>
  <si>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</si>
  <si>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</si>
  <si>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</si>
  <si>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</si>
  <si>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</si>
  <si>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</si>
  <si>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</si>
  <si>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</si>
  <si>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</si>
  <si>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</si>
  <si>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</si>
  <si>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</si>
  <si>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</si>
  <si>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</si>
  <si>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</si>
  <si>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</si>
  <si>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</si>
  <si>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</si>
  <si>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</si>
  <si>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</si>
  <si>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</si>
  <si>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</si>
  <si>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</si>
  <si>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</si>
  <si>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</si>
  <si>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</si>
  <si>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</si>
  <si>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</si>
  <si>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</si>
  <si>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</si>
  <si>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</si>
  <si>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</si>
  <si>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</si>
  <si>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</si>
  <si>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</si>
  <si>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</si>
  <si>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</si>
  <si>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</si>
  <si>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</si>
  <si>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</si>
  <si>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</si>
  <si>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</si>
  <si>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</si>
  <si>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</si>
  <si>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</si>
  <si>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</si>
  <si>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</si>
  <si>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</si>
  <si>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</si>
  <si>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</si>
  <si>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</si>
  <si>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</si>
  <si>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</si>
  <si>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</si>
  <si>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</si>
  <si>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</si>
  <si>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</si>
  <si>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</si>
  <si>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</si>
  <si>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</si>
  <si>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</si>
  <si>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</si>
  <si>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</si>
  <si>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</si>
  <si>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</si>
  <si>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</si>
  <si>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</si>
  <si>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</si>
  <si>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</si>
  <si>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</si>
  <si>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</si>
  <si>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</si>
  <si>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</si>
  <si>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</si>
  <si>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</si>
  <si>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</si>
  <si>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</si>
  <si>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</si>
  <si>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</si>
  <si>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</si>
  <si>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</si>
  <si>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</si>
  <si>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</si>
  <si>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</si>
  <si>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</si>
  <si>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</si>
  <si>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</si>
  <si>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</si>
  <si>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</si>
  <si>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</si>
  <si>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</si>
  <si>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</si>
  <si>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</si>
  <si>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</si>
  <si>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</si>
  <si>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</si>
  <si>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</si>
  <si>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</si>
  <si>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</si>
  <si>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</si>
  <si>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</si>
  <si>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</si>
  <si>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</si>
  <si>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</si>
  <si>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</si>
  <si>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</si>
  <si>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</si>
  <si>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</si>
  <si>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</si>
  <si>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</si>
  <si>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</si>
  <si>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</si>
  <si>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</si>
  <si>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</si>
  <si>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</si>
  <si>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</si>
  <si>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</si>
  <si>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</si>
  <si>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</si>
  <si>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</si>
  <si>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</si>
  <si>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</si>
  <si>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</si>
  <si>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</si>
  <si>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</si>
  <si>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</si>
  <si>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</si>
  <si>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</si>
  <si>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</si>
  <si>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</si>
  <si>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</si>
  <si>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</si>
  <si>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</si>
  <si>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</si>
  <si>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</si>
  <si>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</si>
  <si>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</si>
  <si>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</si>
  <si>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</si>
  <si>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</si>
  <si>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</si>
  <si>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</si>
  <si>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</si>
  <si>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</si>
  <si>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</si>
  <si>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</si>
  <si>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</si>
  <si>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</si>
  <si>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</si>
  <si>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</si>
  <si>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</si>
  <si>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</si>
  <si>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</si>
  <si>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</si>
  <si>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</si>
  <si>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</si>
  <si>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</si>
  <si>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</si>
  <si>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</si>
  <si>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</si>
  <si>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</si>
  <si>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</si>
  <si>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</si>
  <si>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</si>
  <si>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</si>
  <si>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</si>
  <si>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</si>
  <si>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</si>
  <si>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</si>
  <si>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</si>
  <si>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</si>
  <si>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</si>
  <si>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</si>
  <si>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</si>
  <si>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</si>
  <si>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</si>
  <si>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</si>
  <si>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</si>
  <si>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</si>
  <si>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</si>
  <si>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</si>
  <si>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</si>
  <si>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</si>
  <si>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</si>
  <si>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</si>
  <si>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</si>
  <si>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</si>
  <si>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</si>
  <si>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</si>
  <si>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</si>
  <si>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</si>
  <si>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</si>
  <si>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</si>
  <si>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</si>
  <si>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</si>
  <si>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</si>
  <si>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</si>
  <si>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</si>
  <si>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</si>
  <si>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</si>
  <si>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</si>
  <si>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</si>
  <si>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</si>
  <si>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</si>
  <si>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</si>
  <si>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</si>
  <si>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</si>
  <si>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</si>
  <si>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</si>
  <si>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</si>
  <si>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</si>
  <si>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</si>
  <si>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</si>
  <si>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</si>
  <si>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</si>
  <si>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</si>
  <si>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</si>
  <si>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</si>
  <si>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</si>
  <si>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</si>
  <si>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</si>
  <si>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</si>
  <si>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</si>
  <si>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</si>
  <si>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</si>
  <si>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</si>
  <si>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</si>
  <si>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</si>
  <si>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</si>
  <si>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</si>
  <si>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</si>
  <si>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</si>
  <si>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</si>
  <si>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</si>
  <si>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</si>
  <si>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</si>
  <si>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</si>
  <si>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</si>
  <si>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</si>
  <si>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</si>
  <si>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</si>
  <si>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</si>
  <si>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</si>
  <si>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</si>
  <si>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</si>
  <si>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</si>
  <si>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</si>
  <si>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</si>
  <si>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</si>
  <si>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</si>
  <si>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</si>
  <si>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</si>
  <si>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</si>
  <si>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</si>
  <si>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</si>
  <si>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</si>
  <si>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</si>
  <si>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</si>
  <si>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</si>
  <si>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</si>
  <si>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</si>
  <si>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</si>
  <si>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</si>
  <si>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</si>
  <si>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</si>
  <si>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</si>
  <si>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</si>
  <si>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</si>
  <si>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</si>
  <si>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</si>
  <si>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</si>
  <si>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</si>
  <si>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</si>
  <si>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</si>
  <si>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</si>
  <si>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</si>
  <si>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</si>
  <si>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</si>
  <si>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</si>
  <si>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</si>
  <si>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</si>
  <si>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</si>
  <si>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</si>
  <si>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</si>
  <si>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</si>
  <si>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</si>
  <si>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</si>
  <si>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</si>
  <si>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</si>
  <si>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</si>
  <si>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</si>
  <si>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</si>
  <si>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</si>
  <si>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</si>
  <si>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</si>
  <si>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</si>
  <si>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</si>
  <si>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</si>
  <si>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</si>
  <si>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</si>
  <si>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</si>
  <si>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</si>
  <si>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</si>
  <si>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</si>
  <si>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</si>
  <si>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</si>
  <si>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</si>
  <si>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</si>
  <si>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</si>
  <si>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</si>
  <si>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</si>
  <si>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</si>
  <si>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</si>
  <si>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</si>
  <si>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</si>
  <si>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</si>
  <si>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</si>
  <si>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</si>
  <si>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</si>
  <si>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</si>
  <si>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</si>
  <si>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</si>
  <si>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</si>
  <si>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</si>
  <si>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</si>
  <si>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</si>
  <si>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</si>
  <si>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</si>
  <si>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</si>
  <si>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</si>
  <si>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</si>
  <si>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</si>
  <si>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</si>
  <si>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</si>
  <si>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</si>
  <si>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</si>
  <si>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</si>
  <si>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</si>
  <si>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</si>
  <si>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</si>
  <si>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</si>
  <si>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</si>
  <si>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</si>
  <si>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</si>
  <si>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</si>
  <si>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</si>
  <si>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</si>
  <si>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</si>
  <si>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</si>
  <si>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</si>
  <si>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</si>
  <si>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</si>
  <si>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</si>
  <si>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</si>
  <si>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</si>
  <si>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</si>
  <si>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</si>
  <si>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</si>
  <si>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</si>
  <si>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</si>
  <si>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</si>
  <si>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</si>
  <si>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</si>
  <si>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</si>
  <si>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</si>
  <si>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</si>
  <si>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</si>
  <si>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</si>
  <si>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</si>
  <si>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</si>
  <si>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</si>
  <si>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</si>
  <si>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</si>
  <si>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</si>
  <si>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</si>
  <si>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</si>
  <si>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</si>
  <si>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</si>
  <si>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</si>
  <si>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</si>
  <si>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</si>
  <si>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</si>
  <si>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</si>
  <si>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</si>
  <si>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</si>
  <si>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</si>
  <si>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</si>
  <si>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</si>
  <si>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</si>
  <si>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</si>
  <si>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</si>
  <si>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</si>
  <si>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</si>
  <si>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</si>
  <si>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</si>
  <si>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</si>
  <si>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</si>
  <si>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</si>
  <si>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</si>
  <si>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</si>
  <si>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</si>
  <si>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</si>
  <si>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</si>
  <si>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</si>
  <si>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</si>
  <si>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</si>
  <si>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</si>
  <si>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</si>
  <si>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</si>
  <si>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</si>
  <si>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</si>
  <si>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</si>
  <si>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</si>
  <si>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</si>
  <si>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</si>
  <si>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</si>
  <si>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</si>
  <si>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</si>
  <si>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</si>
  <si>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</si>
  <si>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</si>
  <si>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</si>
  <si>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</si>
  <si>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</si>
  <si>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</si>
  <si>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</si>
  <si>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</si>
  <si>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</si>
  <si>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</si>
  <si>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</si>
  <si>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</si>
  <si>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</si>
  <si>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</si>
  <si>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</si>
  <si>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</si>
  <si>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</si>
  <si>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</si>
  <si>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</si>
  <si>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</si>
  <si>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</si>
  <si>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</si>
  <si>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</si>
  <si>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</si>
  <si>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</si>
  <si>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</si>
  <si>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</si>
  <si>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</si>
  <si>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</si>
  <si>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</si>
  <si>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</si>
  <si>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</si>
  <si>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</si>
  <si>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</si>
  <si>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</si>
  <si>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</si>
  <si>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</si>
  <si>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</si>
  <si>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</si>
  <si>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</si>
  <si>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</si>
  <si>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</si>
  <si>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</si>
  <si>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</si>
  <si>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</si>
  <si>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</si>
  <si>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</si>
  <si>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</si>
  <si>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</si>
  <si>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</si>
  <si>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</si>
  <si>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</si>
  <si>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</si>
  <si>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</si>
  <si>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</si>
  <si>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</si>
  <si>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</si>
  <si>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</si>
  <si>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</si>
  <si>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</si>
  <si>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</si>
  <si>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</si>
  <si>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</si>
  <si>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</si>
  <si>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</si>
  <si>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</si>
  <si>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</si>
  <si>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</si>
  <si>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</si>
  <si>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</si>
  <si>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</si>
  <si>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</si>
  <si>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</si>
  <si>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</si>
  <si>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</si>
  <si>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</si>
  <si>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</si>
  <si>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</si>
  <si>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</si>
  <si>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</si>
  <si>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</si>
  <si>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</si>
  <si>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</si>
  <si>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</si>
  <si>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</si>
  <si>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</si>
  <si>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</si>
  <si>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</si>
  <si>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</si>
  <si>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</si>
  <si>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</si>
  <si>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</si>
  <si>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</si>
  <si>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</si>
  <si>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</si>
  <si>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</si>
  <si>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</si>
  <si>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</si>
  <si>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</si>
  <si>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</si>
  <si>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</si>
  <si>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</si>
  <si>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</si>
  <si>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</si>
  <si>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</si>
  <si>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</si>
  <si>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</si>
  <si>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</si>
  <si>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</si>
  <si>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</si>
  <si>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</si>
  <si>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</si>
  <si>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</si>
  <si>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</si>
  <si>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</si>
  <si>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</si>
  <si>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</si>
  <si>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</si>
  <si>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</si>
  <si>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</si>
  <si>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</si>
  <si>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</si>
  <si>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</si>
  <si>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</si>
  <si>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</si>
  <si>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</si>
  <si>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</si>
  <si>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</si>
  <si>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</si>
  <si>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</si>
  <si>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</si>
  <si>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</si>
  <si>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</si>
  <si>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</si>
  <si>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</si>
  <si>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</si>
  <si>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</si>
  <si>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</si>
  <si>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</si>
  <si>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</si>
  <si>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</si>
  <si>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</si>
  <si>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</si>
  <si>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</si>
  <si>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</si>
  <si>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</si>
  <si>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</si>
  <si>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</si>
  <si>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</si>
  <si>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</si>
  <si>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</si>
  <si>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</si>
  <si>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</si>
  <si>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</si>
  <si>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</si>
  <si>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</si>
  <si>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</si>
  <si>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</si>
  <si>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</si>
  <si>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</si>
  <si>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</si>
  <si>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</si>
  <si>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</si>
  <si>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</si>
  <si>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</si>
  <si>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</si>
  <si>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</si>
  <si>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</si>
  <si>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</si>
  <si>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</si>
  <si>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</si>
  <si>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</si>
  <si>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</si>
  <si>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</si>
  <si>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</si>
  <si>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</si>
  <si>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</si>
  <si>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</si>
  <si>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</si>
  <si>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</si>
  <si>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</si>
  <si>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</si>
  <si>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</si>
  <si>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</si>
  <si>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</si>
  <si>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</si>
  <si>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</si>
  <si>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</si>
  <si>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</si>
  <si>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</si>
  <si>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</si>
  <si>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</si>
  <si>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</si>
  <si>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</si>
  <si>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</si>
  <si>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</si>
  <si>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</si>
  <si>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</si>
  <si>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</si>
  <si>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</si>
  <si>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</si>
  <si>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</si>
  <si>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</si>
  <si>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</si>
  <si>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</si>
  <si>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</si>
  <si>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</si>
  <si>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</si>
  <si>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</si>
  <si>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</si>
  <si>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</si>
  <si>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</si>
  <si>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</si>
  <si>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</si>
  <si>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</si>
  <si>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</si>
  <si>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</si>
  <si>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</si>
  <si>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</si>
  <si>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</si>
  <si>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</si>
  <si>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</si>
  <si>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</si>
  <si>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</si>
  <si>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</si>
  <si>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</si>
  <si>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</si>
  <si>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</si>
  <si>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</si>
  <si>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</si>
  <si>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</si>
  <si>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</si>
  <si>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</si>
  <si>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</si>
  <si>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</si>
  <si>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</si>
  <si>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</si>
  <si>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</si>
  <si>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</si>
  <si>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</si>
  <si>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</si>
  <si>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</si>
  <si>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</si>
  <si>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</si>
  <si>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</si>
  <si>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</si>
  <si>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</si>
  <si>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</si>
  <si>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</si>
  <si>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</si>
  <si>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</si>
  <si>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</si>
  <si>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</si>
  <si>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</si>
  <si>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</si>
  <si>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</si>
  <si>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</si>
  <si>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</si>
  <si>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</si>
  <si>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</si>
  <si>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</si>
  <si>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</si>
  <si>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</si>
  <si>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</si>
  <si>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</si>
  <si>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</si>
  <si>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</si>
  <si>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</si>
  <si>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</si>
  <si>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</si>
  <si>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</si>
  <si>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</si>
  <si>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</si>
  <si>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</si>
  <si>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</si>
  <si>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</si>
  <si>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</si>
  <si>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</si>
  <si>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</si>
  <si>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</si>
  <si>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</si>
  <si>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</si>
  <si>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</si>
  <si>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</si>
  <si>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</si>
  <si>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</si>
  <si>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</si>
  <si>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</si>
  <si>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</si>
  <si>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</si>
  <si>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</si>
  <si>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</si>
  <si>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</si>
  <si>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</si>
  <si>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</si>
  <si>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</si>
  <si>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</si>
  <si>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</si>
  <si>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</si>
  <si>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</si>
  <si>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</si>
  <si>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</si>
  <si>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</si>
  <si>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</si>
  <si>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</si>
  <si>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</si>
  <si>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</si>
  <si>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</si>
  <si>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</si>
  <si>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</si>
  <si>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</si>
  <si>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</si>
  <si>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</si>
  <si>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</si>
  <si>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</si>
  <si>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</si>
  <si>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</si>
  <si>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</si>
  <si>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</si>
  <si>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</si>
  <si>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</si>
  <si>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</si>
  <si>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</si>
  <si>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</si>
  <si>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</si>
  <si>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</si>
  <si>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</si>
  <si>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</si>
  <si>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</si>
  <si>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</si>
  <si>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</si>
  <si>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</si>
  <si>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</si>
  <si>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</si>
  <si>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</si>
  <si>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</si>
  <si>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</si>
  <si>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</si>
  <si>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</si>
  <si>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</si>
  <si>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</si>
  <si>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</si>
  <si>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</si>
  <si>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</si>
  <si>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</si>
  <si>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</si>
  <si>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</si>
  <si>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</si>
  <si>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</si>
  <si>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</si>
  <si>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</si>
  <si>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</si>
  <si>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</si>
  <si>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</si>
  <si>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</si>
  <si>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</si>
  <si>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</si>
  <si>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</si>
  <si>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</si>
  <si>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</si>
  <si>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</si>
  <si>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</si>
  <si>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</si>
  <si>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</si>
  <si>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</si>
  <si>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</si>
  <si>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</si>
  <si>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</si>
  <si>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</si>
  <si>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</si>
  <si>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</si>
  <si>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</si>
  <si>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</si>
  <si>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</si>
  <si>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</si>
  <si>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</si>
  <si>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</si>
  <si>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</si>
  <si>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</si>
  <si>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</si>
  <si>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</si>
  <si>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</si>
  <si>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</si>
  <si>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</si>
  <si>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</si>
  <si>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</si>
  <si>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</si>
  <si>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</si>
  <si>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</si>
  <si>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</si>
  <si>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</si>
  <si>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</si>
  <si>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</si>
  <si>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</si>
  <si>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</si>
  <si>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</si>
  <si>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</si>
  <si>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</si>
  <si>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</si>
  <si>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</si>
  <si>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</si>
  <si>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</si>
  <si>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</si>
  <si>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</si>
  <si>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</si>
  <si>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</si>
  <si>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</si>
  <si>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</si>
  <si>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</si>
  <si>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</si>
  <si>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</si>
  <si>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</si>
  <si>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</si>
  <si>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</si>
  <si>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</si>
  <si>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</si>
  <si>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</si>
  <si>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</si>
  <si>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</si>
  <si>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</si>
  <si>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</si>
  <si>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</si>
  <si>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</si>
  <si>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</si>
  <si>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</si>
  <si>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</si>
  <si>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</si>
  <si>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</si>
  <si>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</si>
  <si>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</si>
  <si>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</si>
  <si>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</si>
  <si>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</si>
  <si>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</si>
  <si>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</si>
  <si>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</si>
  <si>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</si>
  <si>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</si>
  <si>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</si>
  <si>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</si>
  <si>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</si>
  <si>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</si>
  <si>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</si>
  <si>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</si>
  <si>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</si>
  <si>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</si>
  <si>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</si>
  <si>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</si>
  <si>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</si>
  <si>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</si>
  <si>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</si>
  <si>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</si>
  <si>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</si>
  <si>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</si>
  <si>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</si>
  <si>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</si>
  <si>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</si>
  <si>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</si>
  <si>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</si>
  <si>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</si>
  <si>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</si>
  <si>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</si>
  <si>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</si>
  <si>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</si>
  <si>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</si>
  <si>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</si>
  <si>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</si>
  <si>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</si>
  <si>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</si>
  <si>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</si>
  <si>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</si>
  <si>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</si>
  <si>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</si>
  <si>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</si>
  <si>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</si>
  <si>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</si>
  <si>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</si>
  <si>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</si>
  <si>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</si>
  <si>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</si>
  <si>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</si>
  <si>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</si>
  <si>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</si>
  <si>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</si>
  <si>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</si>
  <si>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</si>
  <si>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</si>
  <si>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</si>
  <si>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</si>
  <si>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</si>
  <si>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</si>
  <si>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</si>
  <si>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</si>
  <si>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</si>
  <si>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</si>
  <si>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</si>
  <si>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</si>
  <si>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</si>
  <si>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</si>
  <si>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</si>
  <si>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</si>
  <si>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</si>
  <si>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</si>
  <si>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</si>
  <si>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</si>
  <si>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</si>
  <si>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</si>
  <si>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</si>
  <si>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</si>
  <si>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</si>
  <si>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</si>
  <si>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</si>
  <si>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</si>
  <si>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</si>
  <si>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</si>
  <si>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</si>
  <si>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</si>
  <si>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</si>
  <si>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</si>
  <si>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</si>
  <si>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</si>
  <si>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</si>
  <si>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</si>
  <si>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</si>
  <si>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</si>
  <si>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</si>
  <si>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</si>
  <si>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</si>
  <si>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</si>
  <si>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</si>
  <si>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</si>
  <si>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</si>
  <si>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</si>
  <si>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</si>
  <si>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</si>
  <si>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</si>
  <si>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</si>
  <si>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</si>
  <si>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</si>
  <si>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</si>
  <si>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</si>
  <si>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</si>
  <si>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</si>
  <si>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</si>
  <si>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</si>
  <si>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</si>
  <si>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</si>
  <si>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</si>
  <si>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</si>
  <si>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</si>
  <si>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</si>
  <si>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</si>
  <si>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</si>
  <si>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</si>
  <si>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</si>
  <si>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</si>
  <si>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</si>
  <si>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</si>
  <si>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</si>
  <si>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</si>
  <si>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</si>
  <si>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</si>
  <si>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</si>
  <si>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</si>
  <si>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</si>
  <si>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</si>
  <si>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</si>
  <si>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</si>
  <si>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</si>
  <si>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</si>
  <si>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</si>
  <si>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</si>
  <si>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</si>
  <si>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</si>
  <si>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</si>
  <si>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</si>
  <si>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</si>
  <si>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</si>
  <si>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</si>
  <si>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</si>
  <si>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</si>
  <si>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</si>
  <si>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</si>
  <si>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</si>
  <si>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</si>
  <si>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</si>
  <si>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</si>
  <si>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</si>
  <si>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</si>
  <si>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</si>
  <si>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</si>
  <si>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</si>
  <si>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</si>
  <si>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</si>
  <si>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</si>
  <si>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</si>
  <si>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</si>
  <si>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</si>
  <si>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</si>
  <si>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</si>
  <si>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</si>
  <si>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</si>
  <si>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</si>
  <si>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</si>
  <si>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</si>
  <si>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</si>
  <si>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</si>
  <si>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</si>
  <si>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</si>
  <si>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</si>
  <si>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</si>
  <si>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</si>
  <si>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</si>
  <si>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</si>
  <si>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</si>
  <si>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</si>
  <si>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</si>
  <si>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</si>
  <si>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</si>
  <si>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</si>
  <si>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</si>
  <si>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</si>
  <si>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</si>
  <si>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</si>
  <si>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</si>
  <si>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</si>
  <si>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</si>
  <si>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</si>
  <si>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</si>
  <si>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</si>
  <si>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</si>
  <si>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</si>
  <si>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</si>
  <si>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</si>
  <si>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</si>
  <si>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</si>
  <si>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</si>
  <si>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</si>
  <si>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</si>
  <si>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</si>
  <si>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</si>
  <si>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</si>
  <si>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</si>
  <si>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</si>
  <si>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</si>
  <si>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</si>
  <si>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</si>
  <si>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</si>
  <si>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</si>
  <si>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</si>
  <si>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</si>
  <si>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</si>
  <si>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</si>
  <si>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</si>
  <si>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</si>
  <si>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</si>
  <si>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</si>
  <si>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</si>
  <si>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</si>
  <si>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</si>
  <si>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</si>
  <si>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</si>
  <si>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</si>
  <si>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</si>
  <si>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</si>
  <si>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</si>
  <si>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</si>
  <si>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</si>
  <si>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</si>
  <si>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</si>
  <si>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</si>
  <si>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</si>
  <si>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</si>
  <si>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</si>
  <si>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</si>
  <si>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</si>
  <si>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</si>
  <si>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</si>
  <si>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</si>
  <si>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</si>
  <si>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</si>
  <si>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</si>
  <si>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</si>
  <si>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</si>
  <si>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</si>
  <si>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</si>
  <si>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</si>
  <si>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</si>
  <si>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</si>
  <si>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</si>
  <si>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</si>
  <si>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</si>
  <si>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</si>
  <si>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</si>
  <si>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</si>
  <si>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</si>
  <si>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</si>
  <si>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</si>
  <si>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</si>
  <si>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</si>
  <si>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</si>
  <si>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T1201</t>
  </si>
  <si>
    <t>T1202</t>
  </si>
  <si>
    <t>T1203</t>
  </si>
  <si>
    <t>T1204</t>
  </si>
  <si>
    <t>T1205</t>
  </si>
  <si>
    <t>T1206</t>
  </si>
  <si>
    <t>T1207</t>
  </si>
  <si>
    <t>T1208</t>
  </si>
  <si>
    <t>T1209</t>
  </si>
  <si>
    <t>T1210</t>
  </si>
  <si>
    <t>T1211</t>
  </si>
  <si>
    <t>T1212</t>
  </si>
  <si>
    <t>T1213</t>
  </si>
  <si>
    <t>T1214</t>
  </si>
  <si>
    <t>T1215</t>
  </si>
  <si>
    <t>T1216</t>
  </si>
  <si>
    <t>T1217</t>
  </si>
  <si>
    <t>T1218</t>
  </si>
  <si>
    <t>T1219</t>
  </si>
  <si>
    <t>T1220</t>
  </si>
  <si>
    <t>T1221</t>
  </si>
  <si>
    <t>T1222</t>
  </si>
  <si>
    <t>T1223</t>
  </si>
  <si>
    <t>T1224</t>
  </si>
  <si>
    <t>T1225</t>
  </si>
  <si>
    <t>T1226</t>
  </si>
  <si>
    <t>T1227</t>
  </si>
  <si>
    <t>T1228</t>
  </si>
  <si>
    <t>T1229</t>
  </si>
  <si>
    <t>T1230</t>
  </si>
  <si>
    <t>T1231</t>
  </si>
  <si>
    <t>T1232</t>
  </si>
  <si>
    <t>T1233</t>
  </si>
  <si>
    <t>T1234</t>
  </si>
  <si>
    <t>T1235</t>
  </si>
  <si>
    <t>T1236</t>
  </si>
  <si>
    <t>T1237</t>
  </si>
  <si>
    <t>T1238</t>
  </si>
  <si>
    <t>T1239</t>
  </si>
  <si>
    <t>T1240</t>
  </si>
  <si>
    <t>T1241</t>
  </si>
  <si>
    <t>T1242</t>
  </si>
  <si>
    <t>T1243</t>
  </si>
  <si>
    <t>T1244</t>
  </si>
  <si>
    <t>T1245</t>
  </si>
  <si>
    <t>T1246</t>
  </si>
  <si>
    <t>T1247</t>
  </si>
  <si>
    <t>T1248</t>
  </si>
  <si>
    <t>T1249</t>
  </si>
  <si>
    <t>T1250</t>
  </si>
  <si>
    <t>T1251</t>
  </si>
  <si>
    <t>T1252</t>
  </si>
  <si>
    <t>T1253</t>
  </si>
  <si>
    <t>T1254</t>
  </si>
  <si>
    <t>T1255</t>
  </si>
  <si>
    <t>T1256</t>
  </si>
  <si>
    <t>T1257</t>
  </si>
  <si>
    <t>T1258</t>
  </si>
  <si>
    <t>T1259</t>
  </si>
  <si>
    <t>T1260</t>
  </si>
  <si>
    <t>T1261</t>
  </si>
  <si>
    <t>T1262</t>
  </si>
  <si>
    <t>T1263</t>
  </si>
  <si>
    <t>T1264</t>
  </si>
  <si>
    <t>T1265</t>
  </si>
  <si>
    <t>T1266</t>
  </si>
  <si>
    <t>T1267</t>
  </si>
  <si>
    <t>T1268</t>
  </si>
  <si>
    <t>T1269</t>
  </si>
  <si>
    <t>T1270</t>
  </si>
  <si>
    <t>T1271</t>
  </si>
  <si>
    <t>T1272</t>
  </si>
  <si>
    <t>T1273</t>
  </si>
  <si>
    <t>T1274</t>
  </si>
  <si>
    <t>T1275</t>
  </si>
  <si>
    <t>T1276</t>
  </si>
  <si>
    <t>T1277</t>
  </si>
  <si>
    <t>T1278</t>
  </si>
  <si>
    <t>T1279</t>
  </si>
  <si>
    <t>T1280</t>
  </si>
  <si>
    <t>T1281</t>
  </si>
  <si>
    <t>T1282</t>
  </si>
  <si>
    <t>T1283</t>
  </si>
  <si>
    <t>T1284</t>
  </si>
  <si>
    <t>T1285</t>
  </si>
  <si>
    <t>T1286</t>
  </si>
  <si>
    <t>T1287</t>
  </si>
  <si>
    <t>T1288</t>
  </si>
  <si>
    <t>T1289</t>
  </si>
  <si>
    <t>T1290</t>
  </si>
  <si>
    <t>T1291</t>
  </si>
  <si>
    <t>T1292</t>
  </si>
  <si>
    <t>T1293</t>
  </si>
  <si>
    <t>T1294</t>
  </si>
  <si>
    <t>T1295</t>
  </si>
  <si>
    <t>T1296</t>
  </si>
  <si>
    <t>T1297</t>
  </si>
  <si>
    <t>T1298</t>
  </si>
  <si>
    <t>T1299</t>
  </si>
  <si>
    <t>T1300</t>
  </si>
  <si>
    <t>T1301</t>
  </si>
  <si>
    <t>T1302</t>
  </si>
  <si>
    <t>T1303</t>
  </si>
  <si>
    <t>T1304</t>
  </si>
  <si>
    <t>T1305</t>
  </si>
  <si>
    <t>T1306</t>
  </si>
  <si>
    <t>T1307</t>
  </si>
  <si>
    <t>T1308</t>
  </si>
  <si>
    <t>T1309</t>
  </si>
  <si>
    <t>T1310</t>
  </si>
  <si>
    <t>T1311</t>
  </si>
  <si>
    <t>T1312</t>
  </si>
  <si>
    <t>T1313</t>
  </si>
  <si>
    <t>T1314</t>
  </si>
  <si>
    <t>T1315</t>
  </si>
  <si>
    <t>T1316</t>
  </si>
  <si>
    <t>T1317</t>
  </si>
  <si>
    <t>T1318</t>
  </si>
  <si>
    <t>T1319</t>
  </si>
  <si>
    <t>T1320</t>
  </si>
  <si>
    <t>T1321</t>
  </si>
  <si>
    <t>T1322</t>
  </si>
  <si>
    <t>T1323</t>
  </si>
  <si>
    <t>T1324</t>
  </si>
  <si>
    <t>T1325</t>
  </si>
  <si>
    <t>T1326</t>
  </si>
  <si>
    <t>T1327</t>
  </si>
  <si>
    <t>T1328</t>
  </si>
  <si>
    <t>T1329</t>
  </si>
  <si>
    <t>T1330</t>
  </si>
  <si>
    <t>T1331</t>
  </si>
  <si>
    <t>T1332</t>
  </si>
  <si>
    <t>T1333</t>
  </si>
  <si>
    <t>T1334</t>
  </si>
  <si>
    <t>T1335</t>
  </si>
  <si>
    <t>T1336</t>
  </si>
  <si>
    <t>T1337</t>
  </si>
  <si>
    <t>T1338</t>
  </si>
  <si>
    <t>T1339</t>
  </si>
  <si>
    <t>T1340</t>
  </si>
  <si>
    <t>T1341</t>
  </si>
  <si>
    <t>T1342</t>
  </si>
  <si>
    <t>T1343</t>
  </si>
  <si>
    <t>T1344</t>
  </si>
  <si>
    <t>T1345</t>
  </si>
  <si>
    <t>T1346</t>
  </si>
  <si>
    <t>T1347</t>
  </si>
  <si>
    <t>T1348</t>
  </si>
  <si>
    <t>T1349</t>
  </si>
  <si>
    <t>T1350</t>
  </si>
  <si>
    <t>T1351</t>
  </si>
  <si>
    <t>T1352</t>
  </si>
  <si>
    <t>T1353</t>
  </si>
  <si>
    <t>T1354</t>
  </si>
  <si>
    <t>T1355</t>
  </si>
  <si>
    <t>T1356</t>
  </si>
  <si>
    <t>T1357</t>
  </si>
  <si>
    <t>T1358</t>
  </si>
  <si>
    <t>T1359</t>
  </si>
  <si>
    <t>T1360</t>
  </si>
  <si>
    <t>T1361</t>
  </si>
  <si>
    <t>T1362</t>
  </si>
  <si>
    <t>T1363</t>
  </si>
  <si>
    <t>T1364</t>
  </si>
  <si>
    <t>T1365</t>
  </si>
  <si>
    <t>T1366</t>
  </si>
  <si>
    <t>T1367</t>
  </si>
  <si>
    <t>T1368</t>
  </si>
  <si>
    <t>T1369</t>
  </si>
  <si>
    <t>T1370</t>
  </si>
  <si>
    <t>T1371</t>
  </si>
  <si>
    <t>T1372</t>
  </si>
  <si>
    <t>T1373</t>
  </si>
  <si>
    <t>T1374</t>
  </si>
  <si>
    <t>T1375</t>
  </si>
  <si>
    <t>T1376</t>
  </si>
  <si>
    <t>T1377</t>
  </si>
  <si>
    <t>T1378</t>
  </si>
  <si>
    <t>T1379</t>
  </si>
  <si>
    <t>T1380</t>
  </si>
  <si>
    <t>T1381</t>
  </si>
  <si>
    <t>T1382</t>
  </si>
  <si>
    <t>T1383</t>
  </si>
  <si>
    <t>T1384</t>
  </si>
  <si>
    <t>T1385</t>
  </si>
  <si>
    <t>T1386</t>
  </si>
  <si>
    <t>T1387</t>
  </si>
  <si>
    <t>T1388</t>
  </si>
  <si>
    <t>T1389</t>
  </si>
  <si>
    <t>T1390</t>
  </si>
  <si>
    <t>T1391</t>
  </si>
  <si>
    <t>T1392</t>
  </si>
  <si>
    <t>T1393</t>
  </si>
  <si>
    <t>T1394</t>
  </si>
  <si>
    <t>T1395</t>
  </si>
  <si>
    <t>T1396</t>
  </si>
  <si>
    <t>T1397</t>
  </si>
  <si>
    <t>T1398</t>
  </si>
  <si>
    <t>T1399</t>
  </si>
  <si>
    <t>T1400</t>
  </si>
  <si>
    <t>T1401</t>
  </si>
  <si>
    <t>T1402</t>
  </si>
  <si>
    <t>T1403</t>
  </si>
  <si>
    <t>T1404</t>
  </si>
  <si>
    <t>T1405</t>
  </si>
  <si>
    <t>T1406</t>
  </si>
  <si>
    <t>T1407</t>
  </si>
  <si>
    <t>T1408</t>
  </si>
  <si>
    <t>T1409</t>
  </si>
  <si>
    <t>T1410</t>
  </si>
  <si>
    <t>T1411</t>
  </si>
  <si>
    <t>T1412</t>
  </si>
  <si>
    <t>T1413</t>
  </si>
  <si>
    <t>T1414</t>
  </si>
  <si>
    <t>T1415</t>
  </si>
  <si>
    <t>T1416</t>
  </si>
  <si>
    <t>T1417</t>
  </si>
  <si>
    <t>T1418</t>
  </si>
  <si>
    <t>T1419</t>
  </si>
  <si>
    <t>T1420</t>
  </si>
  <si>
    <t>T1421</t>
  </si>
  <si>
    <t>T1422</t>
  </si>
  <si>
    <t>T1423</t>
  </si>
  <si>
    <t>T1424</t>
  </si>
  <si>
    <t>T1425</t>
  </si>
  <si>
    <t>T1426</t>
  </si>
  <si>
    <t>T1427</t>
  </si>
  <si>
    <t>T1428</t>
  </si>
  <si>
    <t>T1429</t>
  </si>
  <si>
    <t>T1430</t>
  </si>
  <si>
    <t>T1431</t>
  </si>
  <si>
    <t>T1432</t>
  </si>
  <si>
    <t>T1433</t>
  </si>
  <si>
    <t>T1434</t>
  </si>
  <si>
    <t>T1435</t>
  </si>
  <si>
    <t>T1436</t>
  </si>
  <si>
    <t>T1437</t>
  </si>
  <si>
    <t>T1438</t>
  </si>
  <si>
    <t>T1439</t>
  </si>
  <si>
    <t>T1440</t>
  </si>
  <si>
    <t>T1441</t>
  </si>
  <si>
    <t>T1442</t>
  </si>
  <si>
    <t>T1443</t>
  </si>
  <si>
    <t>T1444</t>
  </si>
  <si>
    <t>T1445</t>
  </si>
  <si>
    <t>T1446</t>
  </si>
  <si>
    <t>T1447</t>
  </si>
  <si>
    <t>T1448</t>
  </si>
  <si>
    <t>T1449</t>
  </si>
  <si>
    <t>T1450</t>
  </si>
  <si>
    <t>T1451</t>
  </si>
  <si>
    <t>T1452</t>
  </si>
  <si>
    <t>T1453</t>
  </si>
  <si>
    <t>T1454</t>
  </si>
  <si>
    <t>T1455</t>
  </si>
  <si>
    <t>T1456</t>
  </si>
  <si>
    <t>T1457</t>
  </si>
  <si>
    <t>T1458</t>
  </si>
  <si>
    <t>T1459</t>
  </si>
  <si>
    <t>T1460</t>
  </si>
  <si>
    <t>T1461</t>
  </si>
  <si>
    <t>T1462</t>
  </si>
  <si>
    <t>T1463</t>
  </si>
  <si>
    <t>T1464</t>
  </si>
  <si>
    <t>T1465</t>
  </si>
  <si>
    <t>T1466</t>
  </si>
  <si>
    <t>T1467</t>
  </si>
  <si>
    <t>T1468</t>
  </si>
  <si>
    <t>T1469</t>
  </si>
  <si>
    <t>T1470</t>
  </si>
  <si>
    <t>T1471</t>
  </si>
  <si>
    <t>T1472</t>
  </si>
  <si>
    <t>T1473</t>
  </si>
  <si>
    <t>T1474</t>
  </si>
  <si>
    <t>T1475</t>
  </si>
  <si>
    <t>T1476</t>
  </si>
  <si>
    <t>T1477</t>
  </si>
  <si>
    <t>T1478</t>
  </si>
  <si>
    <t>T1479</t>
  </si>
  <si>
    <t>T1480</t>
  </si>
  <si>
    <t>T1481</t>
  </si>
  <si>
    <t>T1482</t>
  </si>
  <si>
    <t>T1483</t>
  </si>
  <si>
    <t>T1484</t>
  </si>
  <si>
    <t>T1485</t>
  </si>
  <si>
    <t>T1486</t>
  </si>
  <si>
    <t>T1487</t>
  </si>
  <si>
    <t>T1488</t>
  </si>
  <si>
    <t>T1489</t>
  </si>
  <si>
    <t>T1490</t>
  </si>
  <si>
    <t>T1491</t>
  </si>
  <si>
    <t>T1492</t>
  </si>
  <si>
    <t>T1493</t>
  </si>
  <si>
    <t>T1494</t>
  </si>
  <si>
    <t>T1495</t>
  </si>
  <si>
    <t>T1496</t>
  </si>
  <si>
    <t>T1497</t>
  </si>
  <si>
    <t>T1498</t>
  </si>
  <si>
    <t>T1499</t>
  </si>
  <si>
    <t>T1500</t>
  </si>
  <si>
    <t>T1501</t>
  </si>
  <si>
    <t>T1502</t>
  </si>
  <si>
    <t>T1503</t>
  </si>
  <si>
    <t>T1504</t>
  </si>
  <si>
    <t>T1505</t>
  </si>
  <si>
    <t>T1506</t>
  </si>
  <si>
    <t>T1507</t>
  </si>
  <si>
    <t>T1508</t>
  </si>
  <si>
    <t>T1509</t>
  </si>
  <si>
    <t>T1510</t>
  </si>
  <si>
    <t>T1511</t>
  </si>
  <si>
    <t>T1512</t>
  </si>
  <si>
    <t>T1513</t>
  </si>
  <si>
    <t>T1514</t>
  </si>
  <si>
    <t>T1515</t>
  </si>
  <si>
    <t>T1516</t>
  </si>
  <si>
    <t>T1517</t>
  </si>
  <si>
    <t>T1518</t>
  </si>
  <si>
    <t>T1519</t>
  </si>
  <si>
    <t>T1520</t>
  </si>
  <si>
    <t>T1521</t>
  </si>
  <si>
    <t>T1522</t>
  </si>
  <si>
    <t>T1523</t>
  </si>
  <si>
    <t>T1524</t>
  </si>
  <si>
    <t>T1525</t>
  </si>
  <si>
    <t>T1526</t>
  </si>
  <si>
    <t>T1527</t>
  </si>
  <si>
    <t>T1528</t>
  </si>
  <si>
    <t>T1529</t>
  </si>
  <si>
    <t>T1530</t>
  </si>
  <si>
    <t>T1531</t>
  </si>
  <si>
    <t>T1532</t>
  </si>
  <si>
    <t>T1533</t>
  </si>
  <si>
    <t>T1534</t>
  </si>
  <si>
    <t>T1535</t>
  </si>
  <si>
    <t>T1536</t>
  </si>
  <si>
    <t>T1537</t>
  </si>
  <si>
    <t>T1538</t>
  </si>
  <si>
    <t>T1539</t>
  </si>
  <si>
    <t>T1540</t>
  </si>
  <si>
    <t>T1541</t>
  </si>
  <si>
    <t>T1542</t>
  </si>
  <si>
    <t>T1543</t>
  </si>
  <si>
    <t>T1544</t>
  </si>
  <si>
    <t>T1545</t>
  </si>
  <si>
    <t>T1546</t>
  </si>
  <si>
    <t>T1547</t>
  </si>
  <si>
    <t>T1548</t>
  </si>
  <si>
    <t>T1549</t>
  </si>
  <si>
    <t>T1550</t>
  </si>
  <si>
    <t>T1551</t>
  </si>
  <si>
    <t>T1552</t>
  </si>
  <si>
    <t>T1553</t>
  </si>
  <si>
    <t>T1554</t>
  </si>
  <si>
    <t>T1555</t>
  </si>
  <si>
    <t>T1556</t>
  </si>
  <si>
    <t>T1557</t>
  </si>
  <si>
    <t>T1558</t>
  </si>
  <si>
    <t>T1559</t>
  </si>
  <si>
    <t>T1560</t>
  </si>
  <si>
    <t>T1561</t>
  </si>
  <si>
    <t>T1562</t>
  </si>
  <si>
    <t>T1563</t>
  </si>
  <si>
    <t>T1564</t>
  </si>
  <si>
    <t>T1565</t>
  </si>
  <si>
    <t>T1566</t>
  </si>
  <si>
    <t>T1567</t>
  </si>
  <si>
    <t>T1568</t>
  </si>
  <si>
    <t>T1569</t>
  </si>
  <si>
    <t>T1570</t>
  </si>
  <si>
    <t>T1571</t>
  </si>
  <si>
    <t>T1572</t>
  </si>
  <si>
    <t>T1573</t>
  </si>
  <si>
    <t>T1574</t>
  </si>
  <si>
    <t>T1575</t>
  </si>
  <si>
    <t>T1576</t>
  </si>
  <si>
    <t>T1577</t>
  </si>
  <si>
    <t>T1578</t>
  </si>
  <si>
    <t>T1579</t>
  </si>
  <si>
    <t>T1580</t>
  </si>
  <si>
    <t>T1581</t>
  </si>
  <si>
    <t>T1582</t>
  </si>
  <si>
    <t>T1583</t>
  </si>
  <si>
    <t>T1584</t>
  </si>
  <si>
    <t>T1585</t>
  </si>
  <si>
    <t>T1586</t>
  </si>
  <si>
    <t>T1587</t>
  </si>
  <si>
    <t>T1588</t>
  </si>
  <si>
    <t>T1589</t>
  </si>
  <si>
    <t>T1590</t>
  </si>
  <si>
    <t>T1591</t>
  </si>
  <si>
    <t>T1592</t>
  </si>
  <si>
    <t>T1593</t>
  </si>
  <si>
    <t>T1594</t>
  </si>
  <si>
    <t>T1595</t>
  </si>
  <si>
    <t>T1596</t>
  </si>
  <si>
    <t>T1597</t>
  </si>
  <si>
    <t>T1598</t>
  </si>
  <si>
    <t>T1599</t>
  </si>
  <si>
    <t>T1600</t>
  </si>
  <si>
    <t>T1601</t>
  </si>
  <si>
    <t>T1602</t>
  </si>
  <si>
    <t>T1603</t>
  </si>
  <si>
    <t>T1604</t>
  </si>
  <si>
    <t>T1605</t>
  </si>
  <si>
    <t>T1606</t>
  </si>
  <si>
    <t>T1607</t>
  </si>
  <si>
    <t>T1608</t>
  </si>
  <si>
    <t>T1609</t>
  </si>
  <si>
    <t>T1610</t>
  </si>
  <si>
    <t>T1611</t>
  </si>
  <si>
    <t>T1612</t>
  </si>
  <si>
    <t>T1613</t>
  </si>
  <si>
    <t>T1614</t>
  </si>
  <si>
    <t>T1615</t>
  </si>
  <si>
    <t>T1616</t>
  </si>
  <si>
    <t>T1617</t>
  </si>
  <si>
    <t>T1618</t>
  </si>
  <si>
    <t>T1619</t>
  </si>
  <si>
    <t>T1620</t>
  </si>
  <si>
    <t>T1621</t>
  </si>
  <si>
    <t>T1622</t>
  </si>
  <si>
    <t>T1623</t>
  </si>
  <si>
    <t>T1624</t>
  </si>
  <si>
    <t>T1625</t>
  </si>
  <si>
    <t>T1626</t>
  </si>
  <si>
    <t>T1627</t>
  </si>
  <si>
    <t>T1628</t>
  </si>
  <si>
    <t>T1629</t>
  </si>
  <si>
    <t>T1630</t>
  </si>
  <si>
    <t>T1631</t>
  </si>
  <si>
    <t>T1632</t>
  </si>
  <si>
    <t>T1633</t>
  </si>
  <si>
    <t>T1634</t>
  </si>
  <si>
    <t>T1635</t>
  </si>
  <si>
    <t>T1636</t>
  </si>
  <si>
    <t>T1637</t>
  </si>
  <si>
    <t>T1638</t>
  </si>
  <si>
    <t>T1639</t>
  </si>
  <si>
    <t>T1640</t>
  </si>
  <si>
    <t>T1641</t>
  </si>
  <si>
    <t>T1642</t>
  </si>
  <si>
    <t>T1643</t>
  </si>
  <si>
    <t>T1644</t>
  </si>
  <si>
    <t>T1645</t>
  </si>
  <si>
    <t>T1646</t>
  </si>
  <si>
    <t>T1647</t>
  </si>
  <si>
    <t>T1648</t>
  </si>
  <si>
    <t>T1649</t>
  </si>
  <si>
    <t>T1650</t>
  </si>
  <si>
    <t>T1651</t>
  </si>
  <si>
    <t>T1652</t>
  </si>
  <si>
    <t>T1653</t>
  </si>
  <si>
    <t>T1654</t>
  </si>
  <si>
    <t>T1655</t>
  </si>
  <si>
    <t>T1656</t>
  </si>
  <si>
    <t>T1657</t>
  </si>
  <si>
    <t>T1658</t>
  </si>
  <si>
    <t>T1659</t>
  </si>
  <si>
    <t>T1660</t>
  </si>
  <si>
    <t>T1661</t>
  </si>
  <si>
    <t>T1662</t>
  </si>
  <si>
    <t>T1663</t>
  </si>
  <si>
    <t>T1664</t>
  </si>
  <si>
    <t>T1665</t>
  </si>
  <si>
    <t>T1666</t>
  </si>
  <si>
    <t>T1667</t>
  </si>
  <si>
    <t>T1668</t>
  </si>
  <si>
    <t>T1669</t>
  </si>
  <si>
    <t>T1670</t>
  </si>
  <si>
    <t>T1671</t>
  </si>
  <si>
    <t>T1672</t>
  </si>
  <si>
    <t>T1673</t>
  </si>
  <si>
    <t>T1674</t>
  </si>
  <si>
    <t>T1675</t>
  </si>
  <si>
    <t>T1676</t>
  </si>
  <si>
    <t>T1677</t>
  </si>
  <si>
    <t>T1678</t>
  </si>
  <si>
    <t>T1679</t>
  </si>
  <si>
    <t>T1680</t>
  </si>
  <si>
    <t>T1681</t>
  </si>
  <si>
    <t>T1682</t>
  </si>
  <si>
    <t>T1683</t>
  </si>
  <si>
    <t>T1684</t>
  </si>
  <si>
    <t>T1685</t>
  </si>
  <si>
    <t>T1686</t>
  </si>
  <si>
    <t>T1687</t>
  </si>
  <si>
    <t>T1688</t>
  </si>
  <si>
    <t>T1689</t>
  </si>
  <si>
    <t>T1690</t>
  </si>
  <si>
    <t>T1691</t>
  </si>
  <si>
    <t>T1692</t>
  </si>
  <si>
    <t>T1693</t>
  </si>
  <si>
    <t>T1694</t>
  </si>
  <si>
    <t>T1695</t>
  </si>
  <si>
    <t>T1696</t>
  </si>
  <si>
    <t>T1697</t>
  </si>
  <si>
    <t>T1698</t>
  </si>
  <si>
    <t>T1699</t>
  </si>
  <si>
    <t>T1700</t>
  </si>
  <si>
    <t>T1701</t>
  </si>
  <si>
    <t>T1702</t>
  </si>
  <si>
    <t>T1703</t>
  </si>
  <si>
    <t>T1704</t>
  </si>
  <si>
    <t>T1705</t>
  </si>
  <si>
    <t>T1706</t>
  </si>
  <si>
    <t>T1707</t>
  </si>
  <si>
    <t>T1708</t>
  </si>
  <si>
    <t>T1709</t>
  </si>
  <si>
    <t>T1710</t>
  </si>
  <si>
    <t>T1711</t>
  </si>
  <si>
    <t>T1712</t>
  </si>
  <si>
    <t>T1713</t>
  </si>
  <si>
    <t>T1714</t>
  </si>
  <si>
    <t>T1715</t>
  </si>
  <si>
    <t>T1716</t>
  </si>
  <si>
    <t>T1717</t>
  </si>
  <si>
    <t>T1718</t>
  </si>
  <si>
    <t>T1719</t>
  </si>
  <si>
    <t>T1720</t>
  </si>
  <si>
    <t>T1721</t>
  </si>
  <si>
    <t>T1722</t>
  </si>
  <si>
    <t>T1723</t>
  </si>
  <si>
    <t>T1724</t>
  </si>
  <si>
    <t>T1725</t>
  </si>
  <si>
    <t>T1726</t>
  </si>
  <si>
    <t>T1727</t>
  </si>
  <si>
    <t>T1728</t>
  </si>
  <si>
    <t>T1729</t>
  </si>
  <si>
    <t>T1730</t>
  </si>
  <si>
    <t>T1731</t>
  </si>
  <si>
    <t>T1732</t>
  </si>
  <si>
    <t>T1733</t>
  </si>
  <si>
    <t>T1734</t>
  </si>
  <si>
    <t>T1735</t>
  </si>
  <si>
    <t>T1736</t>
  </si>
  <si>
    <t>T1737</t>
  </si>
  <si>
    <t>T1738</t>
  </si>
  <si>
    <t>T1739</t>
  </si>
  <si>
    <t>T1740</t>
  </si>
  <si>
    <t>T1741</t>
  </si>
  <si>
    <t>T1742</t>
  </si>
  <si>
    <t>T1743</t>
  </si>
  <si>
    <t>T1744</t>
  </si>
  <si>
    <t>T1745</t>
  </si>
  <si>
    <t>T1746</t>
  </si>
  <si>
    <t>T1747</t>
  </si>
  <si>
    <t>T1748</t>
  </si>
  <si>
    <t>T1749</t>
  </si>
  <si>
    <t>T1750</t>
  </si>
  <si>
    <t>T1751</t>
  </si>
  <si>
    <t>T1752</t>
  </si>
  <si>
    <t>T1753</t>
  </si>
  <si>
    <t>T1754</t>
  </si>
  <si>
    <t>T1755</t>
  </si>
  <si>
    <t>T1756</t>
  </si>
  <si>
    <t>T1757</t>
  </si>
  <si>
    <t>T1758</t>
  </si>
  <si>
    <t>T1759</t>
  </si>
  <si>
    <t>T1760</t>
  </si>
  <si>
    <t>T1761</t>
  </si>
  <si>
    <t>T1762</t>
  </si>
  <si>
    <t>T1763</t>
  </si>
  <si>
    <t>T1764</t>
  </si>
  <si>
    <t>T1765</t>
  </si>
  <si>
    <t>T1766</t>
  </si>
  <si>
    <t>T1767</t>
  </si>
  <si>
    <t>T1768</t>
  </si>
  <si>
    <t>T1769</t>
  </si>
  <si>
    <t>T1770</t>
  </si>
  <si>
    <t>T1771</t>
  </si>
  <si>
    <t>T1772</t>
  </si>
  <si>
    <t>T1773</t>
  </si>
  <si>
    <t>T1774</t>
  </si>
  <si>
    <t>T1775</t>
  </si>
  <si>
    <t>T1776</t>
  </si>
  <si>
    <t>T1777</t>
  </si>
  <si>
    <t>T1778</t>
  </si>
  <si>
    <t>T1779</t>
  </si>
  <si>
    <t>T1780</t>
  </si>
  <si>
    <t>T1781</t>
  </si>
  <si>
    <t>T1782</t>
  </si>
  <si>
    <t>T1783</t>
  </si>
  <si>
    <t>T1784</t>
  </si>
  <si>
    <t>T1785</t>
  </si>
  <si>
    <t>T1786</t>
  </si>
  <si>
    <t>T1787</t>
  </si>
  <si>
    <t>T1788</t>
  </si>
  <si>
    <t>T1789</t>
  </si>
  <si>
    <t>T1790</t>
  </si>
  <si>
    <t>T1791</t>
  </si>
  <si>
    <t>T1792</t>
  </si>
  <si>
    <t>T1793</t>
  </si>
  <si>
    <t>T1794</t>
  </si>
  <si>
    <t>T1795</t>
  </si>
  <si>
    <t>T1796</t>
  </si>
  <si>
    <t>T1797</t>
  </si>
  <si>
    <t>T1798</t>
  </si>
  <si>
    <t>T1799</t>
  </si>
  <si>
    <t>T1800</t>
  </si>
  <si>
    <t>T1801</t>
  </si>
  <si>
    <t>T1802</t>
  </si>
  <si>
    <t>T1803</t>
  </si>
  <si>
    <t>T1804</t>
  </si>
  <si>
    <t>T1805</t>
  </si>
  <si>
    <t>T1806</t>
  </si>
  <si>
    <t>T1807</t>
  </si>
  <si>
    <t>T1808</t>
  </si>
  <si>
    <t>T1809</t>
  </si>
  <si>
    <t>T1810</t>
  </si>
  <si>
    <t>T1811</t>
  </si>
  <si>
    <t>T1812</t>
  </si>
  <si>
    <t>T1813</t>
  </si>
  <si>
    <t>T1814</t>
  </si>
  <si>
    <t>T1815</t>
  </si>
  <si>
    <t>T1816</t>
  </si>
  <si>
    <t>T1817</t>
  </si>
  <si>
    <t>T1818</t>
  </si>
  <si>
    <t>T1819</t>
  </si>
  <si>
    <t>T1820</t>
  </si>
  <si>
    <t>T1821</t>
  </si>
  <si>
    <t>T1822</t>
  </si>
  <si>
    <t>T1823</t>
  </si>
  <si>
    <t>T1824</t>
  </si>
  <si>
    <t>T1825</t>
  </si>
  <si>
    <t>T1826</t>
  </si>
  <si>
    <t>T1827</t>
  </si>
  <si>
    <t>T1828</t>
  </si>
  <si>
    <t>T1829</t>
  </si>
  <si>
    <t>T1830</t>
  </si>
  <si>
    <t>T1831</t>
  </si>
  <si>
    <t>T1832</t>
  </si>
  <si>
    <t>T1833</t>
  </si>
  <si>
    <t>T1834</t>
  </si>
  <si>
    <t>T1835</t>
  </si>
  <si>
    <t>T1836</t>
  </si>
  <si>
    <t>T1837</t>
  </si>
  <si>
    <t>T1838</t>
  </si>
  <si>
    <t>T1839</t>
  </si>
  <si>
    <t>T1840</t>
  </si>
  <si>
    <t>T1841</t>
  </si>
  <si>
    <t>T1842</t>
  </si>
  <si>
    <t>T1843</t>
  </si>
  <si>
    <t>T1844</t>
  </si>
  <si>
    <t>T1845</t>
  </si>
  <si>
    <t>T1846</t>
  </si>
  <si>
    <t>T1847</t>
  </si>
  <si>
    <t>T1848</t>
  </si>
  <si>
    <t>T1849</t>
  </si>
  <si>
    <t>T1850</t>
  </si>
  <si>
    <t>T1851</t>
  </si>
  <si>
    <t>T1852</t>
  </si>
  <si>
    <t>T1853</t>
  </si>
  <si>
    <t>T1854</t>
  </si>
  <si>
    <t>T1855</t>
  </si>
  <si>
    <t>T1856</t>
  </si>
  <si>
    <t>T1857</t>
  </si>
  <si>
    <t>T1858</t>
  </si>
  <si>
    <t>T1859</t>
  </si>
  <si>
    <t>T1860</t>
  </si>
  <si>
    <t>T1861</t>
  </si>
  <si>
    <t>T1862</t>
  </si>
  <si>
    <t>T1863</t>
  </si>
  <si>
    <t>T1864</t>
  </si>
  <si>
    <t>T1865</t>
  </si>
  <si>
    <t>T1866</t>
  </si>
  <si>
    <t>T1867</t>
  </si>
  <si>
    <t>T1868</t>
  </si>
  <si>
    <t>T1869</t>
  </si>
  <si>
    <t>T1870</t>
  </si>
  <si>
    <t>T1871</t>
  </si>
  <si>
    <t>T1872</t>
  </si>
  <si>
    <t>T1873</t>
  </si>
  <si>
    <t>T1874</t>
  </si>
  <si>
    <t>T1875</t>
  </si>
  <si>
    <t>T1876</t>
  </si>
  <si>
    <t>T1877</t>
  </si>
  <si>
    <t>T1878</t>
  </si>
  <si>
    <t>T1879</t>
  </si>
  <si>
    <t>T1880</t>
  </si>
  <si>
    <t>T1881</t>
  </si>
  <si>
    <t>T1882</t>
  </si>
  <si>
    <t>T1883</t>
  </si>
  <si>
    <t>T1884</t>
  </si>
  <si>
    <t>T1885</t>
  </si>
  <si>
    <t>T1886</t>
  </si>
  <si>
    <t>T1887</t>
  </si>
  <si>
    <t>T1888</t>
  </si>
  <si>
    <t>T1889</t>
  </si>
  <si>
    <t>T1890</t>
  </si>
  <si>
    <t>T1891</t>
  </si>
  <si>
    <t>T1892</t>
  </si>
  <si>
    <t>T1893</t>
  </si>
  <si>
    <t>T1894</t>
  </si>
  <si>
    <t>T1895</t>
  </si>
  <si>
    <t>T1896</t>
  </si>
  <si>
    <t>T1897</t>
  </si>
  <si>
    <t>T1898</t>
  </si>
  <si>
    <t>T1899</t>
  </si>
  <si>
    <t>T1900</t>
  </si>
  <si>
    <t>T1901</t>
  </si>
  <si>
    <t>T1902</t>
  </si>
  <si>
    <t>T1903</t>
  </si>
  <si>
    <t>T1904</t>
  </si>
  <si>
    <t>T1905</t>
  </si>
  <si>
    <t>T1906</t>
  </si>
  <si>
    <t>T1907</t>
  </si>
  <si>
    <t>T1908</t>
  </si>
  <si>
    <t>T1909</t>
  </si>
  <si>
    <t>T1910</t>
  </si>
  <si>
    <t>T1911</t>
  </si>
  <si>
    <t>T1912</t>
  </si>
  <si>
    <t>T1913</t>
  </si>
  <si>
    <t>T1914</t>
  </si>
  <si>
    <t>T1915</t>
  </si>
  <si>
    <t>T1916</t>
  </si>
  <si>
    <t>T1917</t>
  </si>
  <si>
    <t>T1918</t>
  </si>
  <si>
    <t>T1919</t>
  </si>
  <si>
    <t>T1920</t>
  </si>
  <si>
    <t>T1921</t>
  </si>
  <si>
    <t>T1922</t>
  </si>
  <si>
    <t>T1923</t>
  </si>
  <si>
    <t>T1924</t>
  </si>
  <si>
    <t>T1925</t>
  </si>
  <si>
    <t>T1926</t>
  </si>
  <si>
    <t>T1927</t>
  </si>
  <si>
    <t>T1928</t>
  </si>
  <si>
    <t>T1929</t>
  </si>
  <si>
    <t>T1930</t>
  </si>
  <si>
    <t>T1931</t>
  </si>
  <si>
    <t>T1932</t>
  </si>
  <si>
    <t>T1933</t>
  </si>
  <si>
    <t>T1934</t>
  </si>
  <si>
    <t>T1935</t>
  </si>
  <si>
    <t>T1936</t>
  </si>
  <si>
    <t>T1937</t>
  </si>
  <si>
    <t>T1938</t>
  </si>
  <si>
    <t>T1939</t>
  </si>
  <si>
    <t>T1940</t>
  </si>
  <si>
    <t>T1941</t>
  </si>
  <si>
    <t>T1942</t>
  </si>
  <si>
    <t>T1943</t>
  </si>
  <si>
    <t>T1944</t>
  </si>
  <si>
    <t>T1945</t>
  </si>
  <si>
    <t>T1946</t>
  </si>
  <si>
    <t>T1947</t>
  </si>
  <si>
    <t>T1948</t>
  </si>
  <si>
    <t>T1949</t>
  </si>
  <si>
    <t>T1950</t>
  </si>
  <si>
    <t>T1951</t>
  </si>
  <si>
    <t>T1952</t>
  </si>
  <si>
    <t>T1953</t>
  </si>
  <si>
    <t>T1954</t>
  </si>
  <si>
    <t>T1955</t>
  </si>
  <si>
    <t>T1956</t>
  </si>
  <si>
    <t>T1957</t>
  </si>
  <si>
    <t>T1958</t>
  </si>
  <si>
    <t>T1959</t>
  </si>
  <si>
    <t>T1960</t>
  </si>
  <si>
    <t>T1961</t>
  </si>
  <si>
    <t>T1962</t>
  </si>
  <si>
    <t>T1963</t>
  </si>
  <si>
    <t>T1964</t>
  </si>
  <si>
    <t>T1965</t>
  </si>
  <si>
    <t>T1966</t>
  </si>
  <si>
    <t>T1967</t>
  </si>
  <si>
    <t>T1968</t>
  </si>
  <si>
    <t>T1969</t>
  </si>
  <si>
    <t>T1970</t>
  </si>
  <si>
    <t>T1971</t>
  </si>
  <si>
    <t>T1972</t>
  </si>
  <si>
    <t>T1973</t>
  </si>
  <si>
    <t>T1974</t>
  </si>
  <si>
    <t>T1975</t>
  </si>
  <si>
    <t>T1976</t>
  </si>
  <si>
    <t>T1977</t>
  </si>
  <si>
    <t>T1978</t>
  </si>
  <si>
    <t>T1979</t>
  </si>
  <si>
    <t>T1980</t>
  </si>
  <si>
    <t>T1981</t>
  </si>
  <si>
    <t>T1982</t>
  </si>
  <si>
    <t>T1983</t>
  </si>
  <si>
    <t>T1984</t>
  </si>
  <si>
    <t>T1985</t>
  </si>
  <si>
    <t>T1986</t>
  </si>
  <si>
    <t>T1987</t>
  </si>
  <si>
    <t>T1988</t>
  </si>
  <si>
    <t>T1989</t>
  </si>
  <si>
    <t>T1990</t>
  </si>
  <si>
    <t>T1991</t>
  </si>
  <si>
    <t>T1992</t>
  </si>
  <si>
    <t>T1993</t>
  </si>
  <si>
    <t>T1994</t>
  </si>
  <si>
    <t>T1995</t>
  </si>
  <si>
    <t>T1996</t>
  </si>
  <si>
    <t>T1997</t>
  </si>
  <si>
    <t>T1998</t>
  </si>
  <si>
    <t>T1999</t>
  </si>
  <si>
    <t>T2000</t>
  </si>
  <si>
    <t>T2001</t>
  </si>
  <si>
    <t>T2002</t>
  </si>
  <si>
    <t>T2003</t>
  </si>
  <si>
    <t>T2004</t>
  </si>
  <si>
    <t>T2005</t>
  </si>
  <si>
    <t>T2006</t>
  </si>
  <si>
    <t>T2007</t>
  </si>
  <si>
    <t>T2008</t>
  </si>
  <si>
    <t>T2009</t>
  </si>
  <si>
    <t>T2010</t>
  </si>
  <si>
    <t>T2011</t>
  </si>
  <si>
    <t>T2012</t>
  </si>
  <si>
    <t>T2013</t>
  </si>
  <si>
    <t>T2014</t>
  </si>
  <si>
    <t>T2015</t>
  </si>
  <si>
    <t>T2016</t>
  </si>
  <si>
    <t>T2017</t>
  </si>
  <si>
    <t>T2018</t>
  </si>
  <si>
    <t>T2019</t>
  </si>
  <si>
    <t>T2020</t>
  </si>
  <si>
    <t>T2021</t>
  </si>
  <si>
    <t>T2022</t>
  </si>
  <si>
    <t>T2023</t>
  </si>
  <si>
    <t>T2024</t>
  </si>
  <si>
    <t>T2025</t>
  </si>
  <si>
    <t>T2026</t>
  </si>
  <si>
    <t>T2027</t>
  </si>
  <si>
    <t>T2028</t>
  </si>
  <si>
    <t>T2029</t>
  </si>
  <si>
    <t>T2030</t>
  </si>
  <si>
    <t>T2031</t>
  </si>
  <si>
    <t>T2032</t>
  </si>
  <si>
    <t>T2033</t>
  </si>
  <si>
    <t>T2034</t>
  </si>
  <si>
    <t>T2035</t>
  </si>
  <si>
    <t>T2036</t>
  </si>
  <si>
    <t>T2037</t>
  </si>
  <si>
    <t>T2038</t>
  </si>
  <si>
    <t>T2039</t>
  </si>
  <si>
    <t>T2040</t>
  </si>
  <si>
    <t>T2041</t>
  </si>
  <si>
    <t>T2042</t>
  </si>
  <si>
    <t>T2043</t>
  </si>
  <si>
    <t>T2044</t>
  </si>
  <si>
    <t>T2045</t>
  </si>
  <si>
    <t>T2046</t>
  </si>
  <si>
    <t>T2047</t>
  </si>
  <si>
    <t>T2048</t>
  </si>
  <si>
    <t>T2049</t>
  </si>
  <si>
    <t>T2050</t>
  </si>
  <si>
    <t>T2051</t>
  </si>
  <si>
    <t>T2052</t>
  </si>
  <si>
    <t>T2053</t>
  </si>
  <si>
    <t>T2054</t>
  </si>
  <si>
    <t>T2055</t>
  </si>
  <si>
    <t>T2056</t>
  </si>
  <si>
    <t>T2057</t>
  </si>
  <si>
    <t>T2058</t>
  </si>
  <si>
    <t>T2059</t>
  </si>
  <si>
    <t>T2060</t>
  </si>
  <si>
    <t>T2061</t>
  </si>
  <si>
    <t>T2062</t>
  </si>
  <si>
    <t>T2063</t>
  </si>
  <si>
    <t>T2064</t>
  </si>
  <si>
    <t>T2065</t>
  </si>
  <si>
    <t>T2066</t>
  </si>
  <si>
    <t>T2067</t>
  </si>
  <si>
    <t>T2068</t>
  </si>
  <si>
    <t>T2069</t>
  </si>
  <si>
    <t>T2070</t>
  </si>
  <si>
    <t>T2071</t>
  </si>
  <si>
    <t>T2072</t>
  </si>
  <si>
    <t>T2073</t>
  </si>
  <si>
    <t>T2074</t>
  </si>
  <si>
    <t>T2075</t>
  </si>
  <si>
    <t>T2076</t>
  </si>
  <si>
    <t>T2077</t>
  </si>
  <si>
    <t>T2078</t>
  </si>
  <si>
    <t>T2079</t>
  </si>
  <si>
    <t>T2080</t>
  </si>
  <si>
    <t>T2081</t>
  </si>
  <si>
    <t>T2082</t>
  </si>
  <si>
    <t>T2083</t>
  </si>
  <si>
    <t>T2084</t>
  </si>
  <si>
    <t>T2085</t>
  </si>
  <si>
    <t>T2086</t>
  </si>
  <si>
    <t>T2087</t>
  </si>
  <si>
    <t>T2088</t>
  </si>
  <si>
    <t>T2089</t>
  </si>
  <si>
    <t>T2090</t>
  </si>
  <si>
    <t>T2091</t>
  </si>
  <si>
    <t>T2092</t>
  </si>
  <si>
    <t>T2093</t>
  </si>
  <si>
    <t>T2094</t>
  </si>
  <si>
    <t>T2095</t>
  </si>
  <si>
    <t>T2096</t>
  </si>
  <si>
    <t>T2097</t>
  </si>
  <si>
    <t>T2098</t>
  </si>
  <si>
    <t>T2099</t>
  </si>
  <si>
    <t>T2100</t>
  </si>
  <si>
    <t>T2101</t>
  </si>
  <si>
    <t>T2102</t>
  </si>
  <si>
    <t>T2103</t>
  </si>
  <si>
    <t>T2104</t>
  </si>
  <si>
    <t>T2105</t>
  </si>
  <si>
    <t>T2106</t>
  </si>
  <si>
    <t>T2107</t>
  </si>
  <si>
    <t>T2108</t>
  </si>
  <si>
    <t>T2109</t>
  </si>
  <si>
    <t>T2110</t>
  </si>
  <si>
    <t>T2111</t>
  </si>
  <si>
    <t>T2112</t>
  </si>
  <si>
    <t>T2113</t>
  </si>
  <si>
    <t>T2114</t>
  </si>
  <si>
    <t>T2115</t>
  </si>
  <si>
    <t>T2116</t>
  </si>
  <si>
    <t>T2117</t>
  </si>
  <si>
    <t>T2118</t>
  </si>
  <si>
    <t>T2119</t>
  </si>
  <si>
    <t>T2120</t>
  </si>
  <si>
    <t>T2121</t>
  </si>
  <si>
    <t>T2122</t>
  </si>
  <si>
    <t>T2123</t>
  </si>
  <si>
    <t>T2124</t>
  </si>
  <si>
    <t>T2125</t>
  </si>
  <si>
    <t>T2126</t>
  </si>
  <si>
    <t>T2127</t>
  </si>
  <si>
    <t>T2128</t>
  </si>
  <si>
    <t>T2129</t>
  </si>
  <si>
    <t>T2130</t>
  </si>
  <si>
    <t>T2131</t>
  </si>
  <si>
    <t>T2132</t>
  </si>
  <si>
    <t>T2133</t>
  </si>
  <si>
    <t>T2134</t>
  </si>
  <si>
    <t>T2135</t>
  </si>
  <si>
    <t>T2136</t>
  </si>
  <si>
    <t>T2137</t>
  </si>
  <si>
    <t>T2138</t>
  </si>
  <si>
    <t>T2139</t>
  </si>
  <si>
    <t>T2140</t>
  </si>
  <si>
    <t>T2141</t>
  </si>
  <si>
    <t>T2142</t>
  </si>
  <si>
    <t>T2143</t>
  </si>
  <si>
    <t>T2144</t>
  </si>
  <si>
    <t>T2145</t>
  </si>
  <si>
    <t>T2146</t>
  </si>
  <si>
    <t>T2147</t>
  </si>
  <si>
    <t>T2148</t>
  </si>
  <si>
    <t>T2149</t>
  </si>
  <si>
    <t>T2150</t>
  </si>
  <si>
    <t>T2151</t>
  </si>
  <si>
    <t>T2152</t>
  </si>
  <si>
    <t>T2153</t>
  </si>
  <si>
    <t>T2154</t>
  </si>
  <si>
    <t>T2155</t>
  </si>
  <si>
    <t>T2156</t>
  </si>
  <si>
    <t>T2157</t>
  </si>
  <si>
    <t>T2158</t>
  </si>
  <si>
    <t>T2159</t>
  </si>
  <si>
    <t>T2160</t>
  </si>
  <si>
    <t>T2161</t>
  </si>
  <si>
    <t>T2162</t>
  </si>
  <si>
    <t>T2163</t>
  </si>
  <si>
    <t>T2164</t>
  </si>
  <si>
    <t>T2165</t>
  </si>
  <si>
    <t>T2166</t>
  </si>
  <si>
    <t>T2167</t>
  </si>
  <si>
    <t>T2168</t>
  </si>
  <si>
    <t>T2169</t>
  </si>
  <si>
    <t>T2170</t>
  </si>
  <si>
    <t>T2171</t>
  </si>
  <si>
    <t>T2172</t>
  </si>
  <si>
    <t>T2173</t>
  </si>
  <si>
    <t>T2174</t>
  </si>
  <si>
    <t>T2175</t>
  </si>
  <si>
    <t>T2176</t>
  </si>
  <si>
    <t>T2177</t>
  </si>
  <si>
    <t>T2178</t>
  </si>
  <si>
    <t>T2179</t>
  </si>
  <si>
    <t>T2180</t>
  </si>
  <si>
    <t>T2181</t>
  </si>
  <si>
    <t>T2182</t>
  </si>
  <si>
    <t>T2183</t>
  </si>
  <si>
    <t>T2184</t>
  </si>
  <si>
    <t>T2185</t>
  </si>
  <si>
    <t>T2186</t>
  </si>
  <si>
    <t>T2187</t>
  </si>
  <si>
    <t>T2188</t>
  </si>
  <si>
    <t>T2189</t>
  </si>
  <si>
    <t>T2190</t>
  </si>
  <si>
    <t>T2191</t>
  </si>
  <si>
    <t>T2192</t>
  </si>
  <si>
    <t>T2193</t>
  </si>
  <si>
    <t>T2194</t>
  </si>
  <si>
    <t>T2195</t>
  </si>
  <si>
    <t>T2196</t>
  </si>
  <si>
    <t>T2197</t>
  </si>
  <si>
    <t>T2198</t>
  </si>
  <si>
    <t>T2199</t>
  </si>
  <si>
    <t>T2200</t>
  </si>
  <si>
    <t>T2201</t>
  </si>
  <si>
    <t>T2202</t>
  </si>
  <si>
    <t>T2203</t>
  </si>
  <si>
    <t>T2204</t>
  </si>
  <si>
    <t>T2205</t>
  </si>
  <si>
    <t>T2206</t>
  </si>
  <si>
    <t>T2207</t>
  </si>
  <si>
    <t>T2208</t>
  </si>
  <si>
    <t>T2209</t>
  </si>
  <si>
    <t>T2210</t>
  </si>
  <si>
    <t>T2211</t>
  </si>
  <si>
    <t>T2212</t>
  </si>
  <si>
    <t>T2213</t>
  </si>
  <si>
    <t>T2214</t>
  </si>
  <si>
    <t>T2215</t>
  </si>
  <si>
    <t>T2216</t>
  </si>
  <si>
    <t>T2217</t>
  </si>
  <si>
    <t>T2218</t>
  </si>
  <si>
    <t>T2219</t>
  </si>
  <si>
    <t>T2220</t>
  </si>
  <si>
    <t>T2221</t>
  </si>
  <si>
    <t>T2222</t>
  </si>
  <si>
    <t>T2223</t>
  </si>
  <si>
    <t>T2224</t>
  </si>
  <si>
    <t>T2225</t>
  </si>
  <si>
    <t>T2226</t>
  </si>
  <si>
    <t>T2227</t>
  </si>
  <si>
    <t>T2228</t>
  </si>
  <si>
    <t>T2229</t>
  </si>
  <si>
    <t>T2230</t>
  </si>
  <si>
    <t>T2231</t>
  </si>
  <si>
    <t>T2232</t>
  </si>
  <si>
    <t>T2233</t>
  </si>
  <si>
    <t>T2234</t>
  </si>
  <si>
    <t>T2235</t>
  </si>
  <si>
    <t>T2236</t>
  </si>
  <si>
    <t>T2237</t>
  </si>
  <si>
    <t>T2238</t>
  </si>
  <si>
    <t>T2239</t>
  </si>
  <si>
    <t>T2240</t>
  </si>
  <si>
    <t>T2241</t>
  </si>
  <si>
    <t>T2242</t>
  </si>
  <si>
    <t>T2243</t>
  </si>
  <si>
    <t>T2244</t>
  </si>
  <si>
    <t>T2245</t>
  </si>
  <si>
    <t>T2246</t>
  </si>
  <si>
    <t>T2247</t>
  </si>
  <si>
    <t>T2248</t>
  </si>
  <si>
    <t>T2249</t>
  </si>
  <si>
    <t>T2250</t>
  </si>
  <si>
    <t>T2251</t>
  </si>
  <si>
    <t>T2252</t>
  </si>
  <si>
    <t>T2253</t>
  </si>
  <si>
    <t>T2254</t>
  </si>
  <si>
    <t>T2255</t>
  </si>
  <si>
    <t>T2256</t>
  </si>
  <si>
    <t>T2257</t>
  </si>
  <si>
    <t>T2258</t>
  </si>
  <si>
    <t>T2259</t>
  </si>
  <si>
    <t>T2260</t>
  </si>
  <si>
    <t>T2261</t>
  </si>
  <si>
    <t>T2262</t>
  </si>
  <si>
    <t>T2263</t>
  </si>
  <si>
    <t>T2264</t>
  </si>
  <si>
    <t>T2265</t>
  </si>
  <si>
    <t>T2266</t>
  </si>
  <si>
    <t>T2267</t>
  </si>
  <si>
    <t>T2268</t>
  </si>
  <si>
    <t>T2269</t>
  </si>
  <si>
    <t>T2270</t>
  </si>
  <si>
    <t>T2271</t>
  </si>
  <si>
    <t>T2272</t>
  </si>
  <si>
    <t>T2273</t>
  </si>
  <si>
    <t>T2274</t>
  </si>
  <si>
    <t>T2275</t>
  </si>
  <si>
    <t>T2276</t>
  </si>
  <si>
    <t>T2277</t>
  </si>
  <si>
    <t>T2278</t>
  </si>
  <si>
    <t>T2279</t>
  </si>
  <si>
    <t>T2280</t>
  </si>
  <si>
    <t>T2281</t>
  </si>
  <si>
    <t>T2282</t>
  </si>
  <si>
    <t>T2283</t>
  </si>
  <si>
    <t>T2284</t>
  </si>
  <si>
    <t>T2285</t>
  </si>
  <si>
    <t>T2286</t>
  </si>
  <si>
    <t>T2287</t>
  </si>
  <si>
    <t>T2288</t>
  </si>
  <si>
    <t>T2289</t>
  </si>
  <si>
    <t>T2290</t>
  </si>
  <si>
    <t>T2291</t>
  </si>
  <si>
    <t>T2292</t>
  </si>
  <si>
    <t>T2293</t>
  </si>
  <si>
    <t>T2294</t>
  </si>
  <si>
    <t>T2295</t>
  </si>
  <si>
    <t>T2296</t>
  </si>
  <si>
    <t>T2297</t>
  </si>
  <si>
    <t>T2298</t>
  </si>
  <si>
    <t>T2299</t>
  </si>
  <si>
    <t>T2300</t>
  </si>
  <si>
    <t>T2301</t>
  </si>
  <si>
    <t>T2302</t>
  </si>
  <si>
    <t>T2303</t>
  </si>
  <si>
    <t>T2304</t>
  </si>
  <si>
    <t>T2305</t>
  </si>
  <si>
    <t>T2306</t>
  </si>
  <si>
    <t>T2307</t>
  </si>
  <si>
    <t>T2308</t>
  </si>
  <si>
    <t>T2309</t>
  </si>
  <si>
    <t>T2310</t>
  </si>
  <si>
    <t>T2311</t>
  </si>
  <si>
    <t>T2312</t>
  </si>
  <si>
    <t>T2313</t>
  </si>
  <si>
    <t>T2314</t>
  </si>
  <si>
    <t>T2315</t>
  </si>
  <si>
    <t>T2316</t>
  </si>
  <si>
    <t>T2317</t>
  </si>
  <si>
    <t>T2318</t>
  </si>
  <si>
    <t>T2319</t>
  </si>
  <si>
    <t>T2320</t>
  </si>
  <si>
    <t>T2321</t>
  </si>
  <si>
    <t>T2322</t>
  </si>
  <si>
    <t>T2323</t>
  </si>
  <si>
    <t>T2324</t>
  </si>
  <si>
    <t>T2325</t>
  </si>
  <si>
    <t>T2326</t>
  </si>
  <si>
    <t>T2327</t>
  </si>
  <si>
    <t>T2328</t>
  </si>
  <si>
    <t>T2329</t>
  </si>
  <si>
    <t>T2330</t>
  </si>
  <si>
    <t>T2331</t>
  </si>
  <si>
    <t>T2332</t>
  </si>
  <si>
    <t>T2333</t>
  </si>
  <si>
    <t>T2334</t>
  </si>
  <si>
    <t>T2335</t>
  </si>
  <si>
    <t>T2336</t>
  </si>
  <si>
    <t>T2337</t>
  </si>
  <si>
    <t>T2338</t>
  </si>
  <si>
    <t>T2339</t>
  </si>
  <si>
    <t>T2340</t>
  </si>
  <si>
    <t>T2341</t>
  </si>
  <si>
    <t>T2342</t>
  </si>
  <si>
    <t>T2343</t>
  </si>
  <si>
    <t>T2344</t>
  </si>
  <si>
    <t>T2345</t>
  </si>
  <si>
    <t>T2346</t>
  </si>
  <si>
    <t>T2347</t>
  </si>
  <si>
    <t>T2348</t>
  </si>
  <si>
    <t>T2349</t>
  </si>
  <si>
    <t>T2350</t>
  </si>
  <si>
    <t>T2351</t>
  </si>
  <si>
    <t>T2352</t>
  </si>
  <si>
    <t>T2353</t>
  </si>
  <si>
    <t>T2354</t>
  </si>
  <si>
    <t>T2355</t>
  </si>
  <si>
    <t>T2356</t>
  </si>
  <si>
    <t>T2357</t>
  </si>
  <si>
    <t>T2358</t>
  </si>
  <si>
    <t>T2359</t>
  </si>
  <si>
    <t>T2360</t>
  </si>
  <si>
    <t>T2361</t>
  </si>
  <si>
    <t>T2362</t>
  </si>
  <si>
    <t>T2363</t>
  </si>
  <si>
    <t>T2364</t>
  </si>
  <si>
    <t>T2365</t>
  </si>
  <si>
    <t>T2366</t>
  </si>
  <si>
    <t>T2367</t>
  </si>
  <si>
    <t>T2368</t>
  </si>
  <si>
    <t>T2369</t>
  </si>
  <si>
    <t>T2370</t>
  </si>
  <si>
    <t>T2371</t>
  </si>
  <si>
    <t>T2372</t>
  </si>
  <si>
    <t>T2373</t>
  </si>
  <si>
    <t>T2374</t>
  </si>
  <si>
    <t>T2375</t>
  </si>
  <si>
    <t>T2376</t>
  </si>
  <si>
    <t>T2377</t>
  </si>
  <si>
    <t>T2378</t>
  </si>
  <si>
    <t>T2379</t>
  </si>
  <si>
    <t>T2380</t>
  </si>
  <si>
    <t>T2381</t>
  </si>
  <si>
    <t>T2382</t>
  </si>
  <si>
    <t>T2383</t>
  </si>
  <si>
    <t>T2384</t>
  </si>
  <si>
    <t>T2385</t>
  </si>
  <si>
    <t>T2386</t>
  </si>
  <si>
    <t>T2387</t>
  </si>
  <si>
    <t>T2388</t>
  </si>
  <si>
    <t>T2389</t>
  </si>
  <si>
    <t>T2390</t>
  </si>
  <si>
    <t>T2391</t>
  </si>
  <si>
    <t>T2392</t>
  </si>
  <si>
    <t>T2393</t>
  </si>
  <si>
    <t>T2394</t>
  </si>
  <si>
    <t>T2395</t>
  </si>
  <si>
    <t>T2396</t>
  </si>
  <si>
    <t>T2397</t>
  </si>
  <si>
    <t>T2398</t>
  </si>
  <si>
    <t>T2399</t>
  </si>
  <si>
    <t>T2400</t>
  </si>
  <si>
    <t>T2401</t>
  </si>
  <si>
    <t>T2402</t>
  </si>
  <si>
    <t>T2403</t>
  </si>
  <si>
    <t>T2404</t>
  </si>
  <si>
    <t>T2405</t>
  </si>
  <si>
    <t>T2406</t>
  </si>
  <si>
    <t>T2407</t>
  </si>
  <si>
    <t>T2408</t>
  </si>
  <si>
    <t>T2409</t>
  </si>
  <si>
    <t>T2410</t>
  </si>
  <si>
    <t>T2411</t>
  </si>
  <si>
    <t>T2412</t>
  </si>
  <si>
    <t>T2413</t>
  </si>
  <si>
    <t>T2414</t>
  </si>
  <si>
    <t>T2415</t>
  </si>
  <si>
    <t>T2416</t>
  </si>
  <si>
    <t>T2417</t>
  </si>
  <si>
    <t>T2418</t>
  </si>
  <si>
    <t>T2419</t>
  </si>
  <si>
    <t>T2420</t>
  </si>
  <si>
    <t>T2421</t>
  </si>
  <si>
    <t>T2422</t>
  </si>
  <si>
    <t>T2423</t>
  </si>
  <si>
    <t>T2424</t>
  </si>
  <si>
    <t>T2425</t>
  </si>
  <si>
    <t>T2426</t>
  </si>
  <si>
    <t>T2427</t>
  </si>
  <si>
    <t>T2428</t>
  </si>
  <si>
    <t>T2429</t>
  </si>
  <si>
    <t>T2430</t>
  </si>
  <si>
    <t>T2431</t>
  </si>
  <si>
    <t>T2432</t>
  </si>
  <si>
    <t>T2433</t>
  </si>
  <si>
    <t>T2434</t>
  </si>
  <si>
    <t>T2435</t>
  </si>
  <si>
    <t>T2436</t>
  </si>
  <si>
    <t>T2437</t>
  </si>
  <si>
    <t>T2438</t>
  </si>
  <si>
    <t>T2439</t>
  </si>
  <si>
    <t>T2440</t>
  </si>
  <si>
    <t>T2441</t>
  </si>
  <si>
    <t>T2442</t>
  </si>
  <si>
    <t>T2443</t>
  </si>
  <si>
    <t>T2444</t>
  </si>
  <si>
    <t>T2445</t>
  </si>
  <si>
    <t>T2446</t>
  </si>
  <si>
    <t>T2447</t>
  </si>
  <si>
    <t>T2448</t>
  </si>
  <si>
    <t>T2449</t>
  </si>
  <si>
    <t>T2450</t>
  </si>
  <si>
    <t>T2451</t>
  </si>
  <si>
    <t>T2452</t>
  </si>
  <si>
    <t>T2453</t>
  </si>
  <si>
    <t>T2454</t>
  </si>
  <si>
    <t>T2455</t>
  </si>
  <si>
    <t>T2456</t>
  </si>
  <si>
    <t>T2457</t>
  </si>
  <si>
    <t>T2458</t>
  </si>
  <si>
    <t>T2459</t>
  </si>
  <si>
    <t>T2460</t>
  </si>
  <si>
    <t>T2461</t>
  </si>
  <si>
    <t>T2462</t>
  </si>
  <si>
    <t>T2463</t>
  </si>
  <si>
    <t>T2464</t>
  </si>
  <si>
    <t>T2465</t>
  </si>
  <si>
    <t>T2466</t>
  </si>
  <si>
    <t>T2467</t>
  </si>
  <si>
    <t>T2468</t>
  </si>
  <si>
    <t>T2469</t>
  </si>
  <si>
    <t>T2470</t>
  </si>
  <si>
    <t>T2471</t>
  </si>
  <si>
    <t>T2472</t>
  </si>
  <si>
    <t>T2473</t>
  </si>
  <si>
    <t>T2474</t>
  </si>
  <si>
    <t>T2475</t>
  </si>
  <si>
    <t>T2476</t>
  </si>
  <si>
    <t>T2477</t>
  </si>
  <si>
    <t>T2478</t>
  </si>
  <si>
    <t>T2479</t>
  </si>
  <si>
    <t>T2480</t>
  </si>
  <si>
    <t>T2481</t>
  </si>
  <si>
    <t>T2482</t>
  </si>
  <si>
    <t>T2483</t>
  </si>
  <si>
    <t>T2484</t>
  </si>
  <si>
    <t>T2485</t>
  </si>
  <si>
    <t>T2486</t>
  </si>
  <si>
    <t>T2487</t>
  </si>
  <si>
    <t>T2488</t>
  </si>
  <si>
    <t>T2489</t>
  </si>
  <si>
    <t>T2490</t>
  </si>
  <si>
    <t>T2491</t>
  </si>
  <si>
    <t>T2492</t>
  </si>
  <si>
    <t>T2493</t>
  </si>
  <si>
    <t>T2494</t>
  </si>
  <si>
    <t>T2495</t>
  </si>
  <si>
    <t>T2496</t>
  </si>
  <si>
    <t>T2497</t>
  </si>
  <si>
    <t>T2498</t>
  </si>
  <si>
    <t>T2499</t>
  </si>
  <si>
    <t>T2500</t>
  </si>
  <si>
    <t>T2501</t>
  </si>
  <si>
    <t>T2502</t>
  </si>
  <si>
    <t>T2503</t>
  </si>
  <si>
    <t>T2504</t>
  </si>
  <si>
    <t>T2505</t>
  </si>
  <si>
    <t>T2506</t>
  </si>
  <si>
    <t>T2507</t>
  </si>
  <si>
    <t>T2508</t>
  </si>
  <si>
    <t>T2509</t>
  </si>
  <si>
    <t>T2510</t>
  </si>
  <si>
    <t>T2511</t>
  </si>
  <si>
    <t>T2512</t>
  </si>
  <si>
    <t>T2513</t>
  </si>
  <si>
    <t>T2514</t>
  </si>
  <si>
    <t>T2515</t>
  </si>
  <si>
    <t>T2516</t>
  </si>
  <si>
    <t>T2517</t>
  </si>
  <si>
    <t>T2518</t>
  </si>
  <si>
    <t>T2519</t>
  </si>
  <si>
    <t>T2520</t>
  </si>
  <si>
    <t>T2521</t>
  </si>
  <si>
    <t>T2522</t>
  </si>
  <si>
    <t>T2523</t>
  </si>
  <si>
    <t>T2524</t>
  </si>
  <si>
    <t>T2525</t>
  </si>
  <si>
    <t>T2526</t>
  </si>
  <si>
    <t>T2527</t>
  </si>
  <si>
    <t>T2528</t>
  </si>
  <si>
    <t>T2529</t>
  </si>
  <si>
    <t>T2530</t>
  </si>
  <si>
    <t>T2531</t>
  </si>
  <si>
    <t>T2532</t>
  </si>
  <si>
    <t>T2533</t>
  </si>
  <si>
    <t>T2534</t>
  </si>
  <si>
    <t>T2535</t>
  </si>
  <si>
    <t>T2536</t>
  </si>
  <si>
    <t>T2537</t>
  </si>
  <si>
    <t>T2538</t>
  </si>
  <si>
    <t>T2539</t>
  </si>
  <si>
    <t>T2540</t>
  </si>
  <si>
    <t>T2541</t>
  </si>
  <si>
    <t>T2542</t>
  </si>
  <si>
    <t>T2543</t>
  </si>
  <si>
    <t>T2544</t>
  </si>
  <si>
    <t>T2545</t>
  </si>
  <si>
    <t>T2546</t>
  </si>
  <si>
    <t>T2547</t>
  </si>
  <si>
    <t>T2548</t>
  </si>
  <si>
    <t>T2549</t>
  </si>
  <si>
    <t>T2550</t>
  </si>
  <si>
    <t>T2551</t>
  </si>
  <si>
    <t>T2552</t>
  </si>
  <si>
    <t>T2553</t>
  </si>
  <si>
    <t>T2554</t>
  </si>
  <si>
    <t>T2555</t>
  </si>
  <si>
    <t>T2556</t>
  </si>
  <si>
    <t>T2557</t>
  </si>
  <si>
    <t>T2558</t>
  </si>
  <si>
    <t>T2559</t>
  </si>
  <si>
    <t>T2560</t>
  </si>
  <si>
    <t>T2561</t>
  </si>
  <si>
    <t>T2562</t>
  </si>
  <si>
    <t>T2563</t>
  </si>
  <si>
    <t>T2564</t>
  </si>
  <si>
    <t>T2565</t>
  </si>
  <si>
    <t>T2566</t>
  </si>
  <si>
    <t>T2567</t>
  </si>
  <si>
    <t>T2568</t>
  </si>
  <si>
    <t>T2569</t>
  </si>
  <si>
    <t>T2570</t>
  </si>
  <si>
    <t>T2571</t>
  </si>
  <si>
    <t>T2572</t>
  </si>
  <si>
    <t>T2573</t>
  </si>
  <si>
    <t>T2574</t>
  </si>
  <si>
    <t>T2575</t>
  </si>
  <si>
    <t>T2576</t>
  </si>
  <si>
    <t>T2577</t>
  </si>
  <si>
    <t>T2578</t>
  </si>
  <si>
    <t>T2579</t>
  </si>
  <si>
    <t>T2580</t>
  </si>
  <si>
    <t>T2581</t>
  </si>
  <si>
    <t>T2582</t>
  </si>
  <si>
    <t>T2583</t>
  </si>
  <si>
    <t>T2584</t>
  </si>
  <si>
    <t>T2585</t>
  </si>
  <si>
    <t>T2586</t>
  </si>
  <si>
    <t>T2587</t>
  </si>
  <si>
    <t>T2588</t>
  </si>
  <si>
    <t>T2589</t>
  </si>
  <si>
    <t>T2590</t>
  </si>
  <si>
    <t>T2591</t>
  </si>
  <si>
    <t>T2592</t>
  </si>
  <si>
    <t>T2593</t>
  </si>
  <si>
    <t>T2594</t>
  </si>
  <si>
    <t>T2595</t>
  </si>
  <si>
    <t>T2596</t>
  </si>
  <si>
    <t>T2597</t>
  </si>
  <si>
    <t>T2598</t>
  </si>
  <si>
    <t>T2599</t>
  </si>
  <si>
    <t>T2600</t>
  </si>
  <si>
    <t>T2601</t>
  </si>
  <si>
    <t>T2602</t>
  </si>
  <si>
    <t>T2603</t>
  </si>
  <si>
    <t>T2604</t>
  </si>
  <si>
    <t>T2605</t>
  </si>
  <si>
    <t>T2606</t>
  </si>
  <si>
    <t>T2607</t>
  </si>
  <si>
    <t>T2608</t>
  </si>
  <si>
    <t>T2609</t>
  </si>
  <si>
    <t>T2610</t>
  </si>
  <si>
    <t>T2611</t>
  </si>
  <si>
    <t>T2612</t>
  </si>
  <si>
    <t>T2613</t>
  </si>
  <si>
    <t>T2614</t>
  </si>
  <si>
    <t>T2615</t>
  </si>
  <si>
    <t>T2616</t>
  </si>
  <si>
    <t>T2617</t>
  </si>
  <si>
    <t>T2618</t>
  </si>
  <si>
    <t>T2619</t>
  </si>
  <si>
    <t>T2620</t>
  </si>
  <si>
    <t>T2621</t>
  </si>
  <si>
    <t>T2622</t>
  </si>
  <si>
    <t>T2623</t>
  </si>
  <si>
    <t>T2624</t>
  </si>
  <si>
    <t>T2625</t>
  </si>
  <si>
    <t>T2626</t>
  </si>
  <si>
    <t>T2627</t>
  </si>
  <si>
    <t>T2628</t>
  </si>
  <si>
    <t>T2629</t>
  </si>
  <si>
    <t>T2630</t>
  </si>
  <si>
    <t>T2631</t>
  </si>
  <si>
    <t>T2632</t>
  </si>
  <si>
    <t>T2633</t>
  </si>
  <si>
    <t>T2634</t>
  </si>
  <si>
    <t>T2635</t>
  </si>
  <si>
    <t>T2636</t>
  </si>
  <si>
    <t>T2637</t>
  </si>
  <si>
    <t>T2638</t>
  </si>
  <si>
    <t>T2639</t>
  </si>
  <si>
    <t>T2640</t>
  </si>
  <si>
    <t>T2641</t>
  </si>
  <si>
    <t>T2642</t>
  </si>
  <si>
    <t>T2643</t>
  </si>
  <si>
    <t>T2644</t>
  </si>
  <si>
    <t>T2645</t>
  </si>
  <si>
    <t>T2646</t>
  </si>
  <si>
    <t>T2647</t>
  </si>
  <si>
    <t>T2648</t>
  </si>
  <si>
    <t>T2649</t>
  </si>
  <si>
    <t>T2650</t>
  </si>
  <si>
    <t>T2651</t>
  </si>
  <si>
    <t>T2652</t>
  </si>
  <si>
    <t>T2653</t>
  </si>
  <si>
    <t>T2654</t>
  </si>
  <si>
    <t>T2655</t>
  </si>
  <si>
    <t>T2656</t>
  </si>
  <si>
    <t>T2657</t>
  </si>
  <si>
    <t>T2658</t>
  </si>
  <si>
    <t>T2659</t>
  </si>
  <si>
    <t>T2660</t>
  </si>
  <si>
    <t>T2661</t>
  </si>
  <si>
    <t>T2662</t>
  </si>
  <si>
    <t>T2663</t>
  </si>
  <si>
    <t>T2664</t>
  </si>
  <si>
    <t>T2665</t>
  </si>
  <si>
    <t>T2666</t>
  </si>
  <si>
    <t>T2667</t>
  </si>
  <si>
    <t>T2668</t>
  </si>
  <si>
    <t>T2669</t>
  </si>
  <si>
    <t>T2670</t>
  </si>
  <si>
    <t>T2671</t>
  </si>
  <si>
    <t>T2672</t>
  </si>
  <si>
    <t>T2673</t>
  </si>
  <si>
    <t>T2674</t>
  </si>
  <si>
    <t>T2675</t>
  </si>
  <si>
    <t>T2676</t>
  </si>
  <si>
    <t>T2677</t>
  </si>
  <si>
    <t>T2678</t>
  </si>
  <si>
    <t>T2679</t>
  </si>
  <si>
    <t>T2680</t>
  </si>
  <si>
    <t>T2681</t>
  </si>
  <si>
    <t>T2682</t>
  </si>
  <si>
    <t>T2683</t>
  </si>
  <si>
    <t>T2684</t>
  </si>
  <si>
    <t>T2685</t>
  </si>
  <si>
    <t>T2686</t>
  </si>
  <si>
    <t>T2687</t>
  </si>
  <si>
    <t>T2688</t>
  </si>
  <si>
    <t>T2689</t>
  </si>
  <si>
    <t>T2690</t>
  </si>
  <si>
    <t>T2691</t>
  </si>
  <si>
    <t>T2692</t>
  </si>
  <si>
    <t>T2693</t>
  </si>
  <si>
    <t>T2694</t>
  </si>
  <si>
    <t>T2695</t>
  </si>
  <si>
    <t>T2696</t>
  </si>
  <si>
    <t>T2697</t>
  </si>
  <si>
    <t>T2698</t>
  </si>
  <si>
    <t>T2699</t>
  </si>
  <si>
    <t>T2700</t>
  </si>
  <si>
    <t>T2701</t>
  </si>
  <si>
    <t>T2702</t>
  </si>
  <si>
    <t>T2703</t>
  </si>
  <si>
    <t>T2704</t>
  </si>
  <si>
    <t>T2705</t>
  </si>
  <si>
    <t>T2706</t>
  </si>
  <si>
    <t>T2707</t>
  </si>
  <si>
    <t>T2708</t>
  </si>
  <si>
    <t>T2709</t>
  </si>
  <si>
    <t>T2710</t>
  </si>
  <si>
    <t>T2711</t>
  </si>
  <si>
    <t>T2712</t>
  </si>
  <si>
    <t>T2713</t>
  </si>
  <si>
    <t>T2714</t>
  </si>
  <si>
    <t>T2715</t>
  </si>
  <si>
    <t>T2716</t>
  </si>
  <si>
    <t>T2717</t>
  </si>
  <si>
    <t>T2718</t>
  </si>
  <si>
    <t>T2719</t>
  </si>
  <si>
    <t>T2720</t>
  </si>
  <si>
    <t>T2721</t>
  </si>
  <si>
    <t>T2722</t>
  </si>
  <si>
    <t>T2723</t>
  </si>
  <si>
    <t>T2724</t>
  </si>
  <si>
    <t>T2725</t>
  </si>
  <si>
    <t>T2726</t>
  </si>
  <si>
    <t>T2727</t>
  </si>
  <si>
    <t>T2728</t>
  </si>
  <si>
    <t>T2729</t>
  </si>
  <si>
    <t>T2730</t>
  </si>
  <si>
    <t>T2731</t>
  </si>
  <si>
    <t>T2732</t>
  </si>
  <si>
    <t>T2733</t>
  </si>
  <si>
    <t>T2734</t>
  </si>
  <si>
    <t>T2735</t>
  </si>
  <si>
    <t>T2736</t>
  </si>
  <si>
    <t>T2737</t>
  </si>
  <si>
    <t>T2738</t>
  </si>
  <si>
    <t>T2739</t>
  </si>
  <si>
    <t>T2740</t>
  </si>
  <si>
    <t>T2741</t>
  </si>
  <si>
    <t>T2742</t>
  </si>
  <si>
    <t>T2743</t>
  </si>
  <si>
    <t>T2744</t>
  </si>
  <si>
    <t>T2745</t>
  </si>
  <si>
    <t>T2746</t>
  </si>
  <si>
    <t>T2747</t>
  </si>
  <si>
    <t>T2748</t>
  </si>
  <si>
    <t>T2749</t>
  </si>
  <si>
    <t>T2750</t>
  </si>
  <si>
    <t>T2751</t>
  </si>
  <si>
    <t>T2752</t>
  </si>
  <si>
    <t>T2753</t>
  </si>
  <si>
    <t>T2754</t>
  </si>
  <si>
    <t>T2755</t>
  </si>
  <si>
    <t>T2756</t>
  </si>
  <si>
    <t>T2757</t>
  </si>
  <si>
    <t>T2758</t>
  </si>
  <si>
    <t>T2759</t>
  </si>
  <si>
    <t>T2760</t>
  </si>
  <si>
    <t>T2761</t>
  </si>
  <si>
    <t>T2762</t>
  </si>
  <si>
    <t>T2763</t>
  </si>
  <si>
    <t>T2764</t>
  </si>
  <si>
    <t>T2765</t>
  </si>
  <si>
    <t>T2766</t>
  </si>
  <si>
    <t>T2767</t>
  </si>
  <si>
    <t>T2768</t>
  </si>
  <si>
    <t>T2769</t>
  </si>
  <si>
    <t>T2770</t>
  </si>
  <si>
    <t>T2771</t>
  </si>
  <si>
    <t>T2772</t>
  </si>
  <si>
    <t>T2773</t>
  </si>
  <si>
    <t>T2774</t>
  </si>
  <si>
    <t>T2775</t>
  </si>
  <si>
    <t>T2776</t>
  </si>
  <si>
    <t>T2777</t>
  </si>
  <si>
    <t>T2778</t>
  </si>
  <si>
    <t>T2779</t>
  </si>
  <si>
    <t>T2780</t>
  </si>
  <si>
    <t>T2781</t>
  </si>
  <si>
    <t>T2782</t>
  </si>
  <si>
    <t>T2783</t>
  </si>
  <si>
    <t>T2784</t>
  </si>
  <si>
    <t>T2785</t>
  </si>
  <si>
    <t>T2786</t>
  </si>
  <si>
    <t>T2787</t>
  </si>
  <si>
    <t>T2788</t>
  </si>
  <si>
    <t>T2789</t>
  </si>
  <si>
    <t>T2790</t>
  </si>
  <si>
    <t>T2791</t>
  </si>
  <si>
    <t>T2792</t>
  </si>
  <si>
    <t>T2793</t>
  </si>
  <si>
    <t>T2794</t>
  </si>
  <si>
    <t>T2795</t>
  </si>
  <si>
    <t>T2796</t>
  </si>
  <si>
    <t>T2797</t>
  </si>
  <si>
    <t>T2798</t>
  </si>
  <si>
    <t>T2799</t>
  </si>
  <si>
    <t>T2800</t>
  </si>
  <si>
    <t>T2801</t>
  </si>
  <si>
    <t>T2802</t>
  </si>
  <si>
    <t>T2803</t>
  </si>
  <si>
    <t>T2804</t>
  </si>
  <si>
    <t>T2805</t>
  </si>
  <si>
    <t>T2806</t>
  </si>
  <si>
    <t>T2807</t>
  </si>
  <si>
    <t>T2808</t>
  </si>
  <si>
    <t>T2809</t>
  </si>
  <si>
    <t>T2810</t>
  </si>
  <si>
    <t>T2811</t>
  </si>
  <si>
    <t>T2812</t>
  </si>
  <si>
    <t>T2813</t>
  </si>
  <si>
    <t>T2814</t>
  </si>
  <si>
    <t>T2815</t>
  </si>
  <si>
    <t>T2816</t>
  </si>
  <si>
    <t>T2817</t>
  </si>
  <si>
    <t>T2818</t>
  </si>
  <si>
    <t>T2819</t>
  </si>
  <si>
    <t>T2820</t>
  </si>
  <si>
    <t>T2821</t>
  </si>
  <si>
    <t>T2822</t>
  </si>
  <si>
    <t>T2823</t>
  </si>
  <si>
    <t>T2824</t>
  </si>
  <si>
    <t>T2825</t>
  </si>
  <si>
    <t>T2826</t>
  </si>
  <si>
    <t>T2827</t>
  </si>
  <si>
    <t>T2828</t>
  </si>
  <si>
    <t>T2829</t>
  </si>
  <si>
    <t>T2830</t>
  </si>
  <si>
    <t>T2831</t>
  </si>
  <si>
    <t>T2832</t>
  </si>
  <si>
    <t>T2833</t>
  </si>
  <si>
    <t>T2834</t>
  </si>
  <si>
    <t>T2835</t>
  </si>
  <si>
    <t>T2836</t>
  </si>
  <si>
    <t>T2837</t>
  </si>
  <si>
    <t>T2838</t>
  </si>
  <si>
    <t>T2839</t>
  </si>
  <si>
    <t>T2840</t>
  </si>
  <si>
    <t>T2841</t>
  </si>
  <si>
    <t>T2842</t>
  </si>
  <si>
    <t>T2843</t>
  </si>
  <si>
    <t>T2844</t>
  </si>
  <si>
    <t>T2845</t>
  </si>
  <si>
    <t>T2846</t>
  </si>
  <si>
    <t>T2847</t>
  </si>
  <si>
    <t>T2848</t>
  </si>
  <si>
    <t>T2849</t>
  </si>
  <si>
    <t>T2850</t>
  </si>
  <si>
    <t>T2851</t>
  </si>
  <si>
    <t>T2852</t>
  </si>
  <si>
    <t>T2853</t>
  </si>
  <si>
    <t>T2854</t>
  </si>
  <si>
    <t>T2855</t>
  </si>
  <si>
    <t>T2856</t>
  </si>
  <si>
    <t>T2857</t>
  </si>
  <si>
    <t>T2858</t>
  </si>
  <si>
    <t>T2859</t>
  </si>
  <si>
    <t>T2860</t>
  </si>
  <si>
    <t>T2861</t>
  </si>
  <si>
    <t>T2862</t>
  </si>
  <si>
    <t>T2863</t>
  </si>
  <si>
    <t>T2864</t>
  </si>
  <si>
    <t>T2865</t>
  </si>
  <si>
    <t>T2866</t>
  </si>
  <si>
    <t>T2867</t>
  </si>
  <si>
    <t>T2868</t>
  </si>
  <si>
    <t>T2869</t>
  </si>
  <si>
    <t>T2870</t>
  </si>
  <si>
    <t>T2871</t>
  </si>
  <si>
    <t>T2872</t>
  </si>
  <si>
    <t>T2873</t>
  </si>
  <si>
    <t>T2874</t>
  </si>
  <si>
    <t>T2875</t>
  </si>
  <si>
    <t>T2876</t>
  </si>
  <si>
    <t>T2877</t>
  </si>
  <si>
    <t>T2878</t>
  </si>
  <si>
    <t>T2879</t>
  </si>
  <si>
    <t>T2880</t>
  </si>
  <si>
    <t>T2881</t>
  </si>
  <si>
    <t>T2882</t>
  </si>
  <si>
    <t>T2883</t>
  </si>
  <si>
    <t>T2884</t>
  </si>
  <si>
    <t>T2885</t>
  </si>
  <si>
    <t>T2886</t>
  </si>
  <si>
    <t>T2887</t>
  </si>
  <si>
    <t>T2888</t>
  </si>
  <si>
    <t>T2889</t>
  </si>
  <si>
    <t>T2890</t>
  </si>
  <si>
    <t>T2891</t>
  </si>
  <si>
    <t>T2892</t>
  </si>
  <si>
    <t>T2893</t>
  </si>
  <si>
    <t>T2894</t>
  </si>
  <si>
    <t>T2895</t>
  </si>
  <si>
    <t>T2896</t>
  </si>
  <si>
    <t>T2897</t>
  </si>
  <si>
    <t>T2898</t>
  </si>
  <si>
    <t>T2899</t>
  </si>
  <si>
    <t>T2900</t>
  </si>
  <si>
    <t>T2901</t>
  </si>
  <si>
    <t>T2902</t>
  </si>
  <si>
    <t>T2903</t>
  </si>
  <si>
    <t>T2904</t>
  </si>
  <si>
    <t>T2905</t>
  </si>
  <si>
    <t>T2906</t>
  </si>
  <si>
    <t>T2907</t>
  </si>
  <si>
    <t>T2908</t>
  </si>
  <si>
    <t>T2909</t>
  </si>
  <si>
    <t>T2910</t>
  </si>
  <si>
    <t>T2911</t>
  </si>
  <si>
    <t>T2912</t>
  </si>
  <si>
    <t>T2913</t>
  </si>
  <si>
    <t>T2914</t>
  </si>
  <si>
    <t>T2915</t>
  </si>
  <si>
    <t>T2916</t>
  </si>
  <si>
    <t>T2917</t>
  </si>
  <si>
    <t>T2918</t>
  </si>
  <si>
    <t>T2919</t>
  </si>
  <si>
    <t>T2920</t>
  </si>
  <si>
    <t>T2921</t>
  </si>
  <si>
    <t>T2922</t>
  </si>
  <si>
    <t>T2923</t>
  </si>
  <si>
    <t>T2924</t>
  </si>
  <si>
    <t>T2925</t>
  </si>
  <si>
    <t>T2926</t>
  </si>
  <si>
    <t>T2927</t>
  </si>
  <si>
    <t>T2928</t>
  </si>
  <si>
    <t>T2929</t>
  </si>
  <si>
    <t>T2930</t>
  </si>
  <si>
    <t>T2931</t>
  </si>
  <si>
    <t>T2932</t>
  </si>
  <si>
    <t>T2933</t>
  </si>
  <si>
    <t>T2934</t>
  </si>
  <si>
    <t>T2935</t>
  </si>
  <si>
    <t>T2936</t>
  </si>
  <si>
    <t>T2937</t>
  </si>
  <si>
    <t>T2938</t>
  </si>
  <si>
    <t>T2939</t>
  </si>
  <si>
    <t>T2940</t>
  </si>
  <si>
    <t>T2941</t>
  </si>
  <si>
    <t>T2942</t>
  </si>
  <si>
    <t>T2943</t>
  </si>
  <si>
    <t>T2944</t>
  </si>
  <si>
    <t>T2945</t>
  </si>
  <si>
    <t>T2946</t>
  </si>
  <si>
    <t>T2947</t>
  </si>
  <si>
    <t>T2948</t>
  </si>
  <si>
    <t>T2949</t>
  </si>
  <si>
    <t>T2950</t>
  </si>
  <si>
    <t>T2951</t>
  </si>
  <si>
    <t>T2952</t>
  </si>
  <si>
    <t>T2953</t>
  </si>
  <si>
    <t>T2954</t>
  </si>
  <si>
    <t>T2955</t>
  </si>
  <si>
    <t>T2956</t>
  </si>
  <si>
    <t>T2957</t>
  </si>
  <si>
    <t>T2958</t>
  </si>
  <si>
    <t>T2959</t>
  </si>
  <si>
    <t>T2960</t>
  </si>
  <si>
    <t>T2961</t>
  </si>
  <si>
    <t>T2962</t>
  </si>
  <si>
    <t>T2963</t>
  </si>
  <si>
    <t>T2964</t>
  </si>
  <si>
    <t>T2965</t>
  </si>
  <si>
    <t>T2966</t>
  </si>
  <si>
    <t>T2967</t>
  </si>
  <si>
    <t>T2968</t>
  </si>
  <si>
    <t>T2969</t>
  </si>
  <si>
    <t>T2970</t>
  </si>
  <si>
    <t>T2971</t>
  </si>
  <si>
    <t>T2972</t>
  </si>
  <si>
    <t>T2973</t>
  </si>
  <si>
    <t>T2974</t>
  </si>
  <si>
    <t>T2975</t>
  </si>
  <si>
    <t>T2976</t>
  </si>
  <si>
    <t>T2977</t>
  </si>
  <si>
    <t>T2978</t>
  </si>
  <si>
    <t>T2979</t>
  </si>
  <si>
    <t>T2980</t>
  </si>
  <si>
    <t>T2981</t>
  </si>
  <si>
    <t>T2982</t>
  </si>
  <si>
    <t>T2983</t>
  </si>
  <si>
    <t>T2984</t>
  </si>
  <si>
    <t>T2985</t>
  </si>
  <si>
    <t>T2986</t>
  </si>
  <si>
    <t>T2987</t>
  </si>
  <si>
    <t>T2988</t>
  </si>
  <si>
    <t>Year</t>
  </si>
  <si>
    <t>Layoffs</t>
  </si>
  <si>
    <t>Layoffs Per Year</t>
  </si>
  <si>
    <t>Company Size</t>
  </si>
  <si>
    <t>Salary Budget Change by Company Size</t>
  </si>
  <si>
    <t>Hiring Trend</t>
  </si>
  <si>
    <t>AI Automation Impact Over Different Industry</t>
  </si>
  <si>
    <t>AI_Automation_Impact Score</t>
  </si>
  <si>
    <t>Revenue_Growth_Percentage</t>
  </si>
  <si>
    <t>Reason For Layoffs</t>
  </si>
  <si>
    <t>Revenue Growth Across Globe</t>
  </si>
  <si>
    <t>Count of layoffs_count</t>
  </si>
  <si>
    <t>Total Open Roles</t>
  </si>
  <si>
    <t>Avg Employee Sentiment</t>
  </si>
  <si>
    <t>Company name</t>
  </si>
  <si>
    <t>Company Search</t>
  </si>
  <si>
    <t>Risk Classification</t>
  </si>
  <si>
    <t>Record ID</t>
  </si>
  <si>
    <t>Market Condition</t>
  </si>
  <si>
    <t>Risk Factor</t>
  </si>
  <si>
    <t>Industry wise Job Security score</t>
  </si>
  <si>
    <t>Job Security Score</t>
  </si>
  <si>
    <t>Layoffs across companies</t>
  </si>
  <si>
    <t>Company</t>
  </si>
  <si>
    <t>Layoff percentage</t>
  </si>
  <si>
    <t>Layoff Reasons</t>
  </si>
  <si>
    <t>Count</t>
  </si>
  <si>
    <t>Major Layoff Reason</t>
  </si>
  <si>
    <t>Salary Budget Change</t>
  </si>
  <si>
    <t>Layoff Count</t>
  </si>
  <si>
    <t>Open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</si>
</sst>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4" tint="-0.249977111117893"/>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10" xfId="0" pivotButton="1" applyBorder="1"/>
    <xf numFmtId="0" fontId="0" fillId="0" borderId="10" xfId="0" applyBorder="1"/>
    <xf numFmtId="0" fontId="0" fillId="0" borderId="10" xfId="0" applyBorder="1" applyAlignment="1">
      <alignment horizontal="left"/>
    </xf>
    <xf numFmtId="2" fontId="0" fillId="0" borderId="10" xfId="0" applyNumberFormat="1" applyBorder="1"/>
    <xf numFmtId="0" fontId="16" fillId="34" borderId="10" xfId="0" applyFont="1" applyFill="1" applyBorder="1"/>
    <xf numFmtId="0" fontId="0" fillId="35" borderId="0" xfId="0" applyFill="1"/>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9" fillId="33" borderId="1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Invisible" pivot="0" table="0" count="0" xr9:uid="{E22CA0FE-E8D9-49C6-803C-E4A7D9EBA1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[tech_layoff_hiring_analysis.xlsx]Analysis!Layoffs_per_year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Layoffs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Analysis!$C$5:$C$6</c:f>
              <c:strCache>
                <c:ptCount val="1"/>
                <c:pt idx="0">
                  <c:v>AI</c:v>
                </c:pt>
              </c:strCache>
            </c:strRef>
          </c:tx>
          <c:spPr>
            <a:ln w="28575" cap="rnd">
              <a:solidFill>
                <a:schemeClr val="accent1"/>
              </a:solidFill>
              <a:round/>
            </a:ln>
            <a:effectLst/>
          </c:spPr>
          <c:marker>
            <c:symbol val="none"/>
          </c:marker>
          <c:cat>
            <c:strRef>
              <c:f>Analysis!$B$7:$B$9</c:f>
              <c:strCache>
                <c:ptCount val="3"/>
                <c:pt idx="0">
                  <c:v>2024</c:v>
                </c:pt>
                <c:pt idx="1">
                  <c:v>2025</c:v>
                </c:pt>
                <c:pt idx="2">
                  <c:v>2026</c:v>
                </c:pt>
              </c:strCache>
            </c:strRef>
          </c:cat>
          <c:val>
            <c:numRef>
              <c:f>Analysis!$C$7:$C$9</c:f>
              <c:numCache>
                <c:formatCode>General</c:formatCode>
                <c:ptCount val="3"/>
                <c:pt idx="0">
                  <c:v>1193869</c:v>
                </c:pt>
                <c:pt idx="1">
                  <c:v>1133404</c:v>
                </c:pt>
                <c:pt idx="2">
                  <c:v>1214160</c:v>
                </c:pt>
              </c:numCache>
            </c:numRef>
          </c:val>
          <c:smooth val="0"/>
          <c:extLst>
            <c:ext xmlns:c16="http://schemas.microsoft.com/office/drawing/2014/chart" uri="{C3380CC4-5D6E-409C-BE32-E72D297353CC}">
              <c16:uniqueId val="{00000000-FCB3-4775-BD62-FE15902887EF}"/>
            </c:ext>
          </c:extLst>
        </c:ser>
        <c:ser>
          <c:idx val="1"/>
          <c:order val="1"/>
          <c:tx>
            <c:strRef>
              <c:f>Analysis!$D$5:$D$6</c:f>
              <c:strCache>
                <c:ptCount val="1"/>
                <c:pt idx="0">
                  <c:v>Cloud</c:v>
                </c:pt>
              </c:strCache>
            </c:strRef>
          </c:tx>
          <c:spPr>
            <a:ln w="28575" cap="rnd">
              <a:solidFill>
                <a:schemeClr val="accent2"/>
              </a:solidFill>
              <a:round/>
            </a:ln>
            <a:effectLst/>
          </c:spPr>
          <c:marker>
            <c:symbol val="none"/>
          </c:marker>
          <c:cat>
            <c:strRef>
              <c:f>Analysis!$B$7:$B$9</c:f>
              <c:strCache>
                <c:ptCount val="3"/>
                <c:pt idx="0">
                  <c:v>2024</c:v>
                </c:pt>
                <c:pt idx="1">
                  <c:v>2025</c:v>
                </c:pt>
                <c:pt idx="2">
                  <c:v>2026</c:v>
                </c:pt>
              </c:strCache>
            </c:strRef>
          </c:cat>
          <c:val>
            <c:numRef>
              <c:f>Analysis!$D$7:$D$9</c:f>
              <c:numCache>
                <c:formatCode>General</c:formatCode>
                <c:ptCount val="3"/>
                <c:pt idx="0">
                  <c:v>1009477</c:v>
                </c:pt>
                <c:pt idx="1">
                  <c:v>1131116</c:v>
                </c:pt>
                <c:pt idx="2">
                  <c:v>1066844</c:v>
                </c:pt>
              </c:numCache>
            </c:numRef>
          </c:val>
          <c:smooth val="0"/>
          <c:extLst>
            <c:ext xmlns:c16="http://schemas.microsoft.com/office/drawing/2014/chart" uri="{C3380CC4-5D6E-409C-BE32-E72D297353CC}">
              <c16:uniqueId val="{00000014-FCB3-4775-BD62-FE15902887EF}"/>
            </c:ext>
          </c:extLst>
        </c:ser>
        <c:ser>
          <c:idx val="2"/>
          <c:order val="2"/>
          <c:tx>
            <c:strRef>
              <c:f>Analysis!$E$5:$E$6</c:f>
              <c:strCache>
                <c:ptCount val="1"/>
                <c:pt idx="0">
                  <c:v>Cybersecurity</c:v>
                </c:pt>
              </c:strCache>
            </c:strRef>
          </c:tx>
          <c:spPr>
            <a:ln w="28575" cap="rnd">
              <a:solidFill>
                <a:schemeClr val="accent3"/>
              </a:solidFill>
              <a:round/>
            </a:ln>
            <a:effectLst/>
          </c:spPr>
          <c:marker>
            <c:symbol val="none"/>
          </c:marker>
          <c:cat>
            <c:strRef>
              <c:f>Analysis!$B$7:$B$9</c:f>
              <c:strCache>
                <c:ptCount val="3"/>
                <c:pt idx="0">
                  <c:v>2024</c:v>
                </c:pt>
                <c:pt idx="1">
                  <c:v>2025</c:v>
                </c:pt>
                <c:pt idx="2">
                  <c:v>2026</c:v>
                </c:pt>
              </c:strCache>
            </c:strRef>
          </c:cat>
          <c:val>
            <c:numRef>
              <c:f>Analysis!$E$7:$E$9</c:f>
              <c:numCache>
                <c:formatCode>General</c:formatCode>
                <c:ptCount val="3"/>
                <c:pt idx="0">
                  <c:v>687919</c:v>
                </c:pt>
                <c:pt idx="1">
                  <c:v>683067</c:v>
                </c:pt>
                <c:pt idx="2">
                  <c:v>677176</c:v>
                </c:pt>
              </c:numCache>
            </c:numRef>
          </c:val>
          <c:smooth val="0"/>
          <c:extLst>
            <c:ext xmlns:c16="http://schemas.microsoft.com/office/drawing/2014/chart" uri="{C3380CC4-5D6E-409C-BE32-E72D297353CC}">
              <c16:uniqueId val="{00000015-FCB3-4775-BD62-FE15902887EF}"/>
            </c:ext>
          </c:extLst>
        </c:ser>
        <c:ser>
          <c:idx val="3"/>
          <c:order val="3"/>
          <c:tx>
            <c:strRef>
              <c:f>Analysis!$F$5:$F$6</c:f>
              <c:strCache>
                <c:ptCount val="1"/>
                <c:pt idx="0">
                  <c:v>E-Commerce</c:v>
                </c:pt>
              </c:strCache>
            </c:strRef>
          </c:tx>
          <c:spPr>
            <a:ln w="28575" cap="rnd">
              <a:solidFill>
                <a:schemeClr val="accent4"/>
              </a:solidFill>
              <a:round/>
            </a:ln>
            <a:effectLst/>
          </c:spPr>
          <c:marker>
            <c:symbol val="none"/>
          </c:marker>
          <c:cat>
            <c:strRef>
              <c:f>Analysis!$B$7:$B$9</c:f>
              <c:strCache>
                <c:ptCount val="3"/>
                <c:pt idx="0">
                  <c:v>2024</c:v>
                </c:pt>
                <c:pt idx="1">
                  <c:v>2025</c:v>
                </c:pt>
                <c:pt idx="2">
                  <c:v>2026</c:v>
                </c:pt>
              </c:strCache>
            </c:strRef>
          </c:cat>
          <c:val>
            <c:numRef>
              <c:f>Analysis!$F$7:$F$9</c:f>
              <c:numCache>
                <c:formatCode>General</c:formatCode>
                <c:ptCount val="3"/>
                <c:pt idx="0">
                  <c:v>381804</c:v>
                </c:pt>
                <c:pt idx="1">
                  <c:v>447539</c:v>
                </c:pt>
                <c:pt idx="2">
                  <c:v>326248</c:v>
                </c:pt>
              </c:numCache>
            </c:numRef>
          </c:val>
          <c:smooth val="0"/>
          <c:extLst>
            <c:ext xmlns:c16="http://schemas.microsoft.com/office/drawing/2014/chart" uri="{C3380CC4-5D6E-409C-BE32-E72D297353CC}">
              <c16:uniqueId val="{00000016-FCB3-4775-BD62-FE15902887EF}"/>
            </c:ext>
          </c:extLst>
        </c:ser>
        <c:ser>
          <c:idx val="4"/>
          <c:order val="4"/>
          <c:tx>
            <c:strRef>
              <c:f>Analysis!$G$5:$G$6</c:f>
              <c:strCache>
                <c:ptCount val="1"/>
                <c:pt idx="0">
                  <c:v>FinTech</c:v>
                </c:pt>
              </c:strCache>
            </c:strRef>
          </c:tx>
          <c:spPr>
            <a:ln w="28575" cap="rnd">
              <a:solidFill>
                <a:schemeClr val="accent5"/>
              </a:solidFill>
              <a:round/>
            </a:ln>
            <a:effectLst/>
          </c:spPr>
          <c:marker>
            <c:symbol val="none"/>
          </c:marker>
          <c:cat>
            <c:strRef>
              <c:f>Analysis!$B$7:$B$9</c:f>
              <c:strCache>
                <c:ptCount val="3"/>
                <c:pt idx="0">
                  <c:v>2024</c:v>
                </c:pt>
                <c:pt idx="1">
                  <c:v>2025</c:v>
                </c:pt>
                <c:pt idx="2">
                  <c:v>2026</c:v>
                </c:pt>
              </c:strCache>
            </c:strRef>
          </c:cat>
          <c:val>
            <c:numRef>
              <c:f>Analysis!$G$7:$G$9</c:f>
              <c:numCache>
                <c:formatCode>General</c:formatCode>
                <c:ptCount val="3"/>
                <c:pt idx="0">
                  <c:v>434758</c:v>
                </c:pt>
                <c:pt idx="1">
                  <c:v>411586</c:v>
                </c:pt>
                <c:pt idx="2">
                  <c:v>485789</c:v>
                </c:pt>
              </c:numCache>
            </c:numRef>
          </c:val>
          <c:smooth val="0"/>
          <c:extLst>
            <c:ext xmlns:c16="http://schemas.microsoft.com/office/drawing/2014/chart" uri="{C3380CC4-5D6E-409C-BE32-E72D297353CC}">
              <c16:uniqueId val="{00000017-FCB3-4775-BD62-FE15902887EF}"/>
            </c:ext>
          </c:extLst>
        </c:ser>
        <c:ser>
          <c:idx val="5"/>
          <c:order val="5"/>
          <c:tx>
            <c:strRef>
              <c:f>Analysis!$H$5:$H$6</c:f>
              <c:strCache>
                <c:ptCount val="1"/>
                <c:pt idx="0">
                  <c:v>Gaming</c:v>
                </c:pt>
              </c:strCache>
            </c:strRef>
          </c:tx>
          <c:spPr>
            <a:ln w="28575" cap="rnd">
              <a:solidFill>
                <a:schemeClr val="accent6"/>
              </a:solidFill>
              <a:round/>
            </a:ln>
            <a:effectLst/>
          </c:spPr>
          <c:marker>
            <c:symbol val="none"/>
          </c:marker>
          <c:cat>
            <c:strRef>
              <c:f>Analysis!$B$7:$B$9</c:f>
              <c:strCache>
                <c:ptCount val="3"/>
                <c:pt idx="0">
                  <c:v>2024</c:v>
                </c:pt>
                <c:pt idx="1">
                  <c:v>2025</c:v>
                </c:pt>
                <c:pt idx="2">
                  <c:v>2026</c:v>
                </c:pt>
              </c:strCache>
            </c:strRef>
          </c:cat>
          <c:val>
            <c:numRef>
              <c:f>Analysis!$H$7:$H$9</c:f>
              <c:numCache>
                <c:formatCode>General</c:formatCode>
                <c:ptCount val="3"/>
                <c:pt idx="0">
                  <c:v>680144</c:v>
                </c:pt>
                <c:pt idx="1">
                  <c:v>723550</c:v>
                </c:pt>
                <c:pt idx="2">
                  <c:v>557347</c:v>
                </c:pt>
              </c:numCache>
            </c:numRef>
          </c:val>
          <c:smooth val="0"/>
          <c:extLst>
            <c:ext xmlns:c16="http://schemas.microsoft.com/office/drawing/2014/chart" uri="{C3380CC4-5D6E-409C-BE32-E72D297353CC}">
              <c16:uniqueId val="{00000018-FCB3-4775-BD62-FE15902887EF}"/>
            </c:ext>
          </c:extLst>
        </c:ser>
        <c:ser>
          <c:idx val="6"/>
          <c:order val="6"/>
          <c:tx>
            <c:strRef>
              <c:f>Analysis!$I$5:$I$6</c:f>
              <c:strCache>
                <c:ptCount val="1"/>
                <c:pt idx="0">
                  <c:v>Social Media</c:v>
                </c:pt>
              </c:strCache>
            </c:strRef>
          </c:tx>
          <c:spPr>
            <a:ln w="28575" cap="rnd">
              <a:solidFill>
                <a:schemeClr val="accent1">
                  <a:lumMod val="60000"/>
                </a:schemeClr>
              </a:solidFill>
              <a:round/>
            </a:ln>
            <a:effectLst/>
          </c:spPr>
          <c:marker>
            <c:symbol val="none"/>
          </c:marker>
          <c:cat>
            <c:strRef>
              <c:f>Analysis!$B$7:$B$9</c:f>
              <c:strCache>
                <c:ptCount val="3"/>
                <c:pt idx="0">
                  <c:v>2024</c:v>
                </c:pt>
                <c:pt idx="1">
                  <c:v>2025</c:v>
                </c:pt>
                <c:pt idx="2">
                  <c:v>2026</c:v>
                </c:pt>
              </c:strCache>
            </c:strRef>
          </c:cat>
          <c:val>
            <c:numRef>
              <c:f>Analysis!$I$7:$I$9</c:f>
              <c:numCache>
                <c:formatCode>General</c:formatCode>
                <c:ptCount val="3"/>
                <c:pt idx="0">
                  <c:v>590463</c:v>
                </c:pt>
                <c:pt idx="1">
                  <c:v>655538</c:v>
                </c:pt>
                <c:pt idx="2">
                  <c:v>578050</c:v>
                </c:pt>
              </c:numCache>
            </c:numRef>
          </c:val>
          <c:smooth val="0"/>
          <c:extLst>
            <c:ext xmlns:c16="http://schemas.microsoft.com/office/drawing/2014/chart" uri="{C3380CC4-5D6E-409C-BE32-E72D297353CC}">
              <c16:uniqueId val="{00000019-FCB3-4775-BD62-FE15902887EF}"/>
            </c:ext>
          </c:extLst>
        </c:ser>
        <c:dLbls>
          <c:showLegendKey val="0"/>
          <c:showVal val="0"/>
          <c:showCatName val="0"/>
          <c:showSerName val="0"/>
          <c:showPercent val="0"/>
          <c:showBubbleSize val="0"/>
        </c:dLbls>
        <c:smooth val="0"/>
        <c:axId val="1787938928"/>
        <c:axId val="1787937008"/>
      </c:lineChart>
      <c:catAx>
        <c:axId val="17879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37008"/>
        <c:crosses val="autoZero"/>
        <c:auto val="1"/>
        <c:lblAlgn val="ctr"/>
        <c:lblOffset val="100"/>
        <c:noMultiLvlLbl val="0"/>
      </c:catAx>
      <c:valAx>
        <c:axId val="1787937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Budget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Analysis!$B$21:$B$24</c:f>
              <c:strCache>
                <c:ptCount val="4"/>
                <c:pt idx="0">
                  <c:v>Big Tech</c:v>
                </c:pt>
                <c:pt idx="1">
                  <c:v>Enterprise</c:v>
                </c:pt>
                <c:pt idx="2">
                  <c:v>Mid-size</c:v>
                </c:pt>
                <c:pt idx="3">
                  <c:v>Startup</c:v>
                </c:pt>
              </c:strCache>
            </c:strRef>
          </c:cat>
          <c:val>
            <c:numRef>
              <c:f>Analysis!$C$21:$C$24</c:f>
              <c:numCache>
                <c:formatCode>0.00</c:formatCode>
                <c:ptCount val="4"/>
                <c:pt idx="0">
                  <c:v>5.7184986595174285</c:v>
                </c:pt>
                <c:pt idx="1">
                  <c:v>5.2876190476190477</c:v>
                </c:pt>
                <c:pt idx="2">
                  <c:v>6.2632198952879587</c:v>
                </c:pt>
                <c:pt idx="3">
                  <c:v>5.5063172043010775</c:v>
                </c:pt>
              </c:numCache>
            </c:numRef>
          </c:val>
          <c:extLst>
            <c:ext xmlns:c16="http://schemas.microsoft.com/office/drawing/2014/chart" uri="{C3380CC4-5D6E-409C-BE32-E72D297353CC}">
              <c16:uniqueId val="{00000000-6CE6-417D-8389-0E51724E5389}"/>
            </c:ext>
          </c:extLst>
        </c:ser>
        <c:dLbls>
          <c:dLblPos val="outEnd"/>
          <c:showLegendKey val="0"/>
          <c:showVal val="1"/>
          <c:showCatName val="0"/>
          <c:showSerName val="0"/>
          <c:showPercent val="0"/>
          <c:showBubbleSize val="0"/>
        </c:dLbls>
        <c:gapWidth val="219"/>
        <c:overlap val="-27"/>
        <c:axId val="1728112640"/>
        <c:axId val="1728113120"/>
      </c:barChart>
      <c:catAx>
        <c:axId val="172811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13120"/>
        <c:crosses val="autoZero"/>
        <c:auto val="1"/>
        <c:lblAlgn val="ctr"/>
        <c:lblOffset val="100"/>
        <c:noMultiLvlLbl val="0"/>
      </c:catAx>
      <c:valAx>
        <c:axId val="1728113120"/>
        <c:scaling>
          <c:orientation val="minMax"/>
        </c:scaling>
        <c:delete val="1"/>
        <c:axPos val="l"/>
        <c:numFmt formatCode="0.00" sourceLinked="1"/>
        <c:majorTickMark val="none"/>
        <c:minorTickMark val="none"/>
        <c:tickLblPos val="nextTo"/>
        <c:crossAx val="172811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[tech_layoff_hiring_analysis.xlsx]Analysis!AI_replacement_risk</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Replacement</a:t>
            </a:r>
            <a:r>
              <a:rPr lang="en-US" baseline="0"/>
              <a:t>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Analysis!$C$63</c:f>
              <c:strCache>
                <c:ptCount val="1"/>
                <c:pt idx="0">
                  <c:v>Total</c:v>
                </c:pt>
              </c:strCache>
            </c:strRef>
          </c:tx>
          <c:spPr>
            <a:ln w="28575" cap="rnd">
              <a:solidFill>
                <a:schemeClr val="accent5">
                  <a:lumMod val="75000"/>
                </a:schemeClr>
              </a:solidFill>
              <a:round/>
            </a:ln>
            <a:effectLst/>
          </c:spPr>
          <c:marker>
            <c:symbol val="none"/>
          </c:marker>
          <c:cat>
            <c:strRef>
              <c:f>Analysis!$B$64:$B$70</c:f>
              <c:strCache>
                <c:ptCount val="7"/>
                <c:pt idx="0">
                  <c:v>AI</c:v>
                </c:pt>
                <c:pt idx="1">
                  <c:v>Cloud</c:v>
                </c:pt>
                <c:pt idx="2">
                  <c:v>Cybersecurity</c:v>
                </c:pt>
                <c:pt idx="3">
                  <c:v>E-Commerce</c:v>
                </c:pt>
                <c:pt idx="4">
                  <c:v>FinTech</c:v>
                </c:pt>
                <c:pt idx="5">
                  <c:v>Gaming</c:v>
                </c:pt>
                <c:pt idx="6">
                  <c:v>Social Media</c:v>
                </c:pt>
              </c:strCache>
            </c:strRef>
          </c:cat>
          <c:val>
            <c:numRef>
              <c:f>Analysis!$C$64:$C$70</c:f>
              <c:numCache>
                <c:formatCode>0.00</c:formatCode>
                <c:ptCount val="7"/>
                <c:pt idx="0">
                  <c:v>7.1649572649572635</c:v>
                </c:pt>
                <c:pt idx="1">
                  <c:v>7.0720694645441409</c:v>
                </c:pt>
                <c:pt idx="2">
                  <c:v>7.3461538461538458</c:v>
                </c:pt>
                <c:pt idx="3">
                  <c:v>7.2062240663900416</c:v>
                </c:pt>
                <c:pt idx="4">
                  <c:v>7.2220532319391619</c:v>
                </c:pt>
                <c:pt idx="5">
                  <c:v>7.0592493297587113</c:v>
                </c:pt>
                <c:pt idx="6">
                  <c:v>7.2927051671732501</c:v>
                </c:pt>
              </c:numCache>
            </c:numRef>
          </c:val>
          <c:extLst>
            <c:ext xmlns:c16="http://schemas.microsoft.com/office/drawing/2014/chart" uri="{C3380CC4-5D6E-409C-BE32-E72D297353CC}">
              <c16:uniqueId val="{00000000-DE54-40DE-ADEE-7F546F4E4F67}"/>
            </c:ext>
          </c:extLst>
        </c:ser>
        <c:dLbls>
          <c:showLegendKey val="0"/>
          <c:showVal val="0"/>
          <c:showCatName val="0"/>
          <c:showSerName val="0"/>
          <c:showPercent val="0"/>
          <c:showBubbleSize val="0"/>
        </c:dLbls>
        <c:axId val="1716497376"/>
        <c:axId val="700600336"/>
      </c:radarChart>
      <c:catAx>
        <c:axId val="171649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00336"/>
        <c:crosses val="autoZero"/>
        <c:auto val="1"/>
        <c:lblAlgn val="ctr"/>
        <c:lblOffset val="100"/>
        <c:noMultiLvlLbl val="0"/>
      </c:catAx>
      <c:valAx>
        <c:axId val="70060033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649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[tech_layoff_hiring_analysis.xlsx]Analysis!Automation_impact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Automation Impact Over Different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Analysis!$B$82:$B$88</c:f>
              <c:strCache>
                <c:ptCount val="7"/>
                <c:pt idx="0">
                  <c:v>AI</c:v>
                </c:pt>
                <c:pt idx="1">
                  <c:v>Cloud</c:v>
                </c:pt>
                <c:pt idx="2">
                  <c:v>Cybersecurity</c:v>
                </c:pt>
                <c:pt idx="3">
                  <c:v>E-Commerce</c:v>
                </c:pt>
                <c:pt idx="4">
                  <c:v>FinTech</c:v>
                </c:pt>
                <c:pt idx="5">
                  <c:v>Gaming</c:v>
                </c:pt>
                <c:pt idx="6">
                  <c:v>Social Media</c:v>
                </c:pt>
              </c:strCache>
            </c:strRef>
          </c:cat>
          <c:val>
            <c:numRef>
              <c:f>Analysis!$C$82:$C$88</c:f>
              <c:numCache>
                <c:formatCode>0.00</c:formatCode>
                <c:ptCount val="7"/>
                <c:pt idx="0">
                  <c:v>6.5132478632478676</c:v>
                </c:pt>
                <c:pt idx="1">
                  <c:v>6.1196816208393621</c:v>
                </c:pt>
                <c:pt idx="2">
                  <c:v>6.2389743589743585</c:v>
                </c:pt>
                <c:pt idx="3">
                  <c:v>6.4485477178423203</c:v>
                </c:pt>
                <c:pt idx="4">
                  <c:v>6.4471482889733842</c:v>
                </c:pt>
                <c:pt idx="5">
                  <c:v>6.4410187667560335</c:v>
                </c:pt>
                <c:pt idx="6">
                  <c:v>5.9920972644376924</c:v>
                </c:pt>
              </c:numCache>
            </c:numRef>
          </c:val>
          <c:extLst>
            <c:ext xmlns:c16="http://schemas.microsoft.com/office/drawing/2014/chart" uri="{C3380CC4-5D6E-409C-BE32-E72D297353CC}">
              <c16:uniqueId val="{00000000-E586-448F-9863-EA157F0B864E}"/>
            </c:ext>
          </c:extLst>
        </c:ser>
        <c:dLbls>
          <c:dLblPos val="outEnd"/>
          <c:showLegendKey val="0"/>
          <c:showVal val="1"/>
          <c:showCatName val="0"/>
          <c:showSerName val="0"/>
          <c:showPercent val="0"/>
          <c:showBubbleSize val="0"/>
        </c:dLbls>
        <c:gapWidth val="219"/>
        <c:overlap val="-27"/>
        <c:axId val="1872214544"/>
        <c:axId val="1872213584"/>
      </c:barChart>
      <c:catAx>
        <c:axId val="18722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213584"/>
        <c:crosses val="autoZero"/>
        <c:auto val="1"/>
        <c:lblAlgn val="ctr"/>
        <c:lblOffset val="100"/>
        <c:noMultiLvlLbl val="0"/>
      </c:catAx>
      <c:valAx>
        <c:axId val="1872213584"/>
        <c:scaling>
          <c:orientation val="minMax"/>
        </c:scaling>
        <c:delete val="1"/>
        <c:axPos val="l"/>
        <c:numFmt formatCode="0.00" sourceLinked="1"/>
        <c:majorTickMark val="none"/>
        <c:minorTickMark val="none"/>
        <c:tickLblPos val="nextTo"/>
        <c:crossAx val="1872214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[tech_layoff_hiring_analysis.xlsx]Analysis!rev_growth</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Analysis!$C$99</c:f>
              <c:strCache>
                <c:ptCount val="1"/>
                <c:pt idx="0">
                  <c:v>Total</c:v>
                </c:pt>
              </c:strCache>
            </c:strRef>
          </c:tx>
          <c:dPt>
            <c:idx val="0"/>
            <c:bubble3D val="0"/>
            <c:explosion val="14"/>
            <c:spPr>
              <a:solidFill>
                <a:schemeClr val="accent1"/>
              </a:solidFill>
              <a:ln w="19050">
                <a:solidFill>
                  <a:schemeClr val="lt1"/>
                </a:solidFill>
              </a:ln>
              <a:effectLst/>
            </c:spPr>
            <c:extLst>
              <c:ext xmlns:c16="http://schemas.microsoft.com/office/drawing/2014/chart" uri="{C3380CC4-5D6E-409C-BE32-E72D297353CC}">
                <c16:uniqueId val="{00000001-3B04-4B43-B31F-B0C565A9B7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04-4B43-B31F-B0C565A9B7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04-4B43-B31F-B0C565A9B7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04-4B43-B31F-B0C565A9B7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04-4B43-B31F-B0C565A9B7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B04-4B43-B31F-B0C565A9B7D2}"/>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Analysis!$B$100:$B$105</c:f>
              <c:strCache>
                <c:ptCount val="6"/>
                <c:pt idx="0">
                  <c:v>India</c:v>
                </c:pt>
                <c:pt idx="1">
                  <c:v>Singapore</c:v>
                </c:pt>
                <c:pt idx="2">
                  <c:v>Canada</c:v>
                </c:pt>
                <c:pt idx="3">
                  <c:v>USA</c:v>
                </c:pt>
                <c:pt idx="4">
                  <c:v>UK</c:v>
                </c:pt>
                <c:pt idx="5">
                  <c:v>Germany</c:v>
                </c:pt>
              </c:strCache>
            </c:strRef>
          </c:cat>
          <c:val>
            <c:numRef>
              <c:f>Analysis!$C$100:$C$105</c:f>
              <c:numCache>
                <c:formatCode>0.00</c:formatCode>
                <c:ptCount val="6"/>
                <c:pt idx="0">
                  <c:v>17.944490644490639</c:v>
                </c:pt>
                <c:pt idx="1">
                  <c:v>17.864087301587311</c:v>
                </c:pt>
                <c:pt idx="2">
                  <c:v>17.815000000000001</c:v>
                </c:pt>
                <c:pt idx="3">
                  <c:v>16.423188405797084</c:v>
                </c:pt>
                <c:pt idx="4">
                  <c:v>16.28994197292069</c:v>
                </c:pt>
                <c:pt idx="5">
                  <c:v>15.843650793650784</c:v>
                </c:pt>
              </c:numCache>
            </c:numRef>
          </c:val>
          <c:extLst>
            <c:ext xmlns:c16="http://schemas.microsoft.com/office/drawing/2014/chart" uri="{C3380CC4-5D6E-409C-BE32-E72D297353CC}">
              <c16:uniqueId val="{0000000C-3B04-4B43-B31F-B0C565A9B7D2}"/>
            </c:ext>
          </c:extLst>
        </c:ser>
        <c:dLbls>
          <c:showLegendKey val="0"/>
          <c:showVal val="0"/>
          <c:showCatName val="0"/>
          <c:showSerName val="0"/>
          <c:showPercent val="0"/>
          <c:showBubbleSize val="0"/>
          <c:showLeaderLines val="0"/>
        </c:dLbls>
        <c:firstSliceAng val="0"/>
        <c:holeSize val="4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[tech_layoff_hiring_analysis.xlsx]Analysis!Layoffs_per_year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Layoffs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Analysis!$C$5:$C$6</c:f>
              <c:strCache>
                <c:ptCount val="1"/>
                <c:pt idx="0">
                  <c:v>AI</c:v>
                </c:pt>
              </c:strCache>
            </c:strRef>
          </c:tx>
          <c:spPr>
            <a:ln w="28575" cap="rnd">
              <a:solidFill>
                <a:schemeClr val="accent1"/>
              </a:solidFill>
              <a:round/>
            </a:ln>
            <a:effectLst/>
          </c:spPr>
          <c:marker>
            <c:symbol val="none"/>
          </c:marker>
          <c:cat>
            <c:strRef>
              <c:f>Analysis!$B$7:$B$9</c:f>
              <c:strCache>
                <c:ptCount val="3"/>
                <c:pt idx="0">
                  <c:v>2024</c:v>
                </c:pt>
                <c:pt idx="1">
                  <c:v>2025</c:v>
                </c:pt>
                <c:pt idx="2">
                  <c:v>2026</c:v>
                </c:pt>
              </c:strCache>
            </c:strRef>
          </c:cat>
          <c:val>
            <c:numRef>
              <c:f>Analysis!$C$7:$C$9</c:f>
              <c:numCache>
                <c:formatCode>General</c:formatCode>
                <c:ptCount val="3"/>
                <c:pt idx="0">
                  <c:v>1193869</c:v>
                </c:pt>
                <c:pt idx="1">
                  <c:v>1133404</c:v>
                </c:pt>
                <c:pt idx="2">
                  <c:v>1214160</c:v>
                </c:pt>
              </c:numCache>
            </c:numRef>
          </c:val>
          <c:smooth val="0"/>
          <c:extLst>
            <c:ext xmlns:c16="http://schemas.microsoft.com/office/drawing/2014/chart" uri="{C3380CC4-5D6E-409C-BE32-E72D297353CC}">
              <c16:uniqueId val="{00000000-E2BB-48AF-A071-CE5B51BFDB12}"/>
            </c:ext>
          </c:extLst>
        </c:ser>
        <c:ser>
          <c:idx val="1"/>
          <c:order val="1"/>
          <c:tx>
            <c:strRef>
              <c:f>Analysis!$D$5:$D$6</c:f>
              <c:strCache>
                <c:ptCount val="1"/>
                <c:pt idx="0">
                  <c:v>Cloud</c:v>
                </c:pt>
              </c:strCache>
            </c:strRef>
          </c:tx>
          <c:spPr>
            <a:ln w="28575" cap="rnd">
              <a:solidFill>
                <a:schemeClr val="accent2"/>
              </a:solidFill>
              <a:round/>
            </a:ln>
            <a:effectLst/>
          </c:spPr>
          <c:marker>
            <c:symbol val="none"/>
          </c:marker>
          <c:cat>
            <c:strRef>
              <c:f>Analysis!$B$7:$B$9</c:f>
              <c:strCache>
                <c:ptCount val="3"/>
                <c:pt idx="0">
                  <c:v>2024</c:v>
                </c:pt>
                <c:pt idx="1">
                  <c:v>2025</c:v>
                </c:pt>
                <c:pt idx="2">
                  <c:v>2026</c:v>
                </c:pt>
              </c:strCache>
            </c:strRef>
          </c:cat>
          <c:val>
            <c:numRef>
              <c:f>Analysis!$D$7:$D$9</c:f>
              <c:numCache>
                <c:formatCode>General</c:formatCode>
                <c:ptCount val="3"/>
                <c:pt idx="0">
                  <c:v>1009477</c:v>
                </c:pt>
                <c:pt idx="1">
                  <c:v>1131116</c:v>
                </c:pt>
                <c:pt idx="2">
                  <c:v>1066844</c:v>
                </c:pt>
              </c:numCache>
            </c:numRef>
          </c:val>
          <c:smooth val="0"/>
          <c:extLst>
            <c:ext xmlns:c16="http://schemas.microsoft.com/office/drawing/2014/chart" uri="{C3380CC4-5D6E-409C-BE32-E72D297353CC}">
              <c16:uniqueId val="{0000000C-17F0-4B26-9F18-9C526FB68488}"/>
            </c:ext>
          </c:extLst>
        </c:ser>
        <c:ser>
          <c:idx val="2"/>
          <c:order val="2"/>
          <c:tx>
            <c:strRef>
              <c:f>Analysis!$E$5:$E$6</c:f>
              <c:strCache>
                <c:ptCount val="1"/>
                <c:pt idx="0">
                  <c:v>Cybersecurity</c:v>
                </c:pt>
              </c:strCache>
            </c:strRef>
          </c:tx>
          <c:spPr>
            <a:ln w="28575" cap="rnd">
              <a:solidFill>
                <a:schemeClr val="accent3"/>
              </a:solidFill>
              <a:round/>
            </a:ln>
            <a:effectLst/>
          </c:spPr>
          <c:marker>
            <c:symbol val="none"/>
          </c:marker>
          <c:cat>
            <c:strRef>
              <c:f>Analysis!$B$7:$B$9</c:f>
              <c:strCache>
                <c:ptCount val="3"/>
                <c:pt idx="0">
                  <c:v>2024</c:v>
                </c:pt>
                <c:pt idx="1">
                  <c:v>2025</c:v>
                </c:pt>
                <c:pt idx="2">
                  <c:v>2026</c:v>
                </c:pt>
              </c:strCache>
            </c:strRef>
          </c:cat>
          <c:val>
            <c:numRef>
              <c:f>Analysis!$E$7:$E$9</c:f>
              <c:numCache>
                <c:formatCode>General</c:formatCode>
                <c:ptCount val="3"/>
                <c:pt idx="0">
                  <c:v>687919</c:v>
                </c:pt>
                <c:pt idx="1">
                  <c:v>683067</c:v>
                </c:pt>
                <c:pt idx="2">
                  <c:v>677176</c:v>
                </c:pt>
              </c:numCache>
            </c:numRef>
          </c:val>
          <c:smooth val="0"/>
          <c:extLst>
            <c:ext xmlns:c16="http://schemas.microsoft.com/office/drawing/2014/chart" uri="{C3380CC4-5D6E-409C-BE32-E72D297353CC}">
              <c16:uniqueId val="{0000000D-17F0-4B26-9F18-9C526FB68488}"/>
            </c:ext>
          </c:extLst>
        </c:ser>
        <c:ser>
          <c:idx val="3"/>
          <c:order val="3"/>
          <c:tx>
            <c:strRef>
              <c:f>Analysis!$F$5:$F$6</c:f>
              <c:strCache>
                <c:ptCount val="1"/>
                <c:pt idx="0">
                  <c:v>E-Commerce</c:v>
                </c:pt>
              </c:strCache>
            </c:strRef>
          </c:tx>
          <c:spPr>
            <a:ln w="28575" cap="rnd">
              <a:solidFill>
                <a:schemeClr val="accent4"/>
              </a:solidFill>
              <a:round/>
            </a:ln>
            <a:effectLst/>
          </c:spPr>
          <c:marker>
            <c:symbol val="none"/>
          </c:marker>
          <c:cat>
            <c:strRef>
              <c:f>Analysis!$B$7:$B$9</c:f>
              <c:strCache>
                <c:ptCount val="3"/>
                <c:pt idx="0">
                  <c:v>2024</c:v>
                </c:pt>
                <c:pt idx="1">
                  <c:v>2025</c:v>
                </c:pt>
                <c:pt idx="2">
                  <c:v>2026</c:v>
                </c:pt>
              </c:strCache>
            </c:strRef>
          </c:cat>
          <c:val>
            <c:numRef>
              <c:f>Analysis!$F$7:$F$9</c:f>
              <c:numCache>
                <c:formatCode>General</c:formatCode>
                <c:ptCount val="3"/>
                <c:pt idx="0">
                  <c:v>381804</c:v>
                </c:pt>
                <c:pt idx="1">
                  <c:v>447539</c:v>
                </c:pt>
                <c:pt idx="2">
                  <c:v>326248</c:v>
                </c:pt>
              </c:numCache>
            </c:numRef>
          </c:val>
          <c:smooth val="0"/>
          <c:extLst>
            <c:ext xmlns:c16="http://schemas.microsoft.com/office/drawing/2014/chart" uri="{C3380CC4-5D6E-409C-BE32-E72D297353CC}">
              <c16:uniqueId val="{0000000E-17F0-4B26-9F18-9C526FB68488}"/>
            </c:ext>
          </c:extLst>
        </c:ser>
        <c:ser>
          <c:idx val="4"/>
          <c:order val="4"/>
          <c:tx>
            <c:strRef>
              <c:f>Analysis!$G$5:$G$6</c:f>
              <c:strCache>
                <c:ptCount val="1"/>
                <c:pt idx="0">
                  <c:v>FinTech</c:v>
                </c:pt>
              </c:strCache>
            </c:strRef>
          </c:tx>
          <c:spPr>
            <a:ln w="28575" cap="rnd">
              <a:solidFill>
                <a:schemeClr val="accent5"/>
              </a:solidFill>
              <a:round/>
            </a:ln>
            <a:effectLst/>
          </c:spPr>
          <c:marker>
            <c:symbol val="none"/>
          </c:marker>
          <c:cat>
            <c:strRef>
              <c:f>Analysis!$B$7:$B$9</c:f>
              <c:strCache>
                <c:ptCount val="3"/>
                <c:pt idx="0">
                  <c:v>2024</c:v>
                </c:pt>
                <c:pt idx="1">
                  <c:v>2025</c:v>
                </c:pt>
                <c:pt idx="2">
                  <c:v>2026</c:v>
                </c:pt>
              </c:strCache>
            </c:strRef>
          </c:cat>
          <c:val>
            <c:numRef>
              <c:f>Analysis!$G$7:$G$9</c:f>
              <c:numCache>
                <c:formatCode>General</c:formatCode>
                <c:ptCount val="3"/>
                <c:pt idx="0">
                  <c:v>434758</c:v>
                </c:pt>
                <c:pt idx="1">
                  <c:v>411586</c:v>
                </c:pt>
                <c:pt idx="2">
                  <c:v>485789</c:v>
                </c:pt>
              </c:numCache>
            </c:numRef>
          </c:val>
          <c:smooth val="0"/>
          <c:extLst>
            <c:ext xmlns:c16="http://schemas.microsoft.com/office/drawing/2014/chart" uri="{C3380CC4-5D6E-409C-BE32-E72D297353CC}">
              <c16:uniqueId val="{0000000F-17F0-4B26-9F18-9C526FB68488}"/>
            </c:ext>
          </c:extLst>
        </c:ser>
        <c:ser>
          <c:idx val="5"/>
          <c:order val="5"/>
          <c:tx>
            <c:strRef>
              <c:f>Analysis!$H$5:$H$6</c:f>
              <c:strCache>
                <c:ptCount val="1"/>
                <c:pt idx="0">
                  <c:v>Gaming</c:v>
                </c:pt>
              </c:strCache>
            </c:strRef>
          </c:tx>
          <c:spPr>
            <a:ln w="28575" cap="rnd">
              <a:solidFill>
                <a:schemeClr val="accent6"/>
              </a:solidFill>
              <a:round/>
            </a:ln>
            <a:effectLst/>
          </c:spPr>
          <c:marker>
            <c:symbol val="none"/>
          </c:marker>
          <c:cat>
            <c:strRef>
              <c:f>Analysis!$B$7:$B$9</c:f>
              <c:strCache>
                <c:ptCount val="3"/>
                <c:pt idx="0">
                  <c:v>2024</c:v>
                </c:pt>
                <c:pt idx="1">
                  <c:v>2025</c:v>
                </c:pt>
                <c:pt idx="2">
                  <c:v>2026</c:v>
                </c:pt>
              </c:strCache>
            </c:strRef>
          </c:cat>
          <c:val>
            <c:numRef>
              <c:f>Analysis!$H$7:$H$9</c:f>
              <c:numCache>
                <c:formatCode>General</c:formatCode>
                <c:ptCount val="3"/>
                <c:pt idx="0">
                  <c:v>680144</c:v>
                </c:pt>
                <c:pt idx="1">
                  <c:v>723550</c:v>
                </c:pt>
                <c:pt idx="2">
                  <c:v>557347</c:v>
                </c:pt>
              </c:numCache>
            </c:numRef>
          </c:val>
          <c:smooth val="0"/>
          <c:extLst>
            <c:ext xmlns:c16="http://schemas.microsoft.com/office/drawing/2014/chart" uri="{C3380CC4-5D6E-409C-BE32-E72D297353CC}">
              <c16:uniqueId val="{00000010-17F0-4B26-9F18-9C526FB68488}"/>
            </c:ext>
          </c:extLst>
        </c:ser>
        <c:ser>
          <c:idx val="6"/>
          <c:order val="6"/>
          <c:tx>
            <c:strRef>
              <c:f>Analysis!$I$5:$I$6</c:f>
              <c:strCache>
                <c:ptCount val="1"/>
                <c:pt idx="0">
                  <c:v>Social Media</c:v>
                </c:pt>
              </c:strCache>
            </c:strRef>
          </c:tx>
          <c:spPr>
            <a:ln w="28575" cap="rnd">
              <a:solidFill>
                <a:schemeClr val="accent1">
                  <a:lumMod val="60000"/>
                </a:schemeClr>
              </a:solidFill>
              <a:round/>
            </a:ln>
            <a:effectLst/>
          </c:spPr>
          <c:marker>
            <c:symbol val="none"/>
          </c:marker>
          <c:cat>
            <c:strRef>
              <c:f>Analysis!$B$7:$B$9</c:f>
              <c:strCache>
                <c:ptCount val="3"/>
                <c:pt idx="0">
                  <c:v>2024</c:v>
                </c:pt>
                <c:pt idx="1">
                  <c:v>2025</c:v>
                </c:pt>
                <c:pt idx="2">
                  <c:v>2026</c:v>
                </c:pt>
              </c:strCache>
            </c:strRef>
          </c:cat>
          <c:val>
            <c:numRef>
              <c:f>Analysis!$I$7:$I$9</c:f>
              <c:numCache>
                <c:formatCode>General</c:formatCode>
                <c:ptCount val="3"/>
                <c:pt idx="0">
                  <c:v>590463</c:v>
                </c:pt>
                <c:pt idx="1">
                  <c:v>655538</c:v>
                </c:pt>
                <c:pt idx="2">
                  <c:v>578050</c:v>
                </c:pt>
              </c:numCache>
            </c:numRef>
          </c:val>
          <c:smooth val="0"/>
          <c:extLst>
            <c:ext xmlns:c16="http://schemas.microsoft.com/office/drawing/2014/chart" uri="{C3380CC4-5D6E-409C-BE32-E72D297353CC}">
              <c16:uniqueId val="{00000011-17F0-4B26-9F18-9C526FB68488}"/>
            </c:ext>
          </c:extLst>
        </c:ser>
        <c:dLbls>
          <c:showLegendKey val="0"/>
          <c:showVal val="0"/>
          <c:showCatName val="0"/>
          <c:showSerName val="0"/>
          <c:showPercent val="0"/>
          <c:showBubbleSize val="0"/>
        </c:dLbls>
        <c:smooth val="0"/>
        <c:axId val="1787938928"/>
        <c:axId val="1787937008"/>
      </c:lineChart>
      <c:catAx>
        <c:axId val="17879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37008"/>
        <c:crosses val="autoZero"/>
        <c:auto val="1"/>
        <c:lblAlgn val="ctr"/>
        <c:lblOffset val="100"/>
        <c:noMultiLvlLbl val="0"/>
      </c:catAx>
      <c:valAx>
        <c:axId val="17879370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3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Budget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Analysis!$B$21:$B$24</c:f>
              <c:strCache>
                <c:ptCount val="4"/>
                <c:pt idx="0">
                  <c:v>Big Tech</c:v>
                </c:pt>
                <c:pt idx="1">
                  <c:v>Enterprise</c:v>
                </c:pt>
                <c:pt idx="2">
                  <c:v>Mid-size</c:v>
                </c:pt>
                <c:pt idx="3">
                  <c:v>Startup</c:v>
                </c:pt>
              </c:strCache>
            </c:strRef>
          </c:cat>
          <c:val>
            <c:numRef>
              <c:f>Analysis!$C$21:$C$24</c:f>
              <c:numCache>
                <c:formatCode>0.00</c:formatCode>
                <c:ptCount val="4"/>
                <c:pt idx="0">
                  <c:v>5.7184986595174285</c:v>
                </c:pt>
                <c:pt idx="1">
                  <c:v>5.2876190476190477</c:v>
                </c:pt>
                <c:pt idx="2">
                  <c:v>6.2632198952879587</c:v>
                </c:pt>
                <c:pt idx="3">
                  <c:v>5.5063172043010775</c:v>
                </c:pt>
              </c:numCache>
            </c:numRef>
          </c:val>
          <c:extLst>
            <c:ext xmlns:c16="http://schemas.microsoft.com/office/drawing/2014/chart" uri="{C3380CC4-5D6E-409C-BE32-E72D297353CC}">
              <c16:uniqueId val="{00000000-C6E0-4430-B4E4-2EB118D9E1B8}"/>
            </c:ext>
          </c:extLst>
        </c:ser>
        <c:dLbls>
          <c:dLblPos val="outEnd"/>
          <c:showLegendKey val="0"/>
          <c:showVal val="1"/>
          <c:showCatName val="0"/>
          <c:showSerName val="0"/>
          <c:showPercent val="0"/>
          <c:showBubbleSize val="0"/>
        </c:dLbls>
        <c:gapWidth val="219"/>
        <c:overlap val="-27"/>
        <c:axId val="1728112640"/>
        <c:axId val="1728113120"/>
      </c:barChart>
      <c:catAx>
        <c:axId val="172811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13120"/>
        <c:crosses val="autoZero"/>
        <c:auto val="1"/>
        <c:lblAlgn val="ctr"/>
        <c:lblOffset val="100"/>
        <c:noMultiLvlLbl val="0"/>
      </c:catAx>
      <c:valAx>
        <c:axId val="1728113120"/>
        <c:scaling>
          <c:orientation val="minMax"/>
        </c:scaling>
        <c:delete val="1"/>
        <c:axPos val="l"/>
        <c:numFmt formatCode="0.00" sourceLinked="1"/>
        <c:majorTickMark val="none"/>
        <c:minorTickMark val="none"/>
        <c:tickLblPos val="nextTo"/>
        <c:crossAx val="172811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[tech_layoff_hiring_analysis.xlsx]Analysis!AI_replacement_risk</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Replacement</a:t>
            </a:r>
            <a:r>
              <a:rPr lang="en-US" baseline="0"/>
              <a:t> Risk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Analysis!$C$63</c:f>
              <c:strCache>
                <c:ptCount val="1"/>
                <c:pt idx="0">
                  <c:v>Total</c:v>
                </c:pt>
              </c:strCache>
            </c:strRef>
          </c:tx>
          <c:spPr>
            <a:ln w="28575" cap="rnd">
              <a:solidFill>
                <a:schemeClr val="accent1"/>
              </a:solidFill>
              <a:round/>
            </a:ln>
            <a:effectLst/>
          </c:spPr>
          <c:marker>
            <c:symbol val="none"/>
          </c:marker>
          <c:cat>
            <c:strRef>
              <c:f>Analysis!$B$64:$B$70</c:f>
              <c:strCache>
                <c:ptCount val="7"/>
                <c:pt idx="0">
                  <c:v>AI</c:v>
                </c:pt>
                <c:pt idx="1">
                  <c:v>Cloud</c:v>
                </c:pt>
                <c:pt idx="2">
                  <c:v>Cybersecurity</c:v>
                </c:pt>
                <c:pt idx="3">
                  <c:v>E-Commerce</c:v>
                </c:pt>
                <c:pt idx="4">
                  <c:v>FinTech</c:v>
                </c:pt>
                <c:pt idx="5">
                  <c:v>Gaming</c:v>
                </c:pt>
                <c:pt idx="6">
                  <c:v>Social Media</c:v>
                </c:pt>
              </c:strCache>
            </c:strRef>
          </c:cat>
          <c:val>
            <c:numRef>
              <c:f>Analysis!$C$64:$C$70</c:f>
              <c:numCache>
                <c:formatCode>0.00</c:formatCode>
                <c:ptCount val="7"/>
                <c:pt idx="0">
                  <c:v>7.1649572649572635</c:v>
                </c:pt>
                <c:pt idx="1">
                  <c:v>7.0720694645441409</c:v>
                </c:pt>
                <c:pt idx="2">
                  <c:v>7.3461538461538458</c:v>
                </c:pt>
                <c:pt idx="3">
                  <c:v>7.2062240663900416</c:v>
                </c:pt>
                <c:pt idx="4">
                  <c:v>7.2220532319391619</c:v>
                </c:pt>
                <c:pt idx="5">
                  <c:v>7.0592493297587113</c:v>
                </c:pt>
                <c:pt idx="6">
                  <c:v>7.2927051671732501</c:v>
                </c:pt>
              </c:numCache>
            </c:numRef>
          </c:val>
          <c:extLst>
            <c:ext xmlns:c16="http://schemas.microsoft.com/office/drawing/2014/chart" uri="{C3380CC4-5D6E-409C-BE32-E72D297353CC}">
              <c16:uniqueId val="{00000000-6CD7-46EF-AC17-EDFBF064100A}"/>
            </c:ext>
          </c:extLst>
        </c:ser>
        <c:dLbls>
          <c:showLegendKey val="0"/>
          <c:showVal val="0"/>
          <c:showCatName val="0"/>
          <c:showSerName val="0"/>
          <c:showPercent val="0"/>
          <c:showBubbleSize val="0"/>
        </c:dLbls>
        <c:axId val="1716497376"/>
        <c:axId val="700600336"/>
      </c:radarChart>
      <c:catAx>
        <c:axId val="171649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00336"/>
        <c:crosses val="autoZero"/>
        <c:auto val="1"/>
        <c:lblAlgn val="ctr"/>
        <c:lblOffset val="100"/>
        <c:noMultiLvlLbl val="0"/>
      </c:catAx>
      <c:valAx>
        <c:axId val="70060033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649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[tech_layoff_hiring_analysis.xlsx]Analysis!Automation_impact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 Automation Impact Over Different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Analysis!$B$82:$B$88</c:f>
              <c:strCache>
                <c:ptCount val="7"/>
                <c:pt idx="0">
                  <c:v>AI</c:v>
                </c:pt>
                <c:pt idx="1">
                  <c:v>Cloud</c:v>
                </c:pt>
                <c:pt idx="2">
                  <c:v>Cybersecurity</c:v>
                </c:pt>
                <c:pt idx="3">
                  <c:v>E-Commerce</c:v>
                </c:pt>
                <c:pt idx="4">
                  <c:v>FinTech</c:v>
                </c:pt>
                <c:pt idx="5">
                  <c:v>Gaming</c:v>
                </c:pt>
                <c:pt idx="6">
                  <c:v>Social Media</c:v>
                </c:pt>
              </c:strCache>
            </c:strRef>
          </c:cat>
          <c:val>
            <c:numRef>
              <c:f>Analysis!$C$82:$C$88</c:f>
              <c:numCache>
                <c:formatCode>0.00</c:formatCode>
                <c:ptCount val="7"/>
                <c:pt idx="0">
                  <c:v>6.5132478632478676</c:v>
                </c:pt>
                <c:pt idx="1">
                  <c:v>6.1196816208393621</c:v>
                </c:pt>
                <c:pt idx="2">
                  <c:v>6.2389743589743585</c:v>
                </c:pt>
                <c:pt idx="3">
                  <c:v>6.4485477178423203</c:v>
                </c:pt>
                <c:pt idx="4">
                  <c:v>6.4471482889733842</c:v>
                </c:pt>
                <c:pt idx="5">
                  <c:v>6.4410187667560335</c:v>
                </c:pt>
                <c:pt idx="6">
                  <c:v>5.9920972644376924</c:v>
                </c:pt>
              </c:numCache>
            </c:numRef>
          </c:val>
          <c:extLst>
            <c:ext xmlns:c16="http://schemas.microsoft.com/office/drawing/2014/chart" uri="{C3380CC4-5D6E-409C-BE32-E72D297353CC}">
              <c16:uniqueId val="{00000000-3483-47C6-B1FE-DADFD3AC8BD6}"/>
            </c:ext>
          </c:extLst>
        </c:ser>
        <c:dLbls>
          <c:dLblPos val="outEnd"/>
          <c:showLegendKey val="0"/>
          <c:showVal val="1"/>
          <c:showCatName val="0"/>
          <c:showSerName val="0"/>
          <c:showPercent val="0"/>
          <c:showBubbleSize val="0"/>
        </c:dLbls>
        <c:gapWidth val="219"/>
        <c:overlap val="-27"/>
        <c:axId val="1872214544"/>
        <c:axId val="1872213584"/>
      </c:barChart>
      <c:catAx>
        <c:axId val="187221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213584"/>
        <c:crosses val="autoZero"/>
        <c:auto val="1"/>
        <c:lblAlgn val="ctr"/>
        <c:lblOffset val="100"/>
        <c:noMultiLvlLbl val="0"/>
      </c:catAx>
      <c:valAx>
        <c:axId val="1872213584"/>
        <c:scaling>
          <c:orientation val="minMax"/>
        </c:scaling>
        <c:delete val="1"/>
        <c:axPos val="l"/>
        <c:numFmt formatCode="0.00" sourceLinked="1"/>
        <c:majorTickMark val="none"/>
        <c:minorTickMark val="none"/>
        <c:tickLblPos val="nextTo"/>
        <c:crossAx val="1872214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[tech_layoff_hiring_analysis.xlsx]Analysis!rev_growth</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Analysis!$C$99</c:f>
              <c:strCache>
                <c:ptCount val="1"/>
                <c:pt idx="0">
                  <c:v>Total</c:v>
                </c:pt>
              </c:strCache>
            </c:strRef>
          </c:tx>
          <c:dPt>
            <c:idx val="0"/>
            <c:bubble3D val="0"/>
            <c:explosion val="14"/>
            <c:spPr>
              <a:solidFill>
                <a:schemeClr val="accent1"/>
              </a:solidFill>
              <a:ln w="19050">
                <a:solidFill>
                  <a:schemeClr val="lt1"/>
                </a:solidFill>
              </a:ln>
              <a:effectLst/>
            </c:spPr>
            <c:extLst>
              <c:ext xmlns:c16="http://schemas.microsoft.com/office/drawing/2014/chart" uri="{C3380CC4-5D6E-409C-BE32-E72D297353CC}">
                <c16:uniqueId val="{00000003-3D51-4B89-B029-13E35EDA13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D51-4B89-B029-13E35EDA13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E6-424D-AE8B-2B3B0B0C98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E6-424D-AE8B-2B3B0B0C98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E6-424D-AE8B-2B3B0B0C985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7E6-424D-AE8B-2B3B0B0C985E}"/>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Analysis!$B$100:$B$105</c:f>
              <c:strCache>
                <c:ptCount val="6"/>
                <c:pt idx="0">
                  <c:v>India</c:v>
                </c:pt>
                <c:pt idx="1">
                  <c:v>Singapore</c:v>
                </c:pt>
                <c:pt idx="2">
                  <c:v>Canada</c:v>
                </c:pt>
                <c:pt idx="3">
                  <c:v>USA</c:v>
                </c:pt>
                <c:pt idx="4">
                  <c:v>UK</c:v>
                </c:pt>
                <c:pt idx="5">
                  <c:v>Germany</c:v>
                </c:pt>
              </c:strCache>
            </c:strRef>
          </c:cat>
          <c:val>
            <c:numRef>
              <c:f>Analysis!$C$100:$C$105</c:f>
              <c:numCache>
                <c:formatCode>0.00</c:formatCode>
                <c:ptCount val="6"/>
                <c:pt idx="0">
                  <c:v>17.944490644490639</c:v>
                </c:pt>
                <c:pt idx="1">
                  <c:v>17.864087301587311</c:v>
                </c:pt>
                <c:pt idx="2">
                  <c:v>17.815000000000001</c:v>
                </c:pt>
                <c:pt idx="3">
                  <c:v>16.423188405797084</c:v>
                </c:pt>
                <c:pt idx="4">
                  <c:v>16.28994197292069</c:v>
                </c:pt>
                <c:pt idx="5">
                  <c:v>15.843650793650784</c:v>
                </c:pt>
              </c:numCache>
            </c:numRef>
          </c:val>
          <c:extLst>
            <c:ext xmlns:c16="http://schemas.microsoft.com/office/drawing/2014/chart" uri="{C3380CC4-5D6E-409C-BE32-E72D297353CC}">
              <c16:uniqueId val="{00000000-3D51-4B89-B029-13E35EDA1359}"/>
            </c:ext>
          </c:extLst>
        </c:ser>
        <c:dLbls>
          <c:showLegendKey val="0"/>
          <c:showVal val="0"/>
          <c:showCatName val="0"/>
          <c:showSerName val="0"/>
          <c:showPercent val="0"/>
          <c:showBubbleSize val="0"/>
          <c:showLeaderLines val="0"/>
        </c:dLbls>
        <c:firstSliceAng val="0"/>
        <c:holeSize val="4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aw_data!A1"/><Relationship Id="rId11" Type="http://schemas.openxmlformats.org/officeDocument/2006/relationships/image" Target="../media/image4.sv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Dashboard!A1"/><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hyperlink" Target="#Analysis!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Raw_data!A1"/><Relationship Id="rId11" Type="http://schemas.openxmlformats.org/officeDocument/2006/relationships/image" Target="../media/image7.svg"/><Relationship Id="rId5" Type="http://schemas.openxmlformats.org/officeDocument/2006/relationships/chart" Target="../charts/chart10.xml"/><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hyperlink" Target="#Dashboard!A1"/><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Analysis!A1"/><Relationship Id="rId2" Type="http://schemas.openxmlformats.org/officeDocument/2006/relationships/image" Target="../media/image1.png"/><Relationship Id="rId1" Type="http://schemas.openxmlformats.org/officeDocument/2006/relationships/hyperlink" Target="#Raw_data!A1"/><Relationship Id="rId6" Type="http://schemas.openxmlformats.org/officeDocument/2006/relationships/image" Target="../media/image7.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14</xdr:col>
      <xdr:colOff>441960</xdr:colOff>
      <xdr:row>3</xdr:row>
      <xdr:rowOff>22860</xdr:rowOff>
    </xdr:to>
    <xdr:sp macro="" textlink="">
      <xdr:nvSpPr>
        <xdr:cNvPr id="2" name="Rectangle 1">
          <a:extLst>
            <a:ext uri="{FF2B5EF4-FFF2-40B4-BE49-F238E27FC236}">
              <a16:creationId xmlns:a16="http://schemas.microsoft.com/office/drawing/2014/main" id="{B5B0D5B3-A202-5E87-70CF-5097FBAF78A3}"/>
            </a:ext>
          </a:extLst>
        </xdr:cNvPr>
        <xdr:cNvSpPr/>
      </xdr:nvSpPr>
      <xdr:spPr>
        <a:xfrm>
          <a:off x="0" y="7620"/>
          <a:ext cx="8976360" cy="56388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402018</xdr:colOff>
      <xdr:row>0</xdr:row>
      <xdr:rowOff>0</xdr:rowOff>
    </xdr:from>
    <xdr:ext cx="7105535" cy="530658"/>
    <xdr:sp macro="" textlink="">
      <xdr:nvSpPr>
        <xdr:cNvPr id="4" name="Rectangle 3">
          <a:extLst>
            <a:ext uri="{FF2B5EF4-FFF2-40B4-BE49-F238E27FC236}">
              <a16:creationId xmlns:a16="http://schemas.microsoft.com/office/drawing/2014/main" id="{9151B636-372F-A089-41FF-D72548B4C8CE}"/>
            </a:ext>
          </a:extLst>
        </xdr:cNvPr>
        <xdr:cNvSpPr/>
      </xdr:nvSpPr>
      <xdr:spPr>
        <a:xfrm>
          <a:off x="1011618" y="0"/>
          <a:ext cx="7105535" cy="530658"/>
        </a:xfrm>
        <a:prstGeom prst="rect">
          <a:avLst/>
        </a:prstGeom>
        <a:noFill/>
      </xdr:spPr>
      <xdr:txBody>
        <a:bodyPr wrap="none" lIns="91440" tIns="45720" rIns="91440" bIns="45720">
          <a:spAutoFit/>
        </a:bodyPr>
        <a:lstStyle/>
        <a:p>
          <a:pPr algn="ctr"/>
          <a:r>
            <a:rPr lang="en-US" sz="2800" b="1" cap="none" spc="50">
              <a:ln w="0"/>
              <a:solidFill>
                <a:schemeClr val="bg2"/>
              </a:solidFill>
              <a:effectLst>
                <a:innerShdw blurRad="63500" dist="50800" dir="13500000">
                  <a:srgbClr val="000000">
                    <a:alpha val="50000"/>
                  </a:srgbClr>
                </a:innerShdw>
              </a:effectLst>
            </a:rPr>
            <a:t>TECH</a:t>
          </a:r>
          <a:r>
            <a:rPr lang="en-US" sz="2800" b="1" cap="none" spc="50" baseline="0">
              <a:ln w="0"/>
              <a:solidFill>
                <a:schemeClr val="bg2"/>
              </a:solidFill>
              <a:effectLst>
                <a:innerShdw blurRad="63500" dist="50800" dir="13500000">
                  <a:srgbClr val="000000">
                    <a:alpha val="50000"/>
                  </a:srgbClr>
                </a:innerShdw>
              </a:effectLst>
            </a:rPr>
            <a:t> LAYOFF HIRING ANALYSIS DASHBOARD</a:t>
          </a:r>
          <a:endParaRPr lang="en-US" sz="28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1</xdr:col>
      <xdr:colOff>144780</xdr:colOff>
      <xdr:row>3</xdr:row>
      <xdr:rowOff>83820</xdr:rowOff>
    </xdr:from>
    <xdr:to>
      <xdr:col>3</xdr:col>
      <xdr:colOff>504092</xdr:colOff>
      <xdr:row>7</xdr:row>
      <xdr:rowOff>15240</xdr:rowOff>
    </xdr:to>
    <xdr:grpSp>
      <xdr:nvGrpSpPr>
        <xdr:cNvPr id="11" name="Group 10">
          <a:extLst>
            <a:ext uri="{FF2B5EF4-FFF2-40B4-BE49-F238E27FC236}">
              <a16:creationId xmlns:a16="http://schemas.microsoft.com/office/drawing/2014/main" id="{0767194C-0FCD-29F7-5A78-4D1FAA43C9DC}"/>
            </a:ext>
          </a:extLst>
        </xdr:cNvPr>
        <xdr:cNvGrpSpPr/>
      </xdr:nvGrpSpPr>
      <xdr:grpSpPr>
        <a:xfrm>
          <a:off x="754380" y="621702"/>
          <a:ext cx="1578512" cy="648597"/>
          <a:chOff x="754380" y="632460"/>
          <a:chExt cx="1424940" cy="662940"/>
        </a:xfrm>
      </xdr:grpSpPr>
      <xdr:sp macro="" textlink="Analysis!F117">
        <xdr:nvSpPr>
          <xdr:cNvPr id="6" name="Rectangle: Rounded Corners 5">
            <a:extLst>
              <a:ext uri="{FF2B5EF4-FFF2-40B4-BE49-F238E27FC236}">
                <a16:creationId xmlns:a16="http://schemas.microsoft.com/office/drawing/2014/main" id="{BFD3CA58-98E4-3C7F-A6FD-046289F4B16E}"/>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B485D211-8005-46AC-ABCB-5B3939688015}" type="TxLink">
              <a:rPr lang="en-US" sz="1400" b="0" i="0" u="none" strike="noStrike">
                <a:solidFill>
                  <a:schemeClr val="accent2">
                    <a:lumMod val="75000"/>
                  </a:schemeClr>
                </a:solidFill>
                <a:latin typeface="Impact" panose="020B0806030902050204" pitchFamily="34" charset="0"/>
                <a:ea typeface="Calibri"/>
                <a:cs typeface="Calibri"/>
              </a:rPr>
              <a:pPr algn="l"/>
              <a:t>15069848</a:t>
            </a:fld>
            <a:endParaRPr lang="en-US" sz="1400">
              <a:solidFill>
                <a:schemeClr val="accent2">
                  <a:lumMod val="75000"/>
                </a:schemeClr>
              </a:solidFill>
              <a:latin typeface="Impact" panose="020B0806030902050204" pitchFamily="34" charset="0"/>
            </a:endParaRPr>
          </a:p>
        </xdr:txBody>
      </xdr:sp>
      <xdr:sp macro="" textlink="">
        <xdr:nvSpPr>
          <xdr:cNvPr id="10" name="TextBox 9">
            <a:extLst>
              <a:ext uri="{FF2B5EF4-FFF2-40B4-BE49-F238E27FC236}">
                <a16:creationId xmlns:a16="http://schemas.microsoft.com/office/drawing/2014/main" id="{9AC75722-1DC9-4007-029E-4C3505C30AAF}"/>
              </a:ext>
            </a:extLst>
          </xdr:cNvPr>
          <xdr:cNvSpPr txBox="1"/>
        </xdr:nvSpPr>
        <xdr:spPr>
          <a:xfrm>
            <a:off x="800100" y="693420"/>
            <a:ext cx="111252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Total Layoffs</a:t>
            </a:r>
          </a:p>
        </xdr:txBody>
      </xdr:sp>
    </xdr:grpSp>
    <xdr:clientData/>
  </xdr:twoCellAnchor>
  <xdr:twoCellAnchor>
    <xdr:from>
      <xdr:col>10</xdr:col>
      <xdr:colOff>402687</xdr:colOff>
      <xdr:row>3</xdr:row>
      <xdr:rowOff>76200</xdr:rowOff>
    </xdr:from>
    <xdr:to>
      <xdr:col>14</xdr:col>
      <xdr:colOff>445476</xdr:colOff>
      <xdr:row>7</xdr:row>
      <xdr:rowOff>7620</xdr:rowOff>
    </xdr:to>
    <xdr:grpSp>
      <xdr:nvGrpSpPr>
        <xdr:cNvPr id="12" name="Group 11">
          <a:extLst>
            <a:ext uri="{FF2B5EF4-FFF2-40B4-BE49-F238E27FC236}">
              <a16:creationId xmlns:a16="http://schemas.microsoft.com/office/drawing/2014/main" id="{6544FA07-D406-4EAF-8B54-32C1FB320993}"/>
            </a:ext>
          </a:extLst>
        </xdr:cNvPr>
        <xdr:cNvGrpSpPr/>
      </xdr:nvGrpSpPr>
      <xdr:grpSpPr>
        <a:xfrm>
          <a:off x="6498687" y="614082"/>
          <a:ext cx="2481189" cy="648597"/>
          <a:chOff x="754380" y="632460"/>
          <a:chExt cx="1424940" cy="662940"/>
        </a:xfrm>
      </xdr:grpSpPr>
      <xdr:sp macro="" textlink="Analysis!F120">
        <xdr:nvSpPr>
          <xdr:cNvPr id="13" name="Rectangle: Rounded Corners 12">
            <a:extLst>
              <a:ext uri="{FF2B5EF4-FFF2-40B4-BE49-F238E27FC236}">
                <a16:creationId xmlns:a16="http://schemas.microsoft.com/office/drawing/2014/main" id="{A6517861-6A3A-A92A-8700-541C53F407A2}"/>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6E9E955C-3049-4739-B820-8322F99D096E}" type="TxLink">
              <a:rPr lang="en-US" sz="1400" b="0" i="0" u="none" strike="noStrike">
                <a:solidFill>
                  <a:schemeClr val="accent2">
                    <a:lumMod val="75000"/>
                  </a:schemeClr>
                </a:solidFill>
                <a:latin typeface="Impact" panose="020B0806030902050204" pitchFamily="34" charset="0"/>
                <a:ea typeface="Calibri"/>
                <a:cs typeface="Calibri"/>
              </a:rPr>
              <a:pPr algn="l"/>
              <a:t>6.52</a:t>
            </a:fld>
            <a:endParaRPr lang="en-US" sz="1400">
              <a:solidFill>
                <a:schemeClr val="accent2">
                  <a:lumMod val="75000"/>
                </a:schemeClr>
              </a:solidFill>
              <a:latin typeface="Impact" panose="020B0806030902050204" pitchFamily="34" charset="0"/>
            </a:endParaRPr>
          </a:p>
        </xdr:txBody>
      </xdr:sp>
      <xdr:sp macro="" textlink="">
        <xdr:nvSpPr>
          <xdr:cNvPr id="14" name="TextBox 13">
            <a:extLst>
              <a:ext uri="{FF2B5EF4-FFF2-40B4-BE49-F238E27FC236}">
                <a16:creationId xmlns:a16="http://schemas.microsoft.com/office/drawing/2014/main" id="{B29BA8F0-1B5C-ADF3-94AB-95FAD6F4BDCC}"/>
              </a:ext>
            </a:extLst>
          </xdr:cNvPr>
          <xdr:cNvSpPr txBox="1"/>
        </xdr:nvSpPr>
        <xdr:spPr>
          <a:xfrm>
            <a:off x="774359" y="693420"/>
            <a:ext cx="1070254"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Average</a:t>
            </a:r>
            <a:r>
              <a:rPr lang="en-US" sz="1100" b="0" baseline="0"/>
              <a:t> Employee Sentiment</a:t>
            </a:r>
            <a:endParaRPr lang="en-US" sz="1100" b="0"/>
          </a:p>
        </xdr:txBody>
      </xdr:sp>
    </xdr:grpSp>
    <xdr:clientData/>
  </xdr:twoCellAnchor>
  <xdr:twoCellAnchor>
    <xdr:from>
      <xdr:col>4</xdr:col>
      <xdr:colOff>27548</xdr:colOff>
      <xdr:row>3</xdr:row>
      <xdr:rowOff>83820</xdr:rowOff>
    </xdr:from>
    <xdr:to>
      <xdr:col>6</xdr:col>
      <xdr:colOff>369276</xdr:colOff>
      <xdr:row>7</xdr:row>
      <xdr:rowOff>15240</xdr:rowOff>
    </xdr:to>
    <xdr:grpSp>
      <xdr:nvGrpSpPr>
        <xdr:cNvPr id="15" name="Group 14">
          <a:extLst>
            <a:ext uri="{FF2B5EF4-FFF2-40B4-BE49-F238E27FC236}">
              <a16:creationId xmlns:a16="http://schemas.microsoft.com/office/drawing/2014/main" id="{6B664056-FA14-4FAF-8A30-C129A20F9683}"/>
            </a:ext>
          </a:extLst>
        </xdr:cNvPr>
        <xdr:cNvGrpSpPr/>
      </xdr:nvGrpSpPr>
      <xdr:grpSpPr>
        <a:xfrm>
          <a:off x="2465948" y="621702"/>
          <a:ext cx="1560928" cy="648597"/>
          <a:chOff x="754380" y="632460"/>
          <a:chExt cx="1424940" cy="662940"/>
        </a:xfrm>
      </xdr:grpSpPr>
      <xdr:sp macro="" textlink="Analysis!F118">
        <xdr:nvSpPr>
          <xdr:cNvPr id="16" name="Rectangle: Rounded Corners 15">
            <a:extLst>
              <a:ext uri="{FF2B5EF4-FFF2-40B4-BE49-F238E27FC236}">
                <a16:creationId xmlns:a16="http://schemas.microsoft.com/office/drawing/2014/main" id="{DFB3F3C8-D913-7389-B062-939B165EDCA4}"/>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1530CF8A-A720-486E-8C95-4CD1E9DA0D34}" type="TxLink">
              <a:rPr lang="en-US" sz="1400" b="0" i="0" u="none" strike="noStrike">
                <a:solidFill>
                  <a:schemeClr val="accent2">
                    <a:lumMod val="75000"/>
                  </a:schemeClr>
                </a:solidFill>
                <a:latin typeface="Impact" panose="020B0806030902050204" pitchFamily="34" charset="0"/>
                <a:ea typeface="Calibri"/>
                <a:cs typeface="Calibri"/>
              </a:rPr>
              <a:pPr algn="l"/>
              <a:t>9509850</a:t>
            </a:fld>
            <a:endParaRPr lang="en-US" sz="1800">
              <a:solidFill>
                <a:schemeClr val="accent2">
                  <a:lumMod val="75000"/>
                </a:schemeClr>
              </a:solidFill>
              <a:latin typeface="Impact" panose="020B0806030902050204" pitchFamily="34" charset="0"/>
            </a:endParaRPr>
          </a:p>
        </xdr:txBody>
      </xdr:sp>
      <xdr:sp macro="" textlink="">
        <xdr:nvSpPr>
          <xdr:cNvPr id="17" name="TextBox 16">
            <a:extLst>
              <a:ext uri="{FF2B5EF4-FFF2-40B4-BE49-F238E27FC236}">
                <a16:creationId xmlns:a16="http://schemas.microsoft.com/office/drawing/2014/main" id="{79ACB37C-9C2C-E917-4887-9E54C0E8BCAF}"/>
              </a:ext>
            </a:extLst>
          </xdr:cNvPr>
          <xdr:cNvSpPr txBox="1"/>
        </xdr:nvSpPr>
        <xdr:spPr>
          <a:xfrm>
            <a:off x="789396" y="693420"/>
            <a:ext cx="1254553"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Total Open Positions</a:t>
            </a:r>
          </a:p>
        </xdr:txBody>
      </xdr:sp>
    </xdr:grpSp>
    <xdr:clientData/>
  </xdr:twoCellAnchor>
  <xdr:twoCellAnchor>
    <xdr:from>
      <xdr:col>6</xdr:col>
      <xdr:colOff>502332</xdr:colOff>
      <xdr:row>3</xdr:row>
      <xdr:rowOff>76200</xdr:rowOff>
    </xdr:from>
    <xdr:to>
      <xdr:col>10</xdr:col>
      <xdr:colOff>269630</xdr:colOff>
      <xdr:row>7</xdr:row>
      <xdr:rowOff>7620</xdr:rowOff>
    </xdr:to>
    <xdr:grpSp>
      <xdr:nvGrpSpPr>
        <xdr:cNvPr id="18" name="Group 17">
          <a:extLst>
            <a:ext uri="{FF2B5EF4-FFF2-40B4-BE49-F238E27FC236}">
              <a16:creationId xmlns:a16="http://schemas.microsoft.com/office/drawing/2014/main" id="{EFDCBB07-1A44-4D47-984B-BF4853E8B109}"/>
            </a:ext>
          </a:extLst>
        </xdr:cNvPr>
        <xdr:cNvGrpSpPr/>
      </xdr:nvGrpSpPr>
      <xdr:grpSpPr>
        <a:xfrm>
          <a:off x="4159932" y="614082"/>
          <a:ext cx="2205698" cy="648597"/>
          <a:chOff x="754380" y="632460"/>
          <a:chExt cx="1424940" cy="662940"/>
        </a:xfrm>
      </xdr:grpSpPr>
      <xdr:sp macro="" textlink="Analysis!F119">
        <xdr:nvSpPr>
          <xdr:cNvPr id="19" name="Rectangle: Rounded Corners 18">
            <a:extLst>
              <a:ext uri="{FF2B5EF4-FFF2-40B4-BE49-F238E27FC236}">
                <a16:creationId xmlns:a16="http://schemas.microsoft.com/office/drawing/2014/main" id="{20ADA1F8-2653-C7EA-CC84-CBC776D28A17}"/>
              </a:ext>
            </a:extLst>
          </xdr:cNvPr>
          <xdr:cNvSpPr/>
        </xdr:nvSpPr>
        <xdr:spPr>
          <a:xfrm>
            <a:off x="754380" y="632460"/>
            <a:ext cx="142494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5A9B24EC-B4E8-44BA-A823-BFA76C325526}" type="TxLink">
              <a:rPr lang="en-US" sz="1400" b="0" i="0" u="none" strike="noStrike">
                <a:solidFill>
                  <a:schemeClr val="accent2">
                    <a:lumMod val="75000"/>
                  </a:schemeClr>
                </a:solidFill>
                <a:latin typeface="Impact" panose="020B0806030902050204" pitchFamily="34" charset="0"/>
                <a:ea typeface="Calibri"/>
                <a:cs typeface="Calibri"/>
              </a:rPr>
              <a:pPr algn="l"/>
              <a:t>Restructuring</a:t>
            </a:fld>
            <a:endParaRPr lang="en-US" sz="1800">
              <a:solidFill>
                <a:schemeClr val="accent2">
                  <a:lumMod val="75000"/>
                </a:schemeClr>
              </a:solidFill>
              <a:latin typeface="Impact" panose="020B0806030902050204" pitchFamily="34" charset="0"/>
            </a:endParaRPr>
          </a:p>
        </xdr:txBody>
      </xdr:sp>
      <xdr:sp macro="" textlink="">
        <xdr:nvSpPr>
          <xdr:cNvPr id="20" name="TextBox 19">
            <a:extLst>
              <a:ext uri="{FF2B5EF4-FFF2-40B4-BE49-F238E27FC236}">
                <a16:creationId xmlns:a16="http://schemas.microsoft.com/office/drawing/2014/main" id="{B8B95455-002C-07CA-8F4C-29845CEA229B}"/>
              </a:ext>
            </a:extLst>
          </xdr:cNvPr>
          <xdr:cNvSpPr txBox="1"/>
        </xdr:nvSpPr>
        <xdr:spPr>
          <a:xfrm>
            <a:off x="782513" y="693420"/>
            <a:ext cx="135108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Major layoff Reason</a:t>
            </a:r>
          </a:p>
        </xdr:txBody>
      </xdr:sp>
    </xdr:grpSp>
    <xdr:clientData/>
  </xdr:twoCellAnchor>
  <xdr:twoCellAnchor>
    <xdr:from>
      <xdr:col>8</xdr:col>
      <xdr:colOff>411480</xdr:colOff>
      <xdr:row>7</xdr:row>
      <xdr:rowOff>72684</xdr:rowOff>
    </xdr:from>
    <xdr:to>
      <xdr:col>14</xdr:col>
      <xdr:colOff>589878</xdr:colOff>
      <xdr:row>17</xdr:row>
      <xdr:rowOff>69925</xdr:rowOff>
    </xdr:to>
    <xdr:graphicFrame macro="">
      <xdr:nvGraphicFramePr>
        <xdr:cNvPr id="24" name="Chart 23">
          <a:extLst>
            <a:ext uri="{FF2B5EF4-FFF2-40B4-BE49-F238E27FC236}">
              <a16:creationId xmlns:a16="http://schemas.microsoft.com/office/drawing/2014/main" id="{A5304AF2-9FD7-4A44-99B1-E61A13A5E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539227</xdr:colOff>
      <xdr:row>7</xdr:row>
      <xdr:rowOff>54685</xdr:rowOff>
    </xdr:from>
    <xdr:to>
      <xdr:col>8</xdr:col>
      <xdr:colOff>297180</xdr:colOff>
      <xdr:row>17</xdr:row>
      <xdr:rowOff>54686</xdr:rowOff>
    </xdr:to>
    <xdr:graphicFrame macro="">
      <xdr:nvGraphicFramePr>
        <xdr:cNvPr id="25" name="Chart 24">
          <a:extLst>
            <a:ext uri="{FF2B5EF4-FFF2-40B4-BE49-F238E27FC236}">
              <a16:creationId xmlns:a16="http://schemas.microsoft.com/office/drawing/2014/main" id="{2A119E78-46B4-4BF9-9C42-518BA781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405654</xdr:colOff>
      <xdr:row>19</xdr:row>
      <xdr:rowOff>67236</xdr:rowOff>
    </xdr:from>
    <xdr:to>
      <xdr:col>9</xdr:col>
      <xdr:colOff>217398</xdr:colOff>
      <xdr:row>33</xdr:row>
      <xdr:rowOff>124611</xdr:rowOff>
    </xdr:to>
    <xdr:graphicFrame macro="">
      <xdr:nvGraphicFramePr>
        <xdr:cNvPr id="26" name="Chart 25">
          <a:extLst>
            <a:ext uri="{FF2B5EF4-FFF2-40B4-BE49-F238E27FC236}">
              <a16:creationId xmlns:a16="http://schemas.microsoft.com/office/drawing/2014/main" id="{03D3D172-A743-46A6-9760-E64AC1B6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295835</xdr:colOff>
      <xdr:row>19</xdr:row>
      <xdr:rowOff>54684</xdr:rowOff>
    </xdr:from>
    <xdr:to>
      <xdr:col>14</xdr:col>
      <xdr:colOff>475128</xdr:colOff>
      <xdr:row>31</xdr:row>
      <xdr:rowOff>7620</xdr:rowOff>
    </xdr:to>
    <xdr:graphicFrame macro="">
      <xdr:nvGraphicFramePr>
        <xdr:cNvPr id="27" name="Chart 26">
          <a:extLst>
            <a:ext uri="{FF2B5EF4-FFF2-40B4-BE49-F238E27FC236}">
              <a16:creationId xmlns:a16="http://schemas.microsoft.com/office/drawing/2014/main" id="{63F5284F-5A4C-485E-8E8C-A5277F1A8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439272</xdr:colOff>
      <xdr:row>19</xdr:row>
      <xdr:rowOff>76198</xdr:rowOff>
    </xdr:from>
    <xdr:to>
      <xdr:col>5</xdr:col>
      <xdr:colOff>170331</xdr:colOff>
      <xdr:row>32</xdr:row>
      <xdr:rowOff>124607</xdr:rowOff>
    </xdr:to>
    <xdr:graphicFrame macro="">
      <xdr:nvGraphicFramePr>
        <xdr:cNvPr id="28" name="Chart 27">
          <a:extLst>
            <a:ext uri="{FF2B5EF4-FFF2-40B4-BE49-F238E27FC236}">
              <a16:creationId xmlns:a16="http://schemas.microsoft.com/office/drawing/2014/main" id="{707C7860-C540-4139-A977-4FE6C8F50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152400</xdr:colOff>
      <xdr:row>7</xdr:row>
      <xdr:rowOff>87629</xdr:rowOff>
    </xdr:from>
    <xdr:to>
      <xdr:col>3</xdr:col>
      <xdr:colOff>579120</xdr:colOff>
      <xdr:row>19</xdr:row>
      <xdr:rowOff>80008</xdr:rowOff>
    </xdr:to>
    <mc:AlternateContent xmlns:mc="http://schemas.openxmlformats.org/markup-compatibility/2006" xmlns:a14="http://schemas.microsoft.com/office/drawing/2010/main">
      <mc:Choice Requires="a14">
        <xdr:graphicFrame macro="">
          <xdr:nvGraphicFramePr>
            <xdr:cNvPr id="29" name="industry">
              <a:extLst>
                <a:ext uri="{FF2B5EF4-FFF2-40B4-BE49-F238E27FC236}">
                  <a16:creationId xmlns:a16="http://schemas.microsoft.com/office/drawing/2014/main" id="{80C795DF-2939-FB8E-5569-F91DAEBFAFEF}"/>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62000" y="1342688"/>
              <a:ext cx="1645920" cy="2143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38100</xdr:rowOff>
    </xdr:from>
    <xdr:to>
      <xdr:col>1</xdr:col>
      <xdr:colOff>22860</xdr:colOff>
      <xdr:row>16</xdr:row>
      <xdr:rowOff>121920</xdr:rowOff>
    </xdr:to>
    <xdr:pic>
      <xdr:nvPicPr>
        <xdr:cNvPr id="31" name="Graphic 30" descr="Database">
          <a:hlinkClick xmlns:r="http://schemas.openxmlformats.org/officeDocument/2006/relationships" r:id="rId6"/>
          <a:extLst>
            <a:ext uri="{FF2B5EF4-FFF2-40B4-BE49-F238E27FC236}">
              <a16:creationId xmlns:a16="http://schemas.microsoft.com/office/drawing/2014/main" id="{F4DAE780-DCB3-09E7-638F-299A2B44AA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415540"/>
          <a:ext cx="632460" cy="632460"/>
        </a:xfrm>
        <a:prstGeom prst="rect">
          <a:avLst/>
        </a:prstGeom>
      </xdr:spPr>
    </xdr:pic>
    <xdr:clientData/>
  </xdr:twoCellAnchor>
  <xdr:twoCellAnchor editAs="oneCell">
    <xdr:from>
      <xdr:col>0</xdr:col>
      <xdr:colOff>0</xdr:colOff>
      <xdr:row>3</xdr:row>
      <xdr:rowOff>73800</xdr:rowOff>
    </xdr:from>
    <xdr:to>
      <xdr:col>1</xdr:col>
      <xdr:colOff>40500</xdr:colOff>
      <xdr:row>6</xdr:row>
      <xdr:rowOff>175260</xdr:rowOff>
    </xdr:to>
    <xdr:pic>
      <xdr:nvPicPr>
        <xdr:cNvPr id="33" name="Graphic 32" descr="Presentation with bar chart RTL">
          <a:hlinkClick xmlns:r="http://schemas.openxmlformats.org/officeDocument/2006/relationships" r:id="rId9"/>
          <a:extLst>
            <a:ext uri="{FF2B5EF4-FFF2-40B4-BE49-F238E27FC236}">
              <a16:creationId xmlns:a16="http://schemas.microsoft.com/office/drawing/2014/main" id="{AAAF67C6-F2A2-61D4-234B-EC813496B06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622440"/>
          <a:ext cx="650100" cy="650100"/>
        </a:xfrm>
        <a:prstGeom prst="rect">
          <a:avLst/>
        </a:prstGeom>
      </xdr:spPr>
    </xdr:pic>
    <xdr:clientData/>
  </xdr:twoCellAnchor>
  <xdr:twoCellAnchor editAs="oneCell">
    <xdr:from>
      <xdr:col>0</xdr:col>
      <xdr:colOff>7620</xdr:colOff>
      <xdr:row>8</xdr:row>
      <xdr:rowOff>66180</xdr:rowOff>
    </xdr:from>
    <xdr:to>
      <xdr:col>1</xdr:col>
      <xdr:colOff>27660</xdr:colOff>
      <xdr:row>11</xdr:row>
      <xdr:rowOff>147180</xdr:rowOff>
    </xdr:to>
    <xdr:pic>
      <xdr:nvPicPr>
        <xdr:cNvPr id="35" name="Graphic 34" descr="Head with gears">
          <a:hlinkClick xmlns:r="http://schemas.openxmlformats.org/officeDocument/2006/relationships" r:id="rId12"/>
          <a:extLst>
            <a:ext uri="{FF2B5EF4-FFF2-40B4-BE49-F238E27FC236}">
              <a16:creationId xmlns:a16="http://schemas.microsoft.com/office/drawing/2014/main" id="{109C362B-7B99-FD19-2F46-36BF9FB8068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20" y="1529220"/>
          <a:ext cx="629640" cy="629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198120</xdr:colOff>
      <xdr:row>3</xdr:row>
      <xdr:rowOff>0</xdr:rowOff>
    </xdr:from>
    <xdr:to>
      <xdr:col>17</xdr:col>
      <xdr:colOff>525780</xdr:colOff>
      <xdr:row>16</xdr:row>
      <xdr:rowOff>15240</xdr:rowOff>
    </xdr:to>
    <xdr:graphicFrame macro="">
      <xdr:nvGraphicFramePr>
        <xdr:cNvPr id="2" name="Chart 1">
          <a:extLst>
            <a:ext uri="{FF2B5EF4-FFF2-40B4-BE49-F238E27FC236}">
              <a16:creationId xmlns:a16="http://schemas.microsoft.com/office/drawing/2014/main" id="{586B3FF3-89A4-59F1-70EB-2FD8F916B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171450</xdr:rowOff>
    </xdr:from>
    <xdr:to>
      <xdr:col>11</xdr:col>
      <xdr:colOff>68580</xdr:colOff>
      <xdr:row>32</xdr:row>
      <xdr:rowOff>125730</xdr:rowOff>
    </xdr:to>
    <xdr:graphicFrame macro="">
      <xdr:nvGraphicFramePr>
        <xdr:cNvPr id="3" name="Chart 2">
          <a:extLst>
            <a:ext uri="{FF2B5EF4-FFF2-40B4-BE49-F238E27FC236}">
              <a16:creationId xmlns:a16="http://schemas.microsoft.com/office/drawing/2014/main" id="{DBEA9542-18E9-8EBA-EB13-7BE6B6E30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236220</xdr:colOff>
      <xdr:row>61</xdr:row>
      <xdr:rowOff>0</xdr:rowOff>
    </xdr:from>
    <xdr:to>
      <xdr:col>11</xdr:col>
      <xdr:colOff>30480</xdr:colOff>
      <xdr:row>75</xdr:row>
      <xdr:rowOff>68580</xdr:rowOff>
    </xdr:to>
    <xdr:graphicFrame macro="">
      <xdr:nvGraphicFramePr>
        <xdr:cNvPr id="4" name="Chart 3">
          <a:extLst>
            <a:ext uri="{FF2B5EF4-FFF2-40B4-BE49-F238E27FC236}">
              <a16:creationId xmlns:a16="http://schemas.microsoft.com/office/drawing/2014/main" id="{50638E79-A109-C986-E8FC-3A79084AB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220980</xdr:colOff>
      <xdr:row>79</xdr:row>
      <xdr:rowOff>3810</xdr:rowOff>
    </xdr:from>
    <xdr:to>
      <xdr:col>11</xdr:col>
      <xdr:colOff>548640</xdr:colOff>
      <xdr:row>93</xdr:row>
      <xdr:rowOff>140970</xdr:rowOff>
    </xdr:to>
    <xdr:graphicFrame macro="">
      <xdr:nvGraphicFramePr>
        <xdr:cNvPr id="5" name="Chart 4">
          <a:extLst>
            <a:ext uri="{FF2B5EF4-FFF2-40B4-BE49-F238E27FC236}">
              <a16:creationId xmlns:a16="http://schemas.microsoft.com/office/drawing/2014/main" id="{FC978E64-CAA8-2BBE-C64B-177CC2AB4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228600</xdr:colOff>
      <xdr:row>97</xdr:row>
      <xdr:rowOff>7620</xdr:rowOff>
    </xdr:from>
    <xdr:to>
      <xdr:col>12</xdr:col>
      <xdr:colOff>106680</xdr:colOff>
      <xdr:row>112</xdr:row>
      <xdr:rowOff>140970</xdr:rowOff>
    </xdr:to>
    <xdr:graphicFrame macro="">
      <xdr:nvGraphicFramePr>
        <xdr:cNvPr id="6" name="Chart 5">
          <a:extLst>
            <a:ext uri="{FF2B5EF4-FFF2-40B4-BE49-F238E27FC236}">
              <a16:creationId xmlns:a16="http://schemas.microsoft.com/office/drawing/2014/main" id="{0A7E5E4E-034F-A3DC-2BF8-084B9A1F3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13</xdr:row>
      <xdr:rowOff>38100</xdr:rowOff>
    </xdr:from>
    <xdr:to>
      <xdr:col>1</xdr:col>
      <xdr:colOff>22860</xdr:colOff>
      <xdr:row>16</xdr:row>
      <xdr:rowOff>121920</xdr:rowOff>
    </xdr:to>
    <xdr:pic>
      <xdr:nvPicPr>
        <xdr:cNvPr id="7" name="Graphic 6" descr="Database">
          <a:hlinkClick xmlns:r="http://schemas.openxmlformats.org/officeDocument/2006/relationships" r:id="rId6"/>
          <a:extLst>
            <a:ext uri="{FF2B5EF4-FFF2-40B4-BE49-F238E27FC236}">
              <a16:creationId xmlns:a16="http://schemas.microsoft.com/office/drawing/2014/main" id="{413F6539-6A7B-4E34-A1A1-AEB47365D9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0" y="2415540"/>
          <a:ext cx="632460" cy="632460"/>
        </a:xfrm>
        <a:prstGeom prst="rect">
          <a:avLst/>
        </a:prstGeom>
      </xdr:spPr>
    </xdr:pic>
    <xdr:clientData/>
  </xdr:twoCellAnchor>
  <xdr:twoCellAnchor editAs="oneCell">
    <xdr:from>
      <xdr:col>0</xdr:col>
      <xdr:colOff>0</xdr:colOff>
      <xdr:row>3</xdr:row>
      <xdr:rowOff>73800</xdr:rowOff>
    </xdr:from>
    <xdr:to>
      <xdr:col>1</xdr:col>
      <xdr:colOff>40500</xdr:colOff>
      <xdr:row>6</xdr:row>
      <xdr:rowOff>175260</xdr:rowOff>
    </xdr:to>
    <xdr:pic>
      <xdr:nvPicPr>
        <xdr:cNvPr id="8" name="Graphic 7" descr="Presentation with bar chart RTL">
          <a:hlinkClick xmlns:r="http://schemas.openxmlformats.org/officeDocument/2006/relationships" r:id="rId9"/>
          <a:extLst>
            <a:ext uri="{FF2B5EF4-FFF2-40B4-BE49-F238E27FC236}">
              <a16:creationId xmlns:a16="http://schemas.microsoft.com/office/drawing/2014/main" id="{EBC0ABBB-2AF7-4B8A-B546-3802F4DA0B8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0" y="622440"/>
          <a:ext cx="650100" cy="650100"/>
        </a:xfrm>
        <a:prstGeom prst="rect">
          <a:avLst/>
        </a:prstGeom>
      </xdr:spPr>
    </xdr:pic>
    <xdr:clientData/>
  </xdr:twoCellAnchor>
  <xdr:twoCellAnchor editAs="oneCell">
    <xdr:from>
      <xdr:col>0</xdr:col>
      <xdr:colOff>7620</xdr:colOff>
      <xdr:row>8</xdr:row>
      <xdr:rowOff>66180</xdr:rowOff>
    </xdr:from>
    <xdr:to>
      <xdr:col>1</xdr:col>
      <xdr:colOff>27660</xdr:colOff>
      <xdr:row>11</xdr:row>
      <xdr:rowOff>147180</xdr:rowOff>
    </xdr:to>
    <xdr:pic>
      <xdr:nvPicPr>
        <xdr:cNvPr id="9" name="Graphic 8" descr="Head with gears">
          <a:hlinkClick xmlns:r="http://schemas.openxmlformats.org/officeDocument/2006/relationships" r:id="rId12"/>
          <a:extLst>
            <a:ext uri="{FF2B5EF4-FFF2-40B4-BE49-F238E27FC236}">
              <a16:creationId xmlns:a16="http://schemas.microsoft.com/office/drawing/2014/main" id="{CA99BC3F-177A-48D8-8905-DFFDE2AA305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20" y="1529220"/>
          <a:ext cx="629640" cy="629640"/>
        </a:xfrm>
        <a:prstGeom prst="rect">
          <a:avLst/>
        </a:prstGeom>
      </xdr:spPr>
    </xdr:pic>
    <xdr:clientData/>
  </xdr:twoCellAnchor>
  <xdr:twoCellAnchor>
    <xdr:from>
      <xdr:col>0</xdr:col>
      <xdr:colOff>0</xdr:colOff>
      <xdr:row>0</xdr:row>
      <xdr:rowOff>7620</xdr:rowOff>
    </xdr:from>
    <xdr:to>
      <xdr:col>17</xdr:col>
      <xdr:colOff>525780</xdr:colOff>
      <xdr:row>3</xdr:row>
      <xdr:rowOff>0</xdr:rowOff>
    </xdr:to>
    <xdr:sp macro="" textlink="">
      <xdr:nvSpPr>
        <xdr:cNvPr id="10" name="Rectangle 9">
          <a:extLst>
            <a:ext uri="{FF2B5EF4-FFF2-40B4-BE49-F238E27FC236}">
              <a16:creationId xmlns:a16="http://schemas.microsoft.com/office/drawing/2014/main" id="{1EF03A0A-FF43-46BC-A7C5-9C499325E34A}"/>
            </a:ext>
          </a:extLst>
        </xdr:cNvPr>
        <xdr:cNvSpPr/>
      </xdr:nvSpPr>
      <xdr:spPr>
        <a:xfrm>
          <a:off x="0" y="7620"/>
          <a:ext cx="12161520" cy="54102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357688</xdr:colOff>
      <xdr:row>0</xdr:row>
      <xdr:rowOff>15240</xdr:rowOff>
    </xdr:from>
    <xdr:ext cx="1768754" cy="530658"/>
    <xdr:sp macro="" textlink="">
      <xdr:nvSpPr>
        <xdr:cNvPr id="11" name="Rectangle 10">
          <a:extLst>
            <a:ext uri="{FF2B5EF4-FFF2-40B4-BE49-F238E27FC236}">
              <a16:creationId xmlns:a16="http://schemas.microsoft.com/office/drawing/2014/main" id="{02D18DB5-A8B2-4FD9-9268-8794A5B41225}"/>
            </a:ext>
          </a:extLst>
        </xdr:cNvPr>
        <xdr:cNvSpPr/>
      </xdr:nvSpPr>
      <xdr:spPr>
        <a:xfrm>
          <a:off x="5104948" y="15240"/>
          <a:ext cx="1768754" cy="530658"/>
        </a:xfrm>
        <a:prstGeom prst="rect">
          <a:avLst/>
        </a:prstGeom>
        <a:noFill/>
      </xdr:spPr>
      <xdr:txBody>
        <a:bodyPr wrap="none" lIns="91440" tIns="45720" rIns="91440" bIns="45720">
          <a:spAutoFit/>
        </a:bodyPr>
        <a:lstStyle/>
        <a:p>
          <a:pPr algn="ctr"/>
          <a:r>
            <a:rPr lang="en-US" sz="2800" b="1" cap="none" spc="50" baseline="0">
              <a:ln w="0"/>
              <a:solidFill>
                <a:schemeClr val="bg2"/>
              </a:solidFill>
              <a:effectLst>
                <a:innerShdw blurRad="63500" dist="50800" dir="13500000">
                  <a:srgbClr val="000000">
                    <a:alpha val="50000"/>
                  </a:srgbClr>
                </a:innerShdw>
              </a:effectLst>
            </a:rPr>
            <a:t>ANALYSIS </a:t>
          </a:r>
          <a:endParaRPr lang="en-US" sz="2800" b="1" cap="none" spc="50">
            <a:ln w="0"/>
            <a:solidFill>
              <a:schemeClr val="bg2"/>
            </a:solidFill>
            <a:effectLst>
              <a:innerShdw blurRad="63500" dist="50800" dir="13500000">
                <a:srgbClr val="000000">
                  <a:alpha val="50000"/>
                </a:srgbClr>
              </a:innerShdw>
            </a:effectLst>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7620</xdr:rowOff>
    </xdr:from>
    <xdr:to>
      <xdr:col>23</xdr:col>
      <xdr:colOff>1238250</xdr:colOff>
      <xdr:row>3</xdr:row>
      <xdr:rowOff>19050</xdr:rowOff>
    </xdr:to>
    <xdr:sp macro="" textlink="">
      <xdr:nvSpPr>
        <xdr:cNvPr id="7" name="Rectangle 6">
          <a:extLst>
            <a:ext uri="{FF2B5EF4-FFF2-40B4-BE49-F238E27FC236}">
              <a16:creationId xmlns:a16="http://schemas.microsoft.com/office/drawing/2014/main" id="{D3114844-B13B-492A-A778-68D209956587}"/>
            </a:ext>
          </a:extLst>
        </xdr:cNvPr>
        <xdr:cNvSpPr/>
      </xdr:nvSpPr>
      <xdr:spPr>
        <a:xfrm>
          <a:off x="0" y="7620"/>
          <a:ext cx="26936700" cy="58293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81004</xdr:colOff>
      <xdr:row>0</xdr:row>
      <xdr:rowOff>0</xdr:rowOff>
    </xdr:from>
    <xdr:ext cx="1049583" cy="530658"/>
    <xdr:sp macro="" textlink="">
      <xdr:nvSpPr>
        <xdr:cNvPr id="8" name="Rectangle 7">
          <a:extLst>
            <a:ext uri="{FF2B5EF4-FFF2-40B4-BE49-F238E27FC236}">
              <a16:creationId xmlns:a16="http://schemas.microsoft.com/office/drawing/2014/main" id="{E8A21F7F-CF18-4466-9F7F-446B35FAD38C}"/>
            </a:ext>
          </a:extLst>
        </xdr:cNvPr>
        <xdr:cNvSpPr/>
      </xdr:nvSpPr>
      <xdr:spPr>
        <a:xfrm>
          <a:off x="6641824" y="0"/>
          <a:ext cx="1049583" cy="530658"/>
        </a:xfrm>
        <a:prstGeom prst="rect">
          <a:avLst/>
        </a:prstGeom>
        <a:noFill/>
      </xdr:spPr>
      <xdr:txBody>
        <a:bodyPr wrap="none" lIns="91440" tIns="45720" rIns="91440" bIns="45720">
          <a:spAutoFit/>
        </a:bodyPr>
        <a:lstStyle/>
        <a:p>
          <a:pPr algn="ctr"/>
          <a:r>
            <a:rPr lang="en-US" sz="2800" b="1" cap="none" spc="50" baseline="0">
              <a:ln w="0"/>
              <a:solidFill>
                <a:schemeClr val="bg2"/>
              </a:solidFill>
              <a:effectLst>
                <a:innerShdw blurRad="63500" dist="50800" dir="13500000">
                  <a:srgbClr val="000000">
                    <a:alpha val="50000"/>
                  </a:srgbClr>
                </a:innerShdw>
              </a:effectLst>
            </a:rPr>
            <a:t>DATA</a:t>
          </a:r>
          <a:endParaRPr lang="en-US" sz="2800" b="1" cap="none" spc="50">
            <a:ln w="0"/>
            <a:solidFill>
              <a:schemeClr val="bg2"/>
            </a:solidFill>
            <a:effectLst>
              <a:innerShdw blurRad="63500" dist="50800" dir="13500000">
                <a:srgbClr val="000000">
                  <a:alpha val="50000"/>
                </a:srgbClr>
              </a:innerShdw>
            </a:effectLst>
          </a:endParaRPr>
        </a:p>
      </xdr:txBody>
    </xdr:sp>
    <xdr:clientData/>
  </xdr:oneCellAnchor>
  <xdr:twoCellAnchor editAs="oneCell">
    <xdr:from>
      <xdr:col>0</xdr:col>
      <xdr:colOff>0</xdr:colOff>
      <xdr:row>13</xdr:row>
      <xdr:rowOff>38100</xdr:rowOff>
    </xdr:from>
    <xdr:to>
      <xdr:col>1</xdr:col>
      <xdr:colOff>22860</xdr:colOff>
      <xdr:row>16</xdr:row>
      <xdr:rowOff>121920</xdr:rowOff>
    </xdr:to>
    <xdr:pic>
      <xdr:nvPicPr>
        <xdr:cNvPr id="9" name="Graphic 8" descr="Database">
          <a:hlinkClick xmlns:r="http://schemas.openxmlformats.org/officeDocument/2006/relationships" r:id="rId1"/>
          <a:extLst>
            <a:ext uri="{FF2B5EF4-FFF2-40B4-BE49-F238E27FC236}">
              <a16:creationId xmlns:a16="http://schemas.microsoft.com/office/drawing/2014/main" id="{B3B0F2FF-4369-4467-A4AA-E65233F1E66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2415540"/>
          <a:ext cx="632460" cy="632460"/>
        </a:xfrm>
        <a:prstGeom prst="rect">
          <a:avLst/>
        </a:prstGeom>
      </xdr:spPr>
    </xdr:pic>
    <xdr:clientData/>
  </xdr:twoCellAnchor>
  <xdr:twoCellAnchor editAs="oneCell">
    <xdr:from>
      <xdr:col>0</xdr:col>
      <xdr:colOff>0</xdr:colOff>
      <xdr:row>3</xdr:row>
      <xdr:rowOff>73800</xdr:rowOff>
    </xdr:from>
    <xdr:to>
      <xdr:col>1</xdr:col>
      <xdr:colOff>40500</xdr:colOff>
      <xdr:row>6</xdr:row>
      <xdr:rowOff>175260</xdr:rowOff>
    </xdr:to>
    <xdr:pic>
      <xdr:nvPicPr>
        <xdr:cNvPr id="10" name="Graphic 9" descr="Presentation with bar chart RTL">
          <a:hlinkClick xmlns:r="http://schemas.openxmlformats.org/officeDocument/2006/relationships" r:id="rId4"/>
          <a:extLst>
            <a:ext uri="{FF2B5EF4-FFF2-40B4-BE49-F238E27FC236}">
              <a16:creationId xmlns:a16="http://schemas.microsoft.com/office/drawing/2014/main" id="{5D757EAC-1F00-4C91-9D69-FE86ACD00E3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622440"/>
          <a:ext cx="650100" cy="650100"/>
        </a:xfrm>
        <a:prstGeom prst="rect">
          <a:avLst/>
        </a:prstGeom>
      </xdr:spPr>
    </xdr:pic>
    <xdr:clientData/>
  </xdr:twoCellAnchor>
  <xdr:twoCellAnchor editAs="oneCell">
    <xdr:from>
      <xdr:col>0</xdr:col>
      <xdr:colOff>7620</xdr:colOff>
      <xdr:row>8</xdr:row>
      <xdr:rowOff>66180</xdr:rowOff>
    </xdr:from>
    <xdr:to>
      <xdr:col>1</xdr:col>
      <xdr:colOff>27660</xdr:colOff>
      <xdr:row>11</xdr:row>
      <xdr:rowOff>147180</xdr:rowOff>
    </xdr:to>
    <xdr:pic>
      <xdr:nvPicPr>
        <xdr:cNvPr id="11" name="Graphic 10" descr="Head with gears">
          <a:hlinkClick xmlns:r="http://schemas.openxmlformats.org/officeDocument/2006/relationships" r:id="rId7"/>
          <a:extLst>
            <a:ext uri="{FF2B5EF4-FFF2-40B4-BE49-F238E27FC236}">
              <a16:creationId xmlns:a16="http://schemas.microsoft.com/office/drawing/2014/main" id="{17E8B6B9-9731-4305-B908-2BE3EB86418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20" y="1529220"/>
          <a:ext cx="629640" cy="6296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0.541279282406" createdVersion="8" refreshedVersion="8" minRefreshableVersion="3" recordCount="2989" xr:uid="{D9C37533-DC30-4558-8F28-836262B4F2B3}">
  <cacheSource type="worksheet">
    <worksheetSource name="data"/>
  </cacheSource>
  <cacheFields count="23">
    <cacheField name="record_id" numFmtId="0">
      <sharedItems/>
    </cacheField>
    <cacheField name="company_name" numFmtId="0">
      <sharedItems count="20">
        <s v="Microsoft"/>
        <s v="Amazon"/>
        <s v="Google"/>
        <s v="SAP"/>
        <s v="Databricks"/>
        <s v="Netflix"/>
        <s v="Oracle"/>
        <s v="Airbnb"/>
        <s v="Uber"/>
        <s v="Adobe"/>
        <s v="Spotify"/>
        <s v="Stripe"/>
        <s v="NVIDIA"/>
        <s v="Apple"/>
        <s v="Salesforce"/>
        <s v="Intel"/>
        <s v="Palantir"/>
        <s v="Meta"/>
        <s v="Anthropic"/>
        <s v="OpenAI"/>
      </sharedItems>
    </cacheField>
    <cacheField name="industry" numFmtId="0">
      <sharedItems count="7">
        <s v="AI"/>
        <s v="Cloud"/>
        <s v="Cybersecurity"/>
        <s v="Social Media"/>
        <s v="E-Commerce"/>
        <s v="Gaming"/>
        <s v="FinTech"/>
      </sharedItems>
    </cacheField>
    <cacheField name="country" numFmtId="0">
      <sharedItems count="6">
        <s v="Singapore"/>
        <s v="Canada"/>
        <s v="UK"/>
        <s v="Germany"/>
        <s v="India"/>
        <s v="USA"/>
      </sharedItems>
    </cacheField>
    <cacheField name="company_size" numFmtId="0">
      <sharedItems count="4">
        <s v="Enterprise"/>
        <s v="Mid-size"/>
        <s v="Big Tech"/>
        <s v="Startup"/>
      </sharedItems>
    </cacheField>
    <cacheField name="month" numFmtId="0">
      <sharedItems/>
    </cacheField>
    <cacheField name="year" numFmtId="0">
      <sharedItems containsSemiMixedTypes="0" containsString="0" containsNumber="1" containsInteger="1" minValue="2024" maxValue="2026" count="3">
        <n v="2026"/>
        <n v="2024"/>
        <n v="2025"/>
      </sharedItems>
    </cacheField>
    <cacheField name="layoffs_count" numFmtId="0">
      <sharedItems containsSemiMixedTypes="0" containsString="0" containsNumber="1" containsInteger="1" minValue="0" maxValue="19983" count="2536">
        <n v="860"/>
        <n v="1153"/>
        <n v="625"/>
        <n v="6949"/>
        <n v="2444"/>
        <n v="828"/>
        <n v="5751"/>
        <n v="13015"/>
        <n v="2160"/>
        <n v="475"/>
        <n v="1305"/>
        <n v="6712"/>
        <n v="174"/>
        <n v="1817"/>
        <n v="714"/>
        <n v="4870"/>
        <n v="4297"/>
        <n v="684"/>
        <n v="10200"/>
        <n v="2667"/>
        <n v="7140"/>
        <n v="2385"/>
        <n v="1768"/>
        <n v="4430"/>
        <n v="3047"/>
        <n v="1009"/>
        <n v="2113"/>
        <n v="2381"/>
        <n v="2492"/>
        <n v="5087"/>
        <n v="6956"/>
        <n v="5576"/>
        <n v="5773"/>
        <n v="14283"/>
        <n v="5671"/>
        <n v="16206"/>
        <n v="1461"/>
        <n v="3809"/>
        <n v="1215"/>
        <n v="1522"/>
        <n v="183"/>
        <n v="12546"/>
        <n v="1112"/>
        <n v="2244"/>
        <n v="2861"/>
        <n v="4839"/>
        <n v="5370"/>
        <n v="6488"/>
        <n v="3615"/>
        <n v="2954"/>
        <n v="1308"/>
        <n v="92"/>
        <n v="9385"/>
        <n v="1869"/>
        <n v="1922"/>
        <n v="2258"/>
        <n v="574"/>
        <n v="1764"/>
        <n v="1216"/>
        <n v="115"/>
        <n v="18937"/>
        <n v="4092"/>
        <n v="10021"/>
        <n v="1007"/>
        <n v="1892"/>
        <n v="4937"/>
        <n v="506"/>
        <n v="2010"/>
        <n v="134"/>
        <n v="5476"/>
        <n v="15643"/>
        <n v="13496"/>
        <n v="9881"/>
        <n v="1808"/>
        <n v="1083"/>
        <n v="5043"/>
        <n v="2567"/>
        <n v="294"/>
        <n v="2662"/>
        <n v="2121"/>
        <n v="6831"/>
        <n v="1532"/>
        <n v="7923"/>
        <n v="7795"/>
        <n v="2383"/>
        <n v="1019"/>
        <n v="17388"/>
        <n v="1385"/>
        <n v="2284"/>
        <n v="19231"/>
        <n v="4257"/>
        <n v="6637"/>
        <n v="1556"/>
        <n v="6383"/>
        <n v="1709"/>
        <n v="1932"/>
        <n v="3975"/>
        <n v="3597"/>
        <n v="1920"/>
        <n v="18740"/>
        <n v="1052"/>
        <n v="682"/>
        <n v="5020"/>
        <n v="8968"/>
        <n v="5838"/>
        <n v="1739"/>
        <n v="130"/>
        <n v="5430"/>
        <n v="1482"/>
        <n v="12017"/>
        <n v="3818"/>
        <n v="6481"/>
        <n v="17006"/>
        <n v="2741"/>
        <n v="2677"/>
        <n v="3836"/>
        <n v="2073"/>
        <n v="2015"/>
        <n v="36"/>
        <n v="2151"/>
        <n v="1377"/>
        <n v="623"/>
        <n v="15963"/>
        <n v="14275"/>
        <n v="4938"/>
        <n v="1777"/>
        <n v="4999"/>
        <n v="4307"/>
        <n v="6969"/>
        <n v="6068"/>
        <n v="7083"/>
        <n v="1074"/>
        <n v="1145"/>
        <n v="19047"/>
        <n v="10399"/>
        <n v="12631"/>
        <n v="1960"/>
        <n v="224"/>
        <n v="1826"/>
        <n v="6389"/>
        <n v="11786"/>
        <n v="126"/>
        <n v="755"/>
        <n v="560"/>
        <n v="1525"/>
        <n v="1925"/>
        <n v="2234"/>
        <n v="2486"/>
        <n v="1758"/>
        <n v="335"/>
        <n v="1721"/>
        <n v="1872"/>
        <n v="5901"/>
        <n v="1107"/>
        <n v="7107"/>
        <n v="602"/>
        <n v="1238"/>
        <n v="5621"/>
        <n v="417"/>
        <n v="1931"/>
        <n v="1193"/>
        <n v="2411"/>
        <n v="532"/>
        <n v="1260"/>
        <n v="7579"/>
        <n v="17905"/>
        <n v="5059"/>
        <n v="1851"/>
        <n v="2167"/>
        <n v="798"/>
        <n v="70"/>
        <n v="409"/>
        <n v="9379"/>
        <n v="2218"/>
        <n v="193"/>
        <n v="6270"/>
        <n v="1517"/>
        <n v="863"/>
        <n v="2236"/>
        <n v="1864"/>
        <n v="8392"/>
        <n v="6279"/>
        <n v="17445"/>
        <n v="6210"/>
        <n v="12784"/>
        <n v="1497"/>
        <n v="48"/>
        <n v="3606"/>
        <n v="14347"/>
        <n v="453"/>
        <n v="5917"/>
        <n v="4221"/>
        <n v="1561"/>
        <n v="4217"/>
        <n v="6609"/>
        <n v="4429"/>
        <n v="10557"/>
        <n v="1846"/>
        <n v="201"/>
        <n v="18787"/>
        <n v="6001"/>
        <n v="16472"/>
        <n v="5525"/>
        <n v="19761"/>
        <n v="3502"/>
        <n v="2786"/>
        <n v="6308"/>
        <n v="5426"/>
        <n v="782"/>
        <n v="15484"/>
        <n v="257"/>
        <n v="1225"/>
        <n v="529"/>
        <n v="1188"/>
        <n v="2306"/>
        <n v="14548"/>
        <n v="3042"/>
        <n v="2638"/>
        <n v="2929"/>
        <n v="3277"/>
        <n v="780"/>
        <n v="5246"/>
        <n v="6701"/>
        <n v="18809"/>
        <n v="2973"/>
        <n v="164"/>
        <n v="2651"/>
        <n v="18596"/>
        <n v="2446"/>
        <n v="19748"/>
        <n v="1693"/>
        <n v="1660"/>
        <n v="387"/>
        <n v="6948"/>
        <n v="17632"/>
        <n v="21"/>
        <n v="3700"/>
        <n v="19567"/>
        <n v="2436"/>
        <n v="101"/>
        <n v="1310"/>
        <n v="1037"/>
        <n v="921"/>
        <n v="13366"/>
        <n v="3347"/>
        <n v="392"/>
        <n v="1048"/>
        <n v="14428"/>
        <n v="2403"/>
        <n v="5530"/>
        <n v="6726"/>
        <n v="9444"/>
        <n v="3381"/>
        <n v="78"/>
        <n v="1235"/>
        <n v="15985"/>
        <n v="14570"/>
        <n v="1530"/>
        <n v="7030"/>
        <n v="2971"/>
        <n v="2177"/>
        <n v="5310"/>
        <n v="12811"/>
        <n v="2261"/>
        <n v="5419"/>
        <n v="6261"/>
        <n v="5111"/>
        <n v="5789"/>
        <n v="1715"/>
        <n v="2214"/>
        <n v="1877"/>
        <n v="3415"/>
        <n v="1558"/>
        <n v="6632"/>
        <n v="2268"/>
        <n v="669"/>
        <n v="8506"/>
        <n v="5925"/>
        <n v="1890"/>
        <n v="613"/>
        <n v="555"/>
        <n v="3589"/>
        <n v="2322"/>
        <n v="1281"/>
        <n v="1039"/>
        <n v="2196"/>
        <n v="12338"/>
        <n v="6127"/>
        <n v="16635"/>
        <n v="364"/>
        <n v="17516"/>
        <n v="14696"/>
        <n v="1334"/>
        <n v="439"/>
        <n v="6255"/>
        <n v="2465"/>
        <n v="3720"/>
        <n v="3853"/>
        <n v="6349"/>
        <n v="597"/>
        <n v="89"/>
        <n v="15870"/>
        <n v="1493"/>
        <n v="1021"/>
        <n v="13614"/>
        <n v="8691"/>
        <n v="15602"/>
        <n v="4131"/>
        <n v="4139"/>
        <n v="5465"/>
        <n v="2970"/>
        <n v="1097"/>
        <n v="3910"/>
        <n v="2483"/>
        <n v="1895"/>
        <n v="16803"/>
        <n v="12101"/>
        <n v="2040"/>
        <n v="1631"/>
        <n v="12622"/>
        <n v="9027"/>
        <n v="1581"/>
        <n v="19447"/>
        <n v="5843"/>
        <n v="697"/>
        <n v="2387"/>
        <n v="16405"/>
        <n v="2386"/>
        <n v="11640"/>
        <n v="4099"/>
        <n v="2962"/>
        <n v="4061"/>
        <n v="4462"/>
        <n v="761"/>
        <n v="3706"/>
        <n v="1623"/>
        <n v="6877"/>
        <n v="1490"/>
        <n v="1013"/>
        <n v="14806"/>
        <n v="14291"/>
        <n v="6025"/>
        <n v="661"/>
        <n v="2042"/>
        <n v="8556"/>
        <n v="3055"/>
        <n v="9623"/>
        <n v="1970"/>
        <n v="7734"/>
        <n v="1729"/>
        <n v="6984"/>
        <n v="336"/>
        <n v="948"/>
        <n v="288"/>
        <n v="18843"/>
        <n v="3020"/>
        <n v="6917"/>
        <n v="6775"/>
        <n v="524"/>
        <n v="5077"/>
        <n v="9127"/>
        <n v="3233"/>
        <n v="2397"/>
        <n v="1056"/>
        <n v="6080"/>
        <n v="8731"/>
        <n v="5643"/>
        <n v="391"/>
        <n v="1746"/>
        <n v="2426"/>
        <n v="6207"/>
        <n v="664"/>
        <n v="1396"/>
        <n v="660"/>
        <n v="1847"/>
        <n v="9601"/>
        <n v="4451"/>
        <n v="11472"/>
        <n v="4518"/>
        <n v="1625"/>
        <n v="2246"/>
        <n v="2390"/>
        <n v="628"/>
        <n v="6683"/>
        <n v="638"/>
        <n v="2835"/>
        <n v="66"/>
        <n v="14232"/>
        <n v="2291"/>
        <n v="34"/>
        <n v="2051"/>
        <n v="889"/>
        <n v="2875"/>
        <n v="1073"/>
        <n v="19001"/>
        <n v="1610"/>
        <n v="2392"/>
        <n v="2303"/>
        <n v="1673"/>
        <n v="229"/>
        <n v="1277"/>
        <n v="2428"/>
        <n v="727"/>
        <n v="4458"/>
        <n v="6430"/>
        <n v="4091"/>
        <n v="592"/>
        <n v="1062"/>
        <n v="4313"/>
        <n v="7063"/>
        <n v="1227"/>
        <n v="2032"/>
        <n v="11198"/>
        <n v="5156"/>
        <n v="17535"/>
        <n v="12016"/>
        <n v="12725"/>
        <n v="18433"/>
        <n v="7770"/>
        <n v="1860"/>
        <n v="19358"/>
        <n v="2675"/>
        <n v="1380"/>
        <n v="893"/>
        <n v="922"/>
        <n v="1263"/>
        <n v="2410"/>
        <n v="1161"/>
        <n v="4602"/>
        <n v="1779"/>
        <n v="753"/>
        <n v="1852"/>
        <n v="4395"/>
        <n v="1033"/>
        <n v="5244"/>
        <n v="19481"/>
        <n v="1262"/>
        <n v="2370"/>
        <n v="1106"/>
        <n v="2301"/>
        <n v="10530"/>
        <n v="4972"/>
        <n v="830"/>
        <n v="2402"/>
        <n v="4546"/>
        <n v="5042"/>
        <n v="356"/>
        <n v="18916"/>
        <n v="1137"/>
        <n v="6092"/>
        <n v="6623"/>
        <n v="5015"/>
        <n v="1265"/>
        <n v="584"/>
        <n v="16706"/>
        <n v="691"/>
        <n v="765"/>
        <n v="2035"/>
        <n v="3593"/>
        <n v="4580"/>
        <n v="1373"/>
        <n v="3009"/>
        <n v="9144"/>
        <n v="983"/>
        <n v="3387"/>
        <n v="2470"/>
        <n v="5345"/>
        <n v="15863"/>
        <n v="1891"/>
        <n v="15388"/>
        <n v="6435"/>
        <n v="388"/>
        <n v="10116"/>
        <n v="12007"/>
        <n v="196"/>
        <n v="1713"/>
        <n v="2367"/>
        <n v="447"/>
        <n v="5512"/>
        <n v="11111"/>
        <n v="1923"/>
        <n v="5865"/>
        <n v="937"/>
        <n v="2364"/>
        <n v="3524"/>
        <n v="13760"/>
        <n v="978"/>
        <n v="6644"/>
        <n v="16071"/>
        <n v="14942"/>
        <n v="415"/>
        <n v="12430"/>
        <n v="12612"/>
        <n v="2130"/>
        <n v="13723"/>
        <n v="461"/>
        <n v="832"/>
        <n v="3077"/>
        <n v="9982"/>
        <n v="6491"/>
        <n v="11001"/>
        <n v="349"/>
        <n v="5167"/>
        <n v="167"/>
        <n v="2071"/>
        <n v="4323"/>
        <n v="19497"/>
        <n v="1443"/>
        <n v="3142"/>
        <n v="14004"/>
        <n v="1306"/>
        <n v="12979"/>
        <n v="5373"/>
        <n v="1564"/>
        <n v="8908"/>
        <n v="5401"/>
        <n v="2138"/>
        <n v="18107"/>
        <n v="4172"/>
        <n v="6930"/>
        <n v="3503"/>
        <n v="12580"/>
        <n v="1382"/>
        <n v="7898"/>
        <n v="2286"/>
        <n v="13359"/>
        <n v="1727"/>
        <n v="14095"/>
        <n v="6115"/>
        <n v="1217"/>
        <n v="383"/>
        <n v="908"/>
        <n v="17365"/>
        <n v="517"/>
        <n v="1917"/>
        <n v="16813"/>
        <n v="84"/>
        <n v="19672"/>
        <n v="946"/>
        <n v="7041"/>
        <n v="5402"/>
        <n v="7525"/>
        <n v="9545"/>
        <n v="17570"/>
        <n v="6777"/>
        <n v="6169"/>
        <n v="796"/>
        <n v="57"/>
        <n v="801"/>
        <n v="2139"/>
        <n v="1698"/>
        <n v="2210"/>
        <n v="5667"/>
        <n v="1871"/>
        <n v="1604"/>
        <n v="9003"/>
        <n v="916"/>
        <n v="6020"/>
        <n v="5265"/>
        <n v="546"/>
        <n v="12118"/>
        <n v="1979"/>
        <n v="1232"/>
        <n v="6976"/>
        <n v="3582"/>
        <n v="291"/>
        <n v="2117"/>
        <n v="6681"/>
        <n v="4333"/>
        <n v="3866"/>
        <n v="8542"/>
        <n v="5378"/>
        <n v="1289"/>
        <n v="1590"/>
        <n v="868"/>
        <n v="693"/>
        <n v="1345"/>
        <n v="1843"/>
        <n v="2272"/>
        <n v="2331"/>
        <n v="5011"/>
        <n v="13171"/>
        <n v="6226"/>
        <n v="4871"/>
        <n v="10"/>
        <n v="11756"/>
        <n v="1950"/>
        <n v="13880"/>
        <n v="6264"/>
        <n v="3945"/>
        <n v="2206"/>
        <n v="2245"/>
        <n v="1475"/>
        <n v="19111"/>
        <n v="6734"/>
        <n v="4543"/>
        <n v="2162"/>
        <n v="15761"/>
        <n v="13988"/>
        <n v="449"/>
        <n v="1445"/>
        <n v="12279"/>
        <n v="11960"/>
        <n v="19083"/>
        <n v="4292"/>
        <n v="2825"/>
        <n v="854"/>
        <n v="586"/>
        <n v="442"/>
        <n v="10494"/>
        <n v="16172"/>
        <n v="989"/>
        <n v="1284"/>
        <n v="210"/>
        <n v="10500"/>
        <n v="1147"/>
        <n v="12602"/>
        <n v="17894"/>
        <n v="1926"/>
        <n v="2413"/>
        <n v="256"/>
        <n v="1290"/>
        <n v="1813"/>
        <n v="403"/>
        <n v="1924"/>
        <n v="19164"/>
        <n v="1914"/>
        <n v="667"/>
        <n v="459"/>
        <n v="1930"/>
        <n v="1526"/>
        <n v="559"/>
        <n v="2311"/>
        <n v="5542"/>
        <n v="1586"/>
        <n v="19202"/>
        <n v="17512"/>
        <n v="1753"/>
        <n v="2320"/>
        <n v="6704"/>
        <n v="1795"/>
        <n v="1348"/>
        <n v="358"/>
        <n v="6919"/>
        <n v="4743"/>
        <n v="7113"/>
        <n v="1792"/>
        <n v="18072"/>
        <n v="14096"/>
        <n v="825"/>
        <n v="6674"/>
        <n v="1317"/>
        <n v="17432"/>
        <n v="5682"/>
        <n v="18018"/>
        <n v="13647"/>
        <n v="767"/>
        <n v="2174"/>
        <n v="16648"/>
        <n v="8765"/>
        <n v="5699"/>
        <n v="142"/>
        <n v="10270"/>
        <n v="5182"/>
        <n v="18143"/>
        <n v="834"/>
        <n v="304"/>
        <n v="1825"/>
        <n v="2109"/>
        <n v="340"/>
        <n v="389"/>
        <n v="1000"/>
        <n v="16684"/>
        <n v="3074"/>
        <n v="1417"/>
        <n v="17548"/>
        <n v="2119"/>
        <n v="5366"/>
        <n v="5026"/>
        <n v="4498"/>
        <n v="2095"/>
        <n v="850"/>
        <n v="1987"/>
        <n v="17968"/>
        <n v="17745"/>
        <n v="1844"/>
        <n v="199"/>
        <n v="14167"/>
        <n v="6883"/>
        <n v="1162"/>
        <n v="3463"/>
        <n v="1539"/>
        <n v="1850"/>
        <n v="11968"/>
        <n v="107"/>
        <n v="14845"/>
        <n v="9826"/>
        <n v="842"/>
        <n v="14307"/>
        <n v="1963"/>
        <n v="5478"/>
        <n v="4779"/>
        <n v="2365"/>
        <n v="6457"/>
        <n v="3343"/>
        <n v="2066"/>
        <n v="4529"/>
        <n v="800"/>
        <n v="531"/>
        <n v="3886"/>
        <n v="833"/>
        <n v="2165"/>
        <n v="1241"/>
        <n v="2254"/>
        <n v="2041"/>
        <n v="5559"/>
        <n v="3889"/>
        <n v="2783"/>
        <n v="63"/>
        <n v="3608"/>
        <n v="2240"/>
        <n v="3967"/>
        <n v="8404"/>
        <n v="18167"/>
        <n v="2273"/>
        <n v="5332"/>
        <n v="2233"/>
        <n v="3905"/>
        <n v="310"/>
        <n v="8058"/>
        <n v="4661"/>
        <n v="404"/>
        <n v="3958"/>
        <n v="1038"/>
        <n v="5637"/>
        <n v="3246"/>
        <n v="10353"/>
        <n v="2406"/>
        <n v="6532"/>
        <n v="2197"/>
        <n v="1540"/>
        <n v="2056"/>
        <n v="859"/>
        <n v="1387"/>
        <n v="2441"/>
        <n v="1859"/>
        <n v="5047"/>
        <n v="3979"/>
        <n v="1344"/>
        <n v="1819"/>
        <n v="995"/>
        <n v="1363"/>
        <n v="1717"/>
        <n v="1685"/>
        <n v="760"/>
        <n v="735"/>
        <n v="1270"/>
        <n v="5337"/>
        <n v="4261"/>
        <n v="17840"/>
        <n v="6106"/>
        <n v="2760"/>
        <n v="1389"/>
        <n v="6490"/>
        <n v="3588"/>
        <n v="2448"/>
        <n v="7782"/>
        <n v="7808"/>
        <n v="1980"/>
        <n v="12251"/>
        <n v="330"/>
        <n v="3243"/>
        <n v="3341"/>
        <n v="12714"/>
        <n v="6211"/>
        <n v="1352"/>
        <n v="3431"/>
        <n v="1499"/>
        <n v="1889"/>
        <n v="2189"/>
        <n v="4144"/>
        <n v="1333"/>
        <n v="2169"/>
        <n v="4138"/>
        <n v="1802"/>
        <n v="17451"/>
        <n v="189"/>
        <n v="5815"/>
        <n v="1748"/>
        <n v="9419"/>
        <n v="5822"/>
        <n v="4730"/>
        <n v="4178"/>
        <n v="7542"/>
        <n v="1091"/>
        <n v="12491"/>
        <n v="4812"/>
        <n v="3990"/>
        <n v="1536"/>
        <n v="19309"/>
        <n v="2096"/>
        <n v="3956"/>
        <n v="2075"/>
        <n v="2324"/>
        <n v="2936"/>
        <n v="19446"/>
        <n v="573"/>
        <n v="8133"/>
        <n v="419"/>
        <n v="685"/>
        <n v="1775"/>
        <n v="11932"/>
        <n v="19847"/>
        <n v="1489"/>
        <n v="1186"/>
        <n v="12763"/>
        <n v="8819"/>
        <n v="1390"/>
        <n v="5894"/>
        <n v="2288"/>
        <n v="4990"/>
        <n v="2034"/>
        <n v="5855"/>
        <n v="3957"/>
        <n v="136"/>
        <n v="0"/>
        <n v="8498"/>
        <n v="1938"/>
        <n v="680"/>
        <n v="4959"/>
        <n v="12779"/>
        <n v="5863"/>
        <n v="5921"/>
        <n v="2427"/>
        <n v="3694"/>
        <n v="4586"/>
        <n v="6934"/>
        <n v="19979"/>
        <n v="4019"/>
        <n v="642"/>
        <n v="17624"/>
        <n v="6048"/>
        <n v="10571"/>
        <n v="1770"/>
        <n v="1206"/>
        <n v="562"/>
        <n v="2414"/>
        <n v="913"/>
        <n v="1481"/>
        <n v="2141"/>
        <n v="2024"/>
        <n v="16495"/>
        <n v="38"/>
        <n v="5511"/>
        <n v="2415"/>
        <n v="1585"/>
        <n v="1128"/>
        <n v="2884"/>
        <n v="59"/>
        <n v="3514"/>
        <n v="17946"/>
        <n v="16573"/>
        <n v="182"/>
        <n v="5854"/>
        <n v="9830"/>
        <n v="435"/>
        <n v="1962"/>
        <n v="5271"/>
        <n v="3693"/>
        <n v="3340"/>
        <n v="6120"/>
        <n v="5194"/>
        <n v="1538"/>
        <n v="2996"/>
        <n v="9961"/>
        <n v="18028"/>
        <n v="530"/>
        <n v="2313"/>
        <n v="10055"/>
        <n v="621"/>
        <n v="7609"/>
        <n v="6850"/>
        <n v="6844"/>
        <n v="9705"/>
        <n v="19157"/>
        <n v="915"/>
        <n v="9742"/>
        <n v="1722"/>
        <n v="10874"/>
        <n v="2247"/>
        <n v="17683"/>
        <n v="3435"/>
        <n v="2333"/>
        <n v="1863"/>
        <n v="18884"/>
        <n v="2229"/>
        <n v="2453"/>
        <n v="2099"/>
        <n v="10421"/>
        <n v="1743"/>
        <n v="2289"/>
        <n v="2872"/>
        <n v="5816"/>
        <n v="1824"/>
        <n v="1329"/>
        <n v="6909"/>
        <n v="3356"/>
        <n v="6870"/>
        <n v="18055"/>
        <n v="12902"/>
        <n v="75"/>
        <n v="7307"/>
        <n v="6403"/>
        <n v="3346"/>
        <n v="4266"/>
        <n v="711"/>
        <n v="1789"/>
        <n v="1298"/>
        <n v="5388"/>
        <n v="9798"/>
        <n v="16067"/>
        <n v="178"/>
        <n v="729"/>
        <n v="11458"/>
        <n v="1063"/>
        <n v="301"/>
        <n v="6733"/>
        <n v="1441"/>
        <n v="11911"/>
        <n v="2271"/>
        <n v="8546"/>
        <n v="5629"/>
        <n v="2733"/>
        <n v="5202"/>
        <n v="116"/>
        <n v="2048"/>
        <n v="4908"/>
        <n v="1065"/>
        <n v="5381"/>
        <n v="2044"/>
        <n v="558"/>
        <n v="365"/>
        <n v="1977"/>
        <n v="9493"/>
        <n v="877"/>
        <n v="3267"/>
        <n v="1527"/>
        <n v="9416"/>
        <n v="2023"/>
        <n v="3579"/>
        <n v="8307"/>
        <n v="4193"/>
        <n v="710"/>
        <n v="2418"/>
        <n v="14679"/>
        <n v="135"/>
        <n v="992"/>
        <n v="3039"/>
        <n v="1049"/>
        <n v="1680"/>
        <n v="16702"/>
        <n v="2615"/>
        <n v="1676"/>
        <n v="4056"/>
        <n v="1143"/>
        <n v="1449"/>
        <n v="17141"/>
        <n v="2157"/>
        <n v="8923"/>
        <n v="1565"/>
        <n v="633"/>
        <n v="1945"/>
        <n v="3210"/>
        <n v="240"/>
        <n v="927"/>
        <n v="14050"/>
        <n v="779"/>
        <n v="14912"/>
        <n v="1125"/>
        <n v="12130"/>
        <n v="10629"/>
        <n v="4655"/>
        <n v="7875"/>
        <n v="15718"/>
        <n v="2318"/>
        <n v="6579"/>
        <n v="480"/>
        <n v="601"/>
        <n v="10389"/>
        <n v="14427"/>
        <n v="614"/>
        <n v="5847"/>
        <n v="5583"/>
        <n v="10416"/>
        <n v="2409"/>
        <n v="2969"/>
        <n v="11292"/>
        <n v="29"/>
        <n v="5267"/>
        <n v="12903"/>
        <n v="2698"/>
        <n v="11541"/>
        <n v="17753"/>
        <n v="16251"/>
        <n v="1612"/>
        <n v="416"/>
        <n v="5701"/>
        <n v="6036"/>
        <n v="2986"/>
        <n v="5807"/>
        <n v="19819"/>
        <n v="3939"/>
        <n v="10587"/>
        <n v="3583"/>
        <n v="7470"/>
        <n v="4987"/>
        <n v="5981"/>
        <n v="18783"/>
        <n v="318"/>
        <n v="1664"/>
        <n v="1607"/>
        <n v="2350"/>
        <n v="1606"/>
        <n v="6755"/>
        <n v="2305"/>
        <n v="18040"/>
        <n v="4530"/>
        <n v="12526"/>
        <n v="1218"/>
        <n v="2184"/>
        <n v="5079"/>
        <n v="411"/>
        <n v="6310"/>
        <n v="384"/>
        <n v="2287"/>
        <n v="5872"/>
        <n v="16967"/>
        <n v="16451"/>
        <n v="3107"/>
        <n v="2540"/>
        <n v="4517"/>
        <n v="2490"/>
        <n v="1132"/>
        <n v="428"/>
        <n v="1191"/>
        <n v="1403"/>
        <n v="3793"/>
        <n v="542"/>
        <n v="1018"/>
        <n v="1084"/>
        <n v="19679"/>
        <n v="1732"/>
        <n v="1069"/>
        <n v="3382"/>
        <n v="1189"/>
        <n v="1723"/>
        <n v="615"/>
        <n v="2264"/>
        <n v="1656"/>
        <n v="16317"/>
        <n v="11586"/>
        <n v="380"/>
        <n v="121"/>
        <n v="1101"/>
        <n v="1633"/>
        <n v="17025"/>
        <n v="1911"/>
        <n v="120"/>
        <n v="13801"/>
        <n v="17917"/>
        <n v="1361"/>
        <n v="9688"/>
        <n v="959"/>
        <n v="2657"/>
        <n v="5343"/>
        <n v="3379"/>
        <n v="857"/>
        <n v="12311"/>
        <n v="4366"/>
        <n v="9131"/>
        <n v="14284"/>
        <n v="1658"/>
        <n v="13310"/>
        <n v="523"/>
        <n v="10784"/>
        <n v="2819"/>
        <n v="772"/>
        <n v="2129"/>
        <n v="6055"/>
        <n v="3214"/>
        <n v="18601"/>
        <n v="18649"/>
        <n v="203"/>
        <n v="2192"/>
        <n v="1075"/>
        <n v="768"/>
        <n v="13586"/>
        <n v="694"/>
        <n v="1759"/>
        <n v="2001"/>
        <n v="578"/>
        <n v="2295"/>
        <n v="6594"/>
        <n v="11557"/>
        <n v="644"/>
        <n v="187"/>
        <n v="16587"/>
        <n v="10387"/>
        <n v="16807"/>
        <n v="1927"/>
        <n v="2935"/>
        <n v="2118"/>
        <n v="363"/>
        <n v="12437"/>
        <n v="6944"/>
        <n v="2127"/>
        <n v="4516"/>
        <n v="3422"/>
        <n v="14757"/>
        <n v="5712"/>
        <n v="1214"/>
        <n v="1223"/>
        <n v="15196"/>
        <n v="1410"/>
        <n v="4620"/>
        <n v="17620"/>
        <n v="10123"/>
        <n v="11099"/>
        <n v="5932"/>
        <n v="5673"/>
        <n v="1921"/>
        <n v="467"/>
        <n v="2105"/>
        <n v="138"/>
        <n v="14002"/>
        <n v="13835"/>
        <n v="309"/>
        <n v="1301"/>
        <n v="2623"/>
        <n v="173"/>
        <n v="9660"/>
        <n v="17728"/>
        <n v="3821"/>
        <n v="5591"/>
        <n v="1519"/>
        <n v="9656"/>
        <n v="5051"/>
        <n v="5942"/>
        <n v="670"/>
        <n v="12794"/>
        <n v="15600"/>
        <n v="2076"/>
        <n v="2762"/>
        <n v="5677"/>
        <n v="4771"/>
        <n v="1882"/>
        <n v="9223"/>
        <n v="6705"/>
        <n v="914"/>
        <n v="1194"/>
        <n v="337"/>
        <n v="17114"/>
        <n v="3336"/>
        <n v="2711"/>
        <n v="794"/>
        <n v="2405"/>
        <n v="5680"/>
        <n v="4328"/>
        <n v="1174"/>
        <n v="2215"/>
        <n v="2204"/>
        <n v="6789"/>
        <n v="1642"/>
        <n v="590"/>
        <n v="3814"/>
        <n v="3530"/>
        <n v="17484"/>
        <n v="18162"/>
        <n v="5557"/>
        <n v="4052"/>
        <n v="19691"/>
        <n v="1088"/>
        <n v="207"/>
        <n v="473"/>
        <n v="11635"/>
        <n v="289"/>
        <n v="17059"/>
        <n v="5386"/>
        <n v="12485"/>
        <n v="5960"/>
        <n v="6878"/>
        <n v="652"/>
        <n v="1110"/>
        <n v="114"/>
        <n v="1832"/>
        <n v="1602"/>
        <n v="4046"/>
        <n v="6655"/>
        <n v="11846"/>
        <n v="13690"/>
        <n v="1356"/>
        <n v="12823"/>
        <n v="1754"/>
        <n v="1212"/>
        <n v="2757"/>
        <n v="1428"/>
        <n v="1457"/>
        <n v="774"/>
        <n v="545"/>
        <n v="3682"/>
        <n v="13504"/>
        <n v="10190"/>
        <n v="4296"/>
        <n v="4267"/>
        <n v="10064"/>
        <n v="6753"/>
        <n v="2030"/>
        <n v="2864"/>
        <n v="674"/>
        <n v="2031"/>
        <n v="2457"/>
        <n v="3747"/>
        <n v="14474"/>
        <n v="99"/>
        <n v="19860"/>
        <n v="4340"/>
        <n v="8662"/>
        <n v="5954"/>
        <n v="5028"/>
        <n v="963"/>
        <n v="1118"/>
        <n v="9000"/>
        <n v="5091"/>
        <n v="2978"/>
        <n v="977"/>
        <n v="2766"/>
        <n v="2017"/>
        <n v="5410"/>
        <n v="3909"/>
        <n v="993"/>
        <n v="14363"/>
        <n v="2351"/>
        <n v="19184"/>
        <n v="2263"/>
        <n v="1946"/>
        <n v="19913"/>
        <n v="3784"/>
        <n v="16935"/>
        <n v="2012"/>
        <n v="9799"/>
        <n v="2014"/>
        <n v="1087"/>
        <n v="1325"/>
        <n v="5391"/>
        <n v="11766"/>
        <n v="2307"/>
        <n v="7465"/>
        <n v="88"/>
        <n v="13884"/>
        <n v="1332"/>
        <n v="1504"/>
        <n v="3007"/>
        <n v="10291"/>
        <n v="6647"/>
        <n v="1148"/>
        <n v="5610"/>
        <n v="4119"/>
        <n v="892"/>
        <n v="434"/>
        <n v="18249"/>
        <n v="369"/>
        <n v="1315"/>
        <n v="13472"/>
        <n v="2154"/>
        <n v="1179"/>
        <n v="5429"/>
        <n v="4986"/>
        <n v="3316"/>
        <n v="1845"/>
        <n v="762"/>
        <n v="352"/>
        <n v="6356"/>
        <n v="214"/>
        <n v="950"/>
        <n v="3619"/>
        <n v="458"/>
        <n v="378"/>
        <n v="4971"/>
        <n v="17354"/>
        <n v="6990"/>
        <n v="1615"/>
        <n v="1452"/>
        <n v="4902"/>
        <n v="2000"/>
        <n v="3390"/>
        <n v="152"/>
        <n v="13815"/>
        <n v="4570"/>
        <n v="18560"/>
        <n v="2314"/>
        <n v="1275"/>
        <n v="8972"/>
        <n v="4166"/>
        <n v="1967"/>
        <n v="1708"/>
        <n v="688"/>
        <n v="5841"/>
        <n v="4561"/>
        <n v="10926"/>
        <n v="10184"/>
        <n v="1876"/>
        <n v="6738"/>
        <n v="535"/>
        <n v="17315"/>
        <n v="10759"/>
        <n v="14622"/>
        <n v="8209"/>
        <n v="987"/>
        <n v="4855"/>
        <n v="3109"/>
        <n v="11597"/>
        <n v="429"/>
        <n v="2708"/>
        <n v="139"/>
        <n v="4594"/>
        <n v="1653"/>
        <n v="423"/>
        <n v="8641"/>
        <n v="1173"/>
        <n v="7044"/>
        <n v="2050"/>
        <n v="1026"/>
        <n v="1258"/>
        <n v="3545"/>
        <n v="6971"/>
        <n v="1957"/>
        <n v="5654"/>
        <n v="3670"/>
        <n v="7779"/>
        <n v="1703"/>
        <n v="4081"/>
        <n v="8245"/>
        <n v="7670"/>
        <n v="2633"/>
        <n v="2692"/>
        <n v="17707"/>
        <n v="6660"/>
        <n v="15935"/>
        <n v="2361"/>
        <n v="6620"/>
        <n v="12752"/>
        <n v="5313"/>
        <n v="8256"/>
        <n v="3060"/>
        <n v="1346"/>
        <n v="16826"/>
        <n v="15789"/>
        <n v="12973"/>
        <n v="2208"/>
        <n v="2140"/>
        <n v="14236"/>
        <n v="1465"/>
        <n v="2963"/>
        <n v="5765"/>
        <n v="576"/>
        <n v="1755"/>
        <n v="6801"/>
        <n v="9412"/>
        <n v="2028"/>
        <n v="367"/>
        <n v="1066"/>
        <n v="9806"/>
        <n v="999"/>
        <n v="3918"/>
        <n v="4896"/>
        <n v="16922"/>
        <n v="286"/>
        <n v="4204"/>
        <n v="14244"/>
        <n v="13008"/>
        <n v="5439"/>
        <n v="19510"/>
        <n v="4235"/>
        <n v="6380"/>
        <n v="3276"/>
        <n v="627"/>
        <n v="2187"/>
        <n v="488"/>
        <n v="6822"/>
        <n v="476"/>
        <n v="285"/>
        <n v="17873"/>
        <n v="1264"/>
        <n v="14846"/>
        <n v="1641"/>
        <n v="549"/>
        <n v="8813"/>
        <n v="3624"/>
        <n v="4729"/>
        <n v="16461"/>
        <n v="847"/>
        <n v="1138"/>
        <n v="4107"/>
        <n v="1991"/>
        <n v="14008"/>
        <n v="11051"/>
        <n v="1580"/>
        <n v="497"/>
        <n v="960"/>
        <n v="11735"/>
        <n v="2696"/>
        <n v="1695"/>
        <n v="5016"/>
        <n v="1905"/>
        <n v="347"/>
        <n v="1868"/>
        <n v="4"/>
        <n v="2053"/>
        <n v="15443"/>
        <n v="2359"/>
        <n v="18227"/>
        <n v="7724"/>
        <n v="11521"/>
        <n v="1255"/>
        <n v="4515"/>
        <n v="687"/>
        <n v="2937"/>
        <n v="14195"/>
        <n v="12463"/>
        <n v="980"/>
        <n v="3999"/>
        <n v="2437"/>
        <n v="3001"/>
        <n v="8192"/>
        <n v="2003"/>
        <n v="16812"/>
        <n v="1219"/>
        <n v="3403"/>
        <n v="2458"/>
        <n v="750"/>
        <n v="6752"/>
        <n v="1480"/>
        <n v="4188"/>
        <n v="5038"/>
        <n v="3973"/>
        <n v="5828"/>
        <n v="1611"/>
        <n v="17356"/>
        <n v="1419"/>
        <n v="2275"/>
        <n v="14406"/>
        <n v="6244"/>
        <n v="14186"/>
        <n v="12212"/>
        <n v="15181"/>
        <n v="6158"/>
        <n v="1035"/>
        <n v="6835"/>
        <n v="1908"/>
        <n v="2460"/>
        <n v="1862"/>
        <n v="673"/>
        <n v="5500"/>
        <n v="1857"/>
        <n v="1835"/>
        <n v="1801"/>
        <n v="1309"/>
        <n v="902"/>
        <n v="4148"/>
        <n v="4309"/>
        <n v="4531"/>
        <n v="19866"/>
        <n v="10946"/>
        <n v="15464"/>
        <n v="13878"/>
        <n v="3584"/>
        <n v="6808"/>
        <n v="17621"/>
        <n v="1778"/>
        <n v="1115"/>
        <n v="6982"/>
        <n v="68"/>
        <n v="1545"/>
        <n v="2559"/>
        <n v="12968"/>
        <n v="1916"/>
        <n v="11281"/>
        <n v="4527"/>
        <n v="15947"/>
        <n v="3642"/>
        <n v="1462"/>
        <n v="2251"/>
        <n v="4726"/>
        <n v="1906"/>
        <n v="1740"/>
        <n v="815"/>
        <n v="16732"/>
        <n v="5552"/>
        <n v="4089"/>
        <n v="6271"/>
        <n v="1692"/>
        <n v="2399"/>
        <n v="3993"/>
        <n v="11220"/>
        <n v="4499"/>
        <n v="3191"/>
        <n v="9153"/>
        <n v="1578"/>
        <n v="406"/>
        <n v="2811"/>
        <n v="1416"/>
        <n v="6754"/>
        <n v="331"/>
        <n v="807"/>
        <n v="14975"/>
        <n v="1415"/>
        <n v="14142"/>
        <n v="262"/>
        <n v="8611"/>
        <n v="19983"/>
        <n v="4250"/>
        <n v="4819"/>
        <n v="17566"/>
        <n v="32"/>
        <n v="3154"/>
        <n v="6776"/>
        <n v="16923"/>
        <n v="269"/>
        <n v="3875"/>
        <n v="3728"/>
        <n v="4249"/>
        <n v="15310"/>
        <n v="3659"/>
        <n v="7076"/>
        <n v="15523"/>
        <n v="2485"/>
        <n v="1820"/>
        <n v="5324"/>
        <n v="10716"/>
        <n v="9122"/>
        <n v="781"/>
        <n v="1166"/>
        <n v="2395"/>
        <n v="1437"/>
        <n v="95"/>
        <n v="17179"/>
        <n v="2422"/>
        <n v="13749"/>
        <n v="945"/>
        <n v="16709"/>
        <n v="1572"/>
        <n v="6113"/>
        <n v="1151"/>
        <n v="19073"/>
        <n v="862"/>
        <n v="4449"/>
        <n v="1483"/>
        <n v="19775"/>
        <n v="6599"/>
        <n v="2721"/>
        <n v="4363"/>
        <n v="1244"/>
        <n v="15664"/>
        <n v="361"/>
        <n v="5556"/>
        <n v="17626"/>
        <n v="14907"/>
        <n v="5931"/>
        <n v="375"/>
        <n v="2595"/>
        <n v="829"/>
        <n v="3726"/>
        <n v="8056"/>
        <n v="216"/>
        <n v="10710"/>
        <n v="4027"/>
        <n v="2419"/>
        <n v="3187"/>
        <n v="1515"/>
        <n v="17914"/>
        <n v="47"/>
        <n v="8797"/>
        <n v="17755"/>
        <n v="516"/>
        <n v="1831"/>
        <n v="15086"/>
        <n v="12142"/>
        <n v="1568"/>
        <n v="2384"/>
        <n v="6439"/>
        <n v="2714"/>
        <n v="15502"/>
        <n v="3072"/>
        <n v="17395"/>
        <n v="2178"/>
        <n v="6809"/>
        <n v="522"/>
        <n v="2163"/>
        <n v="10628"/>
        <n v="14625"/>
        <n v="541"/>
        <n v="2353"/>
        <n v="18535"/>
        <n v="14717"/>
        <n v="14675"/>
        <n v="2061"/>
        <n v="2222"/>
        <n v="5215"/>
        <n v="1943"/>
        <n v="4597"/>
        <n v="6304"/>
        <n v="14609"/>
        <n v="3934"/>
        <n v="3527"/>
        <n v="6240"/>
        <n v="1679"/>
        <n v="1100"/>
        <n v="1326"/>
        <n v="1243"/>
        <n v="1543"/>
        <n v="17877"/>
        <n v="795"/>
        <n v="1011"/>
        <n v="5351"/>
        <n v="9302"/>
        <n v="4807"/>
        <n v="1046"/>
        <n v="16162"/>
        <n v="1421"/>
        <n v="1983"/>
        <n v="15694"/>
        <n v="212"/>
        <n v="6260"/>
        <n v="1621"/>
        <n v="18528"/>
        <n v="3355"/>
        <n v="975"/>
        <n v="10596"/>
        <n v="2575"/>
        <n v="140"/>
        <n v="658"/>
        <n v="6696"/>
        <n v="7162"/>
        <n v="1822"/>
        <n v="1668"/>
        <n v="1897"/>
        <n v="899"/>
        <n v="15901"/>
        <n v="2021"/>
        <n v="1706"/>
        <n v="1834"/>
        <n v="1569"/>
        <n v="368"/>
        <n v="4478"/>
        <n v="666"/>
        <n v="7240"/>
        <n v="11017"/>
        <n v="2054"/>
        <n v="109"/>
        <n v="8518"/>
        <n v="19773"/>
        <n v="6914"/>
        <n v="3348"/>
        <n v="1520"/>
        <n v="19556"/>
        <n v="2632"/>
        <n v="2348"/>
        <n v="18089"/>
        <n v="13590"/>
        <n v="370"/>
        <n v="1883"/>
        <n v="2357"/>
        <n v="465"/>
        <n v="6032"/>
        <n v="1169"/>
        <n v="222"/>
        <n v="1644"/>
        <n v="3193"/>
        <n v="2300"/>
        <n v="12865"/>
        <n v="5860"/>
        <n v="6231"/>
        <n v="6417"/>
        <n v="6649"/>
        <n v="2887"/>
        <n v="1109"/>
        <n v="5241"/>
        <n v="5566"/>
        <n v="4915"/>
        <n v="11294"/>
        <n v="17781"/>
        <n v="3676"/>
        <n v="19396"/>
        <n v="1909"/>
        <n v="10816"/>
        <n v="1915"/>
        <n v="6677"/>
        <n v="2125"/>
        <n v="2188"/>
        <n v="17984"/>
        <n v="4233"/>
        <n v="5970"/>
        <n v="5830"/>
        <n v="12253"/>
        <n v="1661"/>
        <n v="111"/>
        <n v="16002"/>
        <n v="2705"/>
        <n v="4321"/>
        <n v="4717"/>
        <n v="4872"/>
        <n v="1331"/>
        <n v="5431"/>
        <n v="1172"/>
        <n v="1231"/>
        <n v="1362"/>
        <n v="14426"/>
        <n v="5228"/>
        <n v="3380"/>
        <n v="5296"/>
        <n v="2260"/>
        <n v="2216"/>
        <n v="9900"/>
        <n v="725"/>
        <n v="2147"/>
        <n v="150"/>
        <n v="14583"/>
        <n v="2308"/>
        <n v="14165"/>
        <n v="10776"/>
        <n v="596"/>
        <n v="19952"/>
        <n v="871"/>
        <n v="11599"/>
        <n v="496"/>
        <n v="6452"/>
        <n v="6049"/>
        <n v="10641"/>
        <n v="471"/>
        <n v="887"/>
        <n v="15079"/>
        <n v="202"/>
        <n v="2185"/>
        <n v="6578"/>
        <n v="2438"/>
        <n v="16411"/>
        <n v="6915"/>
        <n v="1295"/>
        <n v="1433"/>
        <n v="1364"/>
        <n v="19840"/>
        <n v="3429"/>
        <n v="231"/>
        <n v="6713"/>
        <n v="7355"/>
        <n v="16940"/>
        <n v="2568"/>
        <n v="6760"/>
        <n v="1840"/>
        <n v="11942"/>
        <n v="14727"/>
        <n v="13125"/>
        <n v="277"/>
        <n v="1498"/>
        <n v="4641"/>
        <n v="15115"/>
        <n v="5584"/>
        <n v="884"/>
        <n v="102"/>
        <n v="474"/>
        <n v="8557"/>
        <n v="1017"/>
        <n v="6359"/>
        <n v="12702"/>
        <n v="1640"/>
        <n v="2062"/>
        <n v="2430"/>
        <n v="4311"/>
        <n v="4734"/>
        <n v="823"/>
        <n v="2292"/>
        <n v="354"/>
        <n v="12951"/>
        <n v="1608"/>
        <n v="6893"/>
        <n v="17481"/>
        <n v="2745"/>
        <n v="2909"/>
        <n v="4548"/>
        <n v="5577"/>
        <n v="7834"/>
        <n v="1996"/>
        <n v="10234"/>
        <n v="12560"/>
        <n v="752"/>
        <n v="5341"/>
        <n v="2049"/>
        <n v="7687"/>
        <n v="1311"/>
        <n v="1812"/>
        <n v="14621"/>
        <n v="1099"/>
        <n v="982"/>
        <n v="5371"/>
        <n v="1230"/>
        <n v="10272"/>
        <n v="4756"/>
        <n v="1327"/>
        <n v="4114"/>
        <n v="671"/>
        <n v="1158"/>
        <n v="10501"/>
        <n v="1806"/>
        <n v="2290"/>
        <n v="5829"/>
        <n v="360"/>
        <n v="4876"/>
        <n v="3378"/>
        <n v="16092"/>
        <n v="165"/>
        <n v="6462"/>
        <n v="10432"/>
        <n v="5505"/>
        <n v="932"/>
        <n v="11708"/>
        <n v="998"/>
        <n v="8954"/>
        <n v="3991"/>
        <n v="3442"/>
        <n v="14865"/>
        <n v="2434"/>
        <n v="91"/>
        <n v="3567"/>
        <n v="2477"/>
        <n v="2356"/>
        <n v="18609"/>
        <n v="866"/>
        <n v="440"/>
        <n v="2091"/>
        <n v="5116"/>
        <n v="3021"/>
        <n v="2547"/>
        <n v="2345"/>
        <n v="252"/>
        <n v="2934"/>
        <n v="436"/>
        <n v="3692"/>
        <n v="3468"/>
        <n v="2773"/>
        <n v="14476"/>
        <n v="1149"/>
        <n v="1015"/>
        <n v="9494"/>
        <n v="1435"/>
        <n v="4393"/>
        <n v="228"/>
        <n v="8465"/>
        <n v="1893"/>
        <n v="13101"/>
        <n v="1503"/>
        <n v="3218"/>
        <n v="18975"/>
        <n v="1126"/>
        <n v="5397"/>
        <n v="6939"/>
        <n v="273"/>
        <n v="15505"/>
        <n v="726"/>
        <n v="848"/>
        <n v="4317"/>
        <n v="12137"/>
        <n v="4083"/>
        <n v="3616"/>
        <n v="3049"/>
        <n v="507"/>
        <n v="10042"/>
        <n v="6208"/>
        <n v="14779"/>
        <n v="746"/>
        <n v="14154"/>
        <n v="3099"/>
        <n v="14545"/>
        <n v="1597"/>
        <n v="16581"/>
        <n v="2133"/>
        <n v="1213"/>
        <n v="6124"/>
        <n v="15481"/>
        <n v="18168"/>
        <n v="1247"/>
        <n v="15156"/>
        <n v="6361"/>
        <n v="6786"/>
        <n v="9753"/>
        <n v="6823"/>
        <n v="1423"/>
        <n v="1116"/>
        <n v="385"/>
        <n v="4372"/>
        <n v="4850"/>
        <n v="2814"/>
        <n v="1667"/>
        <n v="17"/>
        <n v="19698"/>
        <n v="8821"/>
        <n v="4654"/>
        <n v="17352"/>
        <n v="5466"/>
        <n v="17577"/>
        <n v="1184"/>
        <n v="11740"/>
        <n v="6885"/>
        <n v="17023"/>
        <n v="1313"/>
        <n v="1320"/>
        <n v="6472"/>
        <n v="581"/>
        <n v="3283"/>
        <n v="3985"/>
        <n v="3473"/>
        <n v="8314"/>
        <n v="668"/>
        <n v="2812"/>
        <n v="9292"/>
        <n v="775"/>
        <n v="1367"/>
        <n v="4493"/>
        <n v="6437"/>
        <n v="4067"/>
        <n v="2694"/>
        <n v="1335"/>
        <n v="9745"/>
        <n v="1131"/>
        <n v="6833"/>
        <n v="2499"/>
        <n v="655"/>
        <n v="19957"/>
        <n v="5499"/>
        <n v="11777"/>
        <n v="1237"/>
        <n v="1365"/>
        <n v="1496"/>
        <n v="10265"/>
        <n v="712"/>
        <n v="4165"/>
        <n v="3716"/>
        <n v="698"/>
        <n v="13061"/>
        <n v="15588"/>
        <n v="2535"/>
        <n v="5757"/>
        <n v="2203"/>
        <n v="1294"/>
        <n v="6888"/>
        <n v="3798"/>
        <n v="499"/>
        <n v="4785"/>
        <n v="4481"/>
        <n v="15657"/>
        <n v="11129"/>
        <n v="6172"/>
        <n v="1103"/>
        <n v="163"/>
        <n v="6428"/>
        <n v="5831"/>
        <n v="6690"/>
        <n v="11951"/>
        <n v="15692"/>
        <n v="13752"/>
        <n v="14731"/>
        <n v="13895"/>
        <n v="3740"/>
        <n v="443"/>
        <n v="16330"/>
        <n v="13859"/>
        <n v="6384"/>
        <n v="19039"/>
        <n v="6053"/>
        <n v="1420"/>
        <n v="14959"/>
        <n v="4483"/>
        <n v="699"/>
        <n v="6229"/>
        <n v="54"/>
        <n v="4467"/>
        <n v="3386"/>
        <n v="1337"/>
        <n v="2277"/>
        <n v="1600"/>
        <n v="18459"/>
        <n v="778"/>
        <n v="8253"/>
        <n v="213"/>
        <n v="5615"/>
        <n v="1955"/>
        <n v="5406"/>
        <n v="281"/>
        <n v="16968"/>
        <n v="14188"/>
        <n v="4678"/>
        <n v="951"/>
        <n v="2573"/>
        <n v="587"/>
        <n v="6144"/>
        <n v="1299"/>
        <n v="12912"/>
        <n v="97"/>
        <n v="13597"/>
        <n v="4281"/>
        <n v="905"/>
        <n v="1020"/>
        <n v="8462"/>
        <n v="9977"/>
        <n v="16629"/>
        <n v="6038"/>
        <n v="2640"/>
        <n v="5408"/>
        <n v="15067"/>
        <n v="511"/>
        <n v="8"/>
        <n v="1618"/>
        <n v="104"/>
        <n v="861"/>
        <n v="2572"/>
        <n v="2456"/>
        <n v="6047"/>
        <n v="1697"/>
        <n v="3005"/>
        <n v="2481"/>
        <n v="2149"/>
        <n v="2831"/>
        <n v="689"/>
        <n v="4298"/>
        <n v="3649"/>
        <n v="16956"/>
        <n v="14060"/>
        <n v="1776"/>
        <n v="2748"/>
        <n v="1300"/>
        <n v="1731"/>
        <n v="5618"/>
        <n v="495"/>
        <n v="4005"/>
        <n v="10546"/>
        <n v="5725"/>
        <n v="2612"/>
        <n v="1229"/>
        <n v="4568"/>
        <n v="4339"/>
        <n v="15359"/>
        <n v="3464"/>
        <n v="18704"/>
        <n v="1221"/>
        <n v="1203"/>
        <n v="1810"/>
        <n v="9337"/>
        <n v="98"/>
        <n v="1293"/>
        <n v="3184"/>
        <n v="225"/>
        <n v="953"/>
        <n v="11819"/>
        <n v="19861"/>
        <n v="205"/>
        <n v="16609"/>
        <n v="2877"/>
        <n v="1952"/>
        <n v="10750"/>
        <n v="145"/>
        <n v="323"/>
        <n v="9150"/>
        <n v="5791"/>
        <n v="6807"/>
        <n v="1941"/>
        <n v="2440"/>
        <n v="589"/>
        <n v="2880"/>
        <n v="12456"/>
        <n v="1537"/>
        <n v="169"/>
        <n v="4521"/>
        <n v="2544"/>
        <n v="3302"/>
        <n v="3926"/>
        <n v="154"/>
        <n v="1853"/>
        <n v="5669"/>
        <n v="5220"/>
        <n v="1127"/>
        <n v="802"/>
        <n v="12633"/>
        <n v="2088"/>
        <n v="6751"/>
        <n v="4965"/>
        <n v="11950"/>
        <n v="851"/>
        <n v="3052"/>
        <n v="14150"/>
        <n v="3714"/>
        <n v="5120"/>
        <n v="2029"/>
        <n v="1511"/>
        <n v="2114"/>
        <n v="1620"/>
        <n v="4043"/>
        <n v="8141"/>
        <n v="2375"/>
        <n v="867"/>
        <n v="1234"/>
        <n v="11125"/>
        <n v="18447"/>
        <n v="4524"/>
        <n v="882"/>
        <n v="6836"/>
        <n v="13146"/>
        <n v="4369"/>
        <n v="4539"/>
        <n v="2431"/>
        <n v="7741"/>
        <n v="8349"/>
        <n v="5912"/>
        <n v="19140"/>
        <n v="14824"/>
        <n v="1663"/>
        <n v="344"/>
        <n v="1456"/>
        <n v="18305"/>
        <n v="1794"/>
        <n v="4765"/>
        <n v="12469"/>
        <n v="11304"/>
        <n v="5515"/>
        <n v="7992"/>
        <n v="3182"/>
        <n v="18312"/>
        <n v="11056"/>
        <n v="3011"/>
        <n v="3338"/>
        <n v="13761"/>
        <n v="3398"/>
        <n v="619"/>
        <n v="19433"/>
        <n v="8578"/>
        <n v="1288"/>
        <n v="8710"/>
        <n v="3815"/>
        <n v="4966"/>
        <n v="1974"/>
        <n v="18131"/>
        <n v="427"/>
        <n v="11299"/>
        <n v="19249"/>
        <n v="10426"/>
        <n v="4206"/>
        <n v="4286"/>
        <n v="3629"/>
        <n v="2212"/>
        <n v="1405"/>
        <n v="156"/>
        <n v="3630"/>
        <n v="11618"/>
        <n v="1972"/>
        <n v="5933"/>
        <n v="395"/>
        <n v="1246"/>
        <n v="2401"/>
        <n v="10601"/>
        <n v="2404"/>
        <n v="3271"/>
        <n v="2622"/>
        <n v="16950"/>
        <n v="16039"/>
        <n v="816"/>
        <n v="8359"/>
        <n v="2225"/>
        <n v="2534"/>
        <n v="14713"/>
        <n v="612"/>
        <n v="1994"/>
        <n v="16772"/>
        <n v="17533"/>
        <n v="4664"/>
        <n v="1318"/>
        <n v="4979"/>
        <n v="1418"/>
        <n v="3284"/>
        <n v="1412"/>
        <n v="2435"/>
        <n v="990"/>
        <n v="3835"/>
        <n v="320"/>
        <n v="5780"/>
        <n v="3273"/>
        <n v="3752"/>
        <n v="2016"/>
        <n v="4014"/>
        <n v="6443"/>
        <n v="7178"/>
        <n v="2200"/>
        <n v="2241"/>
        <n v="1595"/>
        <n v="4776"/>
        <n v="6179"/>
        <n v="11302"/>
        <n v="10712"/>
        <n v="2894"/>
        <n v="8223"/>
        <n v="3477"/>
        <n v="7263"/>
        <n v="10324"/>
        <n v="19286"/>
        <n v="1404"/>
        <n v="2883"/>
        <n v="840"/>
        <n v="1829"/>
        <n v="10863"/>
        <n v="934"/>
        <n v="1855"/>
        <n v="2473"/>
        <n v="6069"/>
        <n v="2327"/>
        <n v="16679"/>
        <n v="3145"/>
        <n v="1196"/>
        <n v="2182"/>
        <n v="19072"/>
        <n v="6896"/>
        <n v="6879"/>
        <n v="15633"/>
        <n v="14027"/>
        <n v="6329"/>
        <n v="1861"/>
        <n v="6429"/>
        <n v="10934"/>
        <n v="6848"/>
        <n v="1629"/>
        <n v="6566"/>
        <n v="6070"/>
        <n v="3420"/>
        <n v="4502"/>
        <n v="7972"/>
        <n v="4599"/>
        <n v="3357"/>
        <n v="487"/>
        <n v="103"/>
        <n v="5777"/>
        <n v="238"/>
        <n v="7717"/>
        <n v="2945"/>
        <n v="410"/>
        <n v="6305"/>
        <n v="3538"/>
        <n v="6334"/>
        <n v="6545"/>
        <n v="4494"/>
        <n v="8061"/>
        <n v="6864"/>
        <n v="17014"/>
        <n v="1954"/>
        <n v="1854"/>
        <n v="5640"/>
        <n v="12115"/>
        <n v="773"/>
        <n v="19097"/>
        <n v="9665"/>
        <n v="5459"/>
        <n v="19956"/>
        <n v="5224"/>
        <n v="10940"/>
        <n v="1156"/>
        <n v="6153"/>
        <n v="14451"/>
        <n v="4210"/>
        <n v="14066"/>
        <n v="1178"/>
        <n v="18113"/>
        <n v="6398"/>
        <n v="611"/>
        <n v="3063"/>
        <n v="1078"/>
        <n v="2496"/>
        <n v="11739"/>
        <n v="2828"/>
        <n v="11291"/>
        <n v="41"/>
        <n v="4208"/>
        <n v="3937"/>
        <n v="6750"/>
        <n v="209"/>
        <n v="4262"/>
        <n v="1466"/>
        <n v="7858"/>
        <n v="609"/>
        <n v="6187"/>
        <n v="15439"/>
        <n v="3327"/>
        <n v="6118"/>
        <n v="5705"/>
        <n v="1648"/>
        <n v="3644"/>
        <n v="3830"/>
        <n v="1304"/>
        <n v="18"/>
        <n v="7685"/>
        <n v="11749"/>
        <n v="2150"/>
        <n v="5196"/>
        <n v="17514"/>
        <n v="4974"/>
        <n v="1528"/>
        <n v="1047"/>
        <n v="10004"/>
        <n v="8120"/>
        <n v="15450"/>
        <n v="13282"/>
        <n v="10509"/>
        <n v="5572"/>
        <n v="12242"/>
        <n v="4983"/>
        <n v="12283"/>
        <n v="14856"/>
        <n v="6997"/>
        <n v="2702"/>
        <n v="2250"/>
        <n v="1577"/>
        <n v="8326"/>
        <n v="1395"/>
        <n v="8362"/>
        <n v="5840"/>
        <n v="2377"/>
        <n v="1357"/>
        <n v="4140"/>
        <n v="14587"/>
        <n v="17836"/>
        <n v="2102"/>
        <n v="4632"/>
        <n v="9141"/>
        <n v="357"/>
        <n v="5062"/>
        <n v="7620"/>
        <n v="9233"/>
        <n v="16763"/>
        <n v="5236"/>
        <n v="16417"/>
        <n v="4541"/>
        <n v="4711"/>
        <n v="2103"/>
        <n v="703"/>
        <n v="1032"/>
        <n v="3912"/>
        <n v="485"/>
        <n v="1787"/>
        <n v="2421"/>
        <n v="5774"/>
        <n v="6817"/>
        <n v="1104"/>
        <n v="3555"/>
        <n v="1340"/>
        <n v="3181"/>
        <n v="548"/>
        <n v="15590"/>
        <n v="2238"/>
        <n v="2466"/>
        <n v="8676"/>
        <n v="6060"/>
        <n v="6962"/>
        <n v="9645"/>
        <n v="1198"/>
        <n v="18063"/>
        <n v="6405"/>
        <n v="678"/>
        <n v="2500"/>
        <n v="5955"/>
        <n v="13259"/>
        <n v="6320"/>
        <n v="716"/>
        <n v="353"/>
        <n v="4455"/>
        <n v="1529"/>
        <n v="6663"/>
        <n v="518"/>
        <n v="11554"/>
        <n v="1512"/>
        <n v="10627"/>
        <n v="2067"/>
        <n v="1591"/>
        <n v="18340"/>
        <n v="3622"/>
        <n v="11537"/>
        <n v="777"/>
        <n v="19810"/>
        <n v="11422"/>
        <n v="5652"/>
        <n v="12657"/>
        <n v="2813"/>
        <n v="302"/>
        <n v="19737"/>
        <n v="180"/>
        <n v="6869"/>
        <n v="1865"/>
        <n v="1799"/>
        <n v="942"/>
        <n v="2801"/>
        <n v="10377"/>
        <n v="4341"/>
        <n v="3399"/>
        <n v="5625"/>
        <n v="11471"/>
        <n v="3129"/>
        <n v="17713"/>
        <n v="3286"/>
        <n v="9364"/>
        <n v="490"/>
        <n v="7624"/>
        <n v="2323"/>
        <n v="12419"/>
        <n v="1554"/>
        <n v="6089"/>
        <n v="421"/>
        <n v="149"/>
        <n v="672"/>
        <n v="9533"/>
        <n v="17576"/>
        <n v="14778"/>
        <n v="8698"/>
        <n v="1093"/>
        <n v="5681"/>
        <n v="5999"/>
        <n v="9785"/>
        <n v="18353"/>
        <n v="161"/>
        <n v="11726"/>
        <n v="4246"/>
        <n v="4914"/>
        <n v="19278"/>
        <n v="7908"/>
        <n v="791"/>
        <n v="17882"/>
        <n v="1010"/>
        <n v="6376"/>
        <n v="6702"/>
        <n v="1995"/>
        <n v="2493"/>
        <n v="4919"/>
        <n v="15625"/>
        <n v="7149"/>
        <n v="3026"/>
        <n v="741"/>
        <n v="16248"/>
        <n v="643"/>
        <n v="1696"/>
        <n v="14416"/>
        <n v="17167"/>
        <n v="5383"/>
        <n v="974"/>
        <n v="15966"/>
        <n v="1894"/>
        <n v="15558"/>
        <n v="3158"/>
        <n v="12174"/>
        <n v="10222"/>
        <n v="1670"/>
        <n v="10803"/>
        <n v="6099"/>
        <n v="3265"/>
        <n v="818"/>
        <n v="2888"/>
        <n v="8935"/>
        <n v="4587"/>
        <n v="2941"/>
        <n v="1965"/>
        <n v="5245"/>
        <n v="7426"/>
        <n v="3847"/>
        <n v="7786"/>
        <n v="3599"/>
        <n v="677"/>
        <n v="4263"/>
        <n v="2495"/>
        <n v="8471"/>
        <n v="10757"/>
        <n v="1159"/>
        <n v="17108"/>
        <n v="997"/>
        <n v="11565"/>
        <n v="2235"/>
        <n v="1766"/>
        <n v="2737"/>
        <n v="4808"/>
        <n v="16087"/>
        <n v="12993"/>
        <n v="6421"/>
        <n v="11480"/>
        <n v="18395"/>
        <n v="19288"/>
        <n v="6214"/>
        <n v="7709"/>
        <n v="568"/>
        <n v="1204"/>
        <n v="1841"/>
        <n v="503"/>
        <n v="843"/>
        <n v="2228"/>
        <n v="4835"/>
        <n v="758"/>
        <n v="6371"/>
        <n v="2912"/>
        <n v="477"/>
        <n v="2329"/>
        <n v="1510"/>
        <n v="12534"/>
        <n v="891"/>
        <n v="11440"/>
        <n v="1302"/>
        <n v="11286"/>
        <n v="2513"/>
        <n v="31"/>
        <n v="17472"/>
        <n v="3044"/>
        <n v="5384"/>
        <n v="1003"/>
        <n v="9518"/>
        <n v="7224"/>
        <n v="14462"/>
        <n v="4948"/>
        <n v="16547"/>
        <n v="5461"/>
        <n v="5145"/>
        <n v="14671"/>
        <n v="112"/>
        <n v="1634"/>
        <n v="2950"/>
        <n v="17266"/>
        <n v="3407"/>
        <n v="2576"/>
        <n v="493"/>
      </sharedItems>
    </cacheField>
    <cacheField name="layoff_percentage" numFmtId="0">
      <sharedItems containsSemiMixedTypes="0" containsString="0" containsNumber="1" minValue="0" maxValue="40"/>
    </cacheField>
    <cacheField name="reason_for_layoffs" numFmtId="0">
      <sharedItems count="5">
        <s v="AI Automation"/>
        <s v="Restructuring"/>
        <s v="Overhiring Correction"/>
        <s v="Market Slowdown"/>
        <s v="Cost Cutting"/>
      </sharedItems>
    </cacheField>
    <cacheField name="ai_automation_impact" numFmtId="0">
      <sharedItems containsSemiMixedTypes="0" containsString="0" containsNumber="1" minValue="0.6" maxValue="16.8"/>
    </cacheField>
    <cacheField name="ai_replacement_risk" numFmtId="0">
      <sharedItems containsSemiMixedTypes="0" containsString="0" containsNumber="1" minValue="1" maxValue="10" count="91">
        <n v="5"/>
        <n v="4.8"/>
        <n v="7.3"/>
        <n v="8.1"/>
        <n v="2.4"/>
        <n v="10"/>
        <n v="3.9"/>
        <n v="6.9"/>
        <n v="7.1"/>
        <n v="8.9"/>
        <n v="6.2"/>
        <n v="7.6"/>
        <n v="3"/>
        <n v="3.4"/>
        <n v="8.6999999999999993"/>
        <n v="8.8000000000000007"/>
        <n v="7.8"/>
        <n v="6.8"/>
        <n v="7.5"/>
        <n v="1"/>
        <n v="5.3"/>
        <n v="1.3"/>
        <n v="3.5"/>
        <n v="6.4"/>
        <n v="5.5"/>
        <n v="5.8"/>
        <n v="9.8000000000000007"/>
        <n v="8.4"/>
        <n v="8.6"/>
        <n v="6.5"/>
        <n v="7.2"/>
        <n v="6.6"/>
        <n v="4.5"/>
        <n v="9"/>
        <n v="3.1"/>
        <n v="8"/>
        <n v="2.5"/>
        <n v="1.1000000000000001"/>
        <n v="3.6"/>
        <n v="4.5999999999999996"/>
        <n v="2.6"/>
        <n v="6"/>
        <n v="2.1"/>
        <n v="9.1"/>
        <n v="4.7"/>
        <n v="5.4"/>
        <n v="3.8"/>
        <n v="4.0999999999999996"/>
        <n v="9.1999999999999993"/>
        <n v="9.6"/>
        <n v="9.5"/>
        <n v="8.5"/>
        <n v="7.4"/>
        <n v="1.6"/>
        <n v="4.4000000000000004"/>
        <n v="2.7"/>
        <n v="6.1"/>
        <n v="9.9"/>
        <n v="5.2"/>
        <n v="2"/>
        <n v="9.3000000000000007"/>
        <n v="5.6"/>
        <n v="2.2000000000000002"/>
        <n v="8.1999999999999993"/>
        <n v="4"/>
        <n v="8.3000000000000007"/>
        <n v="4.2"/>
        <n v="7.7"/>
        <n v="6.3"/>
        <n v="9.4"/>
        <n v="3.2"/>
        <n v="3.3"/>
        <n v="4.3"/>
        <n v="6.7"/>
        <n v="2.8"/>
        <n v="5.9"/>
        <n v="3.7"/>
        <n v="1.5"/>
        <n v="5.0999999999999996"/>
        <n v="2.2999999999999998"/>
        <n v="1.2"/>
        <n v="1.8"/>
        <n v="7"/>
        <n v="5.7"/>
        <n v="9.6999999999999993"/>
        <n v="4.9000000000000004"/>
        <n v="7.9"/>
        <n v="1.7"/>
        <n v="2.9"/>
        <n v="1.9"/>
        <n v="1.4"/>
      </sharedItems>
    </cacheField>
    <cacheField name="open_roles" numFmtId="0">
      <sharedItems containsSemiMixedTypes="0" containsString="0" containsNumber="1" containsInteger="1" minValue="52" maxValue="9992"/>
    </cacheField>
    <cacheField name="hiring_trend" numFmtId="0">
      <sharedItems count="4">
        <s v="Moderate Hiring"/>
        <s v="Hiring Freeze"/>
        <s v="Downsizing"/>
        <s v="Aggressive Hiring"/>
      </sharedItems>
    </cacheField>
    <cacheField name="remote_jobs_percentage" numFmtId="0">
      <sharedItems containsSemiMixedTypes="0" containsString="0" containsNumber="1" minValue="10" maxValue="90"/>
    </cacheField>
    <cacheField name="top_hiring_role" numFmtId="0">
      <sharedItems/>
    </cacheField>
    <cacheField name="stock_growth_percent" numFmtId="0">
      <sharedItems containsSemiMixedTypes="0" containsString="0" containsNumber="1" minValue="-45" maxValue="89.9"/>
    </cacheField>
    <cacheField name="revenue_growth_percent" numFmtId="0">
      <sharedItems containsSemiMixedTypes="0" containsString="0" containsNumber="1" minValue="-25" maxValue="60"/>
    </cacheField>
    <cacheField name="salary_budget_change" numFmtId="0">
      <sharedItems containsSemiMixedTypes="0" containsString="0" containsNumber="1" minValue="-28" maxValue="36.799999999999997" count="522">
        <n v="4.9000000000000004"/>
        <n v="5.2"/>
        <n v="18"/>
        <n v="-4.2"/>
        <n v="-0.4"/>
        <n v="13.5"/>
        <n v="-10.5"/>
        <n v="9.1999999999999993"/>
        <n v="11.6"/>
        <n v="6.8"/>
        <n v="18.600000000000001"/>
        <n v="17"/>
        <n v="-15.5"/>
        <n v="24.9"/>
        <n v="7.6"/>
        <n v="4.2"/>
        <n v="-6.5"/>
        <n v="12.7"/>
        <n v="12.5"/>
        <n v="2.1"/>
        <n v="-9.6999999999999993"/>
        <n v="2.8"/>
        <n v="13"/>
        <n v="-6.8"/>
        <n v="-8.8000000000000007"/>
        <n v="19.600000000000001"/>
        <n v="11.2"/>
        <n v="2.7"/>
        <n v="23.4"/>
        <n v="5"/>
        <n v="-13.5"/>
        <n v="-2.6"/>
        <n v="1.4"/>
        <n v="20.2"/>
        <n v="-7.2"/>
        <n v="4.4000000000000004"/>
        <n v="10.7"/>
        <n v="14.5"/>
        <n v="-7.3"/>
        <n v="10"/>
        <n v="-0.3"/>
        <n v="-11.4"/>
        <n v="-3.8"/>
        <n v="12.6"/>
        <n v="15.9"/>
        <n v="1.9"/>
        <n v="-12.9"/>
        <n v="4.7"/>
        <n v="29.5"/>
        <n v="21.1"/>
        <n v="0.7"/>
        <n v="4.3"/>
        <n v="13.3"/>
        <n v="14.9"/>
        <n v="6.7"/>
        <n v="8.1"/>
        <n v="3.6"/>
        <n v="-10.1"/>
        <n v="-6.3"/>
        <n v="2"/>
        <n v="1"/>
        <n v="20.5"/>
        <n v="25.9"/>
        <n v="-9.3000000000000007"/>
        <n v="-11.3"/>
        <n v="-15.4"/>
        <n v="16.7"/>
        <n v="1.5"/>
        <n v="-2.9"/>
        <n v="-14.2"/>
        <n v="-7.7"/>
        <n v="-17.899999999999999"/>
        <n v="2.2000000000000002"/>
        <n v="-5.5"/>
        <n v="-0.2"/>
        <n v="17.7"/>
        <n v="-0.6"/>
        <n v="9.8000000000000007"/>
        <n v="-14"/>
        <n v="0.5"/>
        <n v="-17.3"/>
        <n v="9.9"/>
        <n v="-15.3"/>
        <n v="4.5"/>
        <n v="-9.4"/>
        <n v="7.1"/>
        <n v="9.3000000000000007"/>
        <n v="23"/>
        <n v="-1.5"/>
        <n v="-16.600000000000001"/>
        <n v="31.8"/>
        <n v="19.100000000000001"/>
        <n v="-10.3"/>
        <n v="-11.7"/>
        <n v="9.6"/>
        <n v="13.6"/>
        <n v="14.3"/>
        <n v="-2.7"/>
        <n v="17.8"/>
        <n v="-3.2"/>
        <n v="6.9"/>
        <n v="-8.3000000000000007"/>
        <n v="-2.5"/>
        <n v="20.8"/>
        <n v="20.100000000000001"/>
        <n v="11.5"/>
        <n v="5.6"/>
        <n v="18.399999999999999"/>
        <n v="7.3"/>
        <n v="3.4"/>
        <n v="-5.3"/>
        <n v="12.1"/>
        <n v="18.100000000000001"/>
        <n v="-12.1"/>
        <n v="6.1"/>
        <n v="-9.6"/>
        <n v="-7.4"/>
        <n v="24.7"/>
        <n v="13.4"/>
        <n v="12.3"/>
        <n v="14.7"/>
        <n v="7.5"/>
        <n v="5.7"/>
        <n v="-2.8"/>
        <n v="25.1"/>
        <n v="10.6"/>
        <n v="-9.8000000000000007"/>
        <n v="1.3"/>
        <n v="-6.7"/>
        <n v="-7"/>
        <n v="19.2"/>
        <n v="8.6999999999999993"/>
        <n v="2.5"/>
        <n v="20"/>
        <n v="0.4"/>
        <n v="-6.9"/>
        <n v="-7.5"/>
        <n v="20.6"/>
        <n v="3.1"/>
        <n v="22.7"/>
        <n v="24.2"/>
        <n v="-0.5"/>
        <n v="-3.6"/>
        <n v="0.1"/>
        <n v="-3.7"/>
        <n v="-14.1"/>
        <n v="5.0999999999999996"/>
        <n v="-28"/>
        <n v="-1.4"/>
        <n v="-5.4"/>
        <n v="-26.1"/>
        <n v="29.9"/>
        <n v="17.100000000000001"/>
        <n v="4.5999999999999996"/>
        <n v="23.7"/>
        <n v="3.7"/>
        <n v="10.5"/>
        <n v="18.3"/>
        <n v="15.8"/>
        <n v="5.9"/>
        <n v="-14.5"/>
        <n v="16.8"/>
        <n v="-9"/>
        <n v="13.2"/>
        <n v="23.9"/>
        <n v="17.2"/>
        <n v="11.9"/>
        <n v="-7.1"/>
        <n v="6"/>
        <n v="10.4"/>
        <n v="-12.7"/>
        <n v="22"/>
        <n v="28"/>
        <n v="2.6"/>
        <n v="7.7"/>
        <n v="26.8"/>
        <n v="-7.8"/>
        <n v="18.5"/>
        <n v="30.3"/>
        <n v="0.8"/>
        <n v="16.3"/>
        <n v="16.100000000000001"/>
        <n v="13.1"/>
        <n v="8.4"/>
        <n v="9.6999999999999993"/>
        <n v="-2.4"/>
        <n v="-1.2"/>
        <n v="18.8"/>
        <n v="8.6"/>
        <n v="24"/>
        <n v="6.5"/>
        <n v="3.9"/>
        <n v="10.9"/>
        <n v="27"/>
        <n v="18.2"/>
        <n v="-22.8"/>
        <n v="-1.9"/>
        <n v="-11"/>
        <n v="20.3"/>
        <n v="-17.399999999999999"/>
        <n v="21.3"/>
        <n v="-5.8"/>
        <n v="14.1"/>
        <n v="-17"/>
        <n v="8"/>
        <n v="16.2"/>
        <n v="1.1000000000000001"/>
        <n v="4.8"/>
        <n v="17.5"/>
        <n v="19.8"/>
        <n v="29.6"/>
        <n v="15.1"/>
        <n v="-10.4"/>
        <n v="-9.1999999999999993"/>
        <n v="22.1"/>
        <n v="-4.0999999999999996"/>
        <n v="11.4"/>
        <n v="-15.8"/>
        <n v="4.0999999999999996"/>
        <n v="24.4"/>
        <n v="-8.9"/>
        <n v="17.3"/>
        <n v="-12.4"/>
        <n v="-4.5"/>
        <n v="28.9"/>
        <n v="7.2"/>
        <n v="27.1"/>
        <n v="6.4"/>
        <n v="6.3"/>
        <n v="3.5"/>
        <n v="-10"/>
        <n v="14.2"/>
        <n v="10.1"/>
        <n v="21.2"/>
        <n v="7.8"/>
        <n v="8.5"/>
        <n v="21.5"/>
        <n v="-3.9"/>
        <n v="23.6"/>
        <n v="-8.6999999999999993"/>
        <n v="9.4"/>
        <n v="15.5"/>
        <n v="18.7"/>
        <n v="-13.2"/>
        <n v="15.3"/>
        <n v="-12.5"/>
        <n v="8.1999999999999993"/>
        <n v="-7.9"/>
        <n v="10.3"/>
        <n v="-1.7"/>
        <n v="26.3"/>
        <n v="22.3"/>
        <n v="-5.9"/>
        <n v="23.1"/>
        <n v="-4.8"/>
        <n v="7.9"/>
        <n v="10.199999999999999"/>
        <n v="14"/>
        <n v="14.8"/>
        <n v="11.8"/>
        <n v="0.2"/>
        <n v="9.1"/>
        <n v="-15.1"/>
        <n v="17.600000000000001"/>
        <n v="-4.9000000000000004"/>
        <n v="15.7"/>
        <n v="21.7"/>
        <n v="13.7"/>
        <n v="25.5"/>
        <n v="0"/>
        <n v="25.3"/>
        <n v="5.3"/>
        <n v="-8.5"/>
        <n v="1.6"/>
        <n v="11.7"/>
        <n v="32"/>
        <n v="-9.5"/>
        <n v="32.5"/>
        <n v="-5.2"/>
        <n v="-2.2999999999999998"/>
        <n v="7.4"/>
        <n v="-0.1"/>
        <n v="7"/>
        <n v="19.7"/>
        <n v="21.9"/>
        <n v="-13.4"/>
        <n v="20.9"/>
        <n v="12"/>
        <n v="15.2"/>
        <n v="12.8"/>
        <n v="15.4"/>
        <n v="-19.8"/>
        <n v="2.2999999999999998"/>
        <n v="29.2"/>
        <n v="1.2"/>
        <n v="-12.6"/>
        <n v="-2.2000000000000002"/>
        <n v="20.7"/>
        <n v="-1.6"/>
        <n v="-2"/>
        <n v="-1.1000000000000001"/>
        <n v="-0.9"/>
        <n v="-8.6"/>
        <n v="1.8"/>
        <n v="19.899999999999999"/>
        <n v="14.6"/>
        <n v="28.1"/>
        <n v="-22.2"/>
        <n v="5.8"/>
        <n v="11.3"/>
        <n v="10.8"/>
        <n v="12.9"/>
        <n v="-11.6"/>
        <n v="29.1"/>
        <n v="-8"/>
        <n v="-10.6"/>
        <n v="-0.7"/>
        <n v="13.8"/>
        <n v="9"/>
        <n v="6.2"/>
        <n v="-26.7"/>
        <n v="-10.8"/>
        <n v="0.9"/>
        <n v="-16.8"/>
        <n v="22.9"/>
        <n v="1.7"/>
        <n v="3.8"/>
        <n v="-8.4"/>
        <n v="-11.5"/>
        <n v="-10.7"/>
        <n v="-14.4"/>
        <n v="16"/>
        <n v="-13.8"/>
        <n v="2.4"/>
        <n v="33"/>
        <n v="3.3"/>
        <n v="-3.3"/>
        <n v="-3.1"/>
        <n v="19.3"/>
        <n v="-11.2"/>
        <n v="-6.2"/>
        <n v="4"/>
        <n v="-19.2"/>
        <n v="-8.1999999999999993"/>
        <n v="-11.1"/>
        <n v="-13.1"/>
        <n v="-11.9"/>
        <n v="21"/>
        <n v="-4.5999999999999996"/>
        <n v="-5.6"/>
        <n v="-4"/>
        <n v="24.8"/>
        <n v="29.4"/>
        <n v="24.6"/>
        <n v="-9.9"/>
        <n v="-10.9"/>
        <n v="-1.8"/>
        <n v="17.899999999999999"/>
        <n v="-13.3"/>
        <n v="-16"/>
        <n v="23.2"/>
        <n v="-4.3"/>
        <n v="-14.3"/>
        <n v="0.3"/>
        <n v="28.7"/>
        <n v="26.7"/>
        <n v="-6"/>
        <n v="16.5"/>
        <n v="15"/>
        <n v="-5.7"/>
        <n v="23.8"/>
        <n v="21.8"/>
        <n v="33.6"/>
        <n v="-2.1"/>
        <n v="-1"/>
        <n v="-13.6"/>
        <n v="22.2"/>
        <n v="23.3"/>
        <n v="24.3"/>
        <n v="-5.0999999999999996"/>
        <n v="-3.5"/>
        <n v="27.2"/>
        <n v="0.6"/>
        <n v="9.5"/>
        <n v="19.5"/>
        <n v="-4.4000000000000004"/>
        <n v="19"/>
        <n v="8.8000000000000007"/>
        <n v="26.4"/>
        <n v="25.6"/>
        <n v="-17.7"/>
        <n v="8.9"/>
        <n v="16.399999999999999"/>
        <n v="30.2"/>
        <n v="27.6"/>
        <n v="21.4"/>
        <n v="11.1"/>
        <n v="12.2"/>
        <n v="13.9"/>
        <n v="36.799999999999997"/>
        <n v="-11.8"/>
        <n v="-3"/>
        <n v="-13.9"/>
        <n v="-7.6"/>
        <n v="-18.5"/>
        <n v="26"/>
        <n v="2.9"/>
        <n v="27.4"/>
        <n v="-15"/>
        <n v="28.6"/>
        <n v="3.2"/>
        <n v="26.5"/>
        <n v="22.8"/>
        <n v="-6.1"/>
        <n v="33.9"/>
        <n v="33.200000000000003"/>
        <n v="-16.5"/>
        <n v="-24.3"/>
        <n v="-10.199999999999999"/>
        <n v="25.7"/>
        <n v="21.6"/>
        <n v="-19.100000000000001"/>
        <n v="-16.2"/>
        <n v="6.6"/>
        <n v="-15.7"/>
        <n v="25"/>
        <n v="3"/>
        <n v="28.8"/>
        <n v="16.600000000000001"/>
        <n v="18.899999999999999"/>
        <n v="-18.8"/>
        <n v="-12.8"/>
        <n v="-12"/>
        <n v="17.399999999999999"/>
        <n v="12.4"/>
        <n v="34.5"/>
        <n v="5.4"/>
        <n v="30.7"/>
        <n v="-13.7"/>
        <n v="23.5"/>
        <n v="27.8"/>
        <n v="-0.8"/>
        <n v="-18"/>
        <n v="-20.6"/>
        <n v="-6.4"/>
        <n v="32.9"/>
        <n v="-1.3"/>
        <n v="8.3000000000000007"/>
        <n v="33.700000000000003"/>
        <n v="22.5"/>
        <n v="22.4"/>
        <n v="-6.6"/>
        <n v="14.4"/>
        <n v="-24.7"/>
        <n v="25.2"/>
        <n v="26.9"/>
        <n v="-20.9"/>
        <n v="25.4"/>
        <n v="-22.7"/>
        <n v="30.8"/>
        <n v="-3.4"/>
        <n v="-12.3"/>
        <n v="24.1"/>
        <n v="20.399999999999999"/>
        <n v="16.899999999999999"/>
        <n v="-8.1"/>
        <n v="-16.3"/>
        <n v="11"/>
        <n v="28.5"/>
        <n v="-18.100000000000001"/>
        <n v="-5"/>
        <n v="-12.2"/>
        <n v="-20"/>
        <n v="15.6"/>
        <n v="-17.600000000000001"/>
        <n v="-9.1"/>
        <n v="-18.3"/>
        <n v="-14.7"/>
        <n v="-15.2"/>
        <n v="28.2"/>
        <n v="-4.7"/>
        <n v="35.700000000000003"/>
        <n v="-20.100000000000001"/>
        <n v="24.5"/>
        <n v="27.3"/>
        <n v="-21"/>
        <n v="-14.9"/>
        <n v="-23.7"/>
        <n v="-20.5"/>
        <n v="-20.7"/>
        <n v="-21.4"/>
        <n v="27.9"/>
        <n v="-16.7"/>
        <n v="32.200000000000003"/>
        <n v="31.3"/>
        <n v="28.3"/>
        <n v="5.5"/>
        <n v="32.799999999999997"/>
        <n v="-17.100000000000001"/>
        <n v="-22.5"/>
        <n v="-19.5"/>
        <n v="-16.899999999999999"/>
        <n v="31"/>
        <n v="28.4"/>
        <n v="-20.3"/>
        <n v="32.6"/>
        <n v="-23.2"/>
        <n v="-14.8"/>
        <n v="-20.8"/>
        <n v="-18.899999999999999"/>
        <n v="19.399999999999999"/>
        <n v="-18.600000000000001"/>
        <n v="25.8"/>
        <n v="22.6"/>
        <n v="-24.4"/>
        <n v="31.1"/>
        <n v="32.1"/>
        <n v="-13"/>
        <n v="-20.2"/>
        <n v="27.7"/>
        <n v="29.3"/>
        <n v="-15.6"/>
      </sharedItems>
    </cacheField>
    <cacheField name="ai_adoption_level" numFmtId="0">
      <sharedItems containsSemiMixedTypes="0" containsString="0" containsNumber="1" minValue="1" maxValue="10"/>
    </cacheField>
    <cacheField name="employee_sentiment" numFmtId="0">
      <sharedItems containsSemiMixedTypes="0" containsString="0" containsNumber="1" minValue="1.3" maxValue="10"/>
    </cacheField>
    <cacheField name="job_security_score" numFmtId="0">
      <sharedItems containsSemiMixedTypes="0" containsString="0" containsNumber="1" minValue="1" maxValue="9.6999999999999993"/>
    </cacheField>
    <cacheField name="market_condition" numFmtId="0">
      <sharedItems/>
    </cacheField>
  </cacheFields>
  <extLst>
    <ext xmlns:x14="http://schemas.microsoft.com/office/spreadsheetml/2009/9/main" uri="{725AE2AE-9491-48be-B2B4-4EB974FC3084}">
      <x14:pivotCacheDefinition pivotCacheId="1693231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9">
  <r>
    <s v="T0"/>
    <x v="0"/>
    <x v="0"/>
    <x v="0"/>
    <x v="0"/>
    <s v="Mar"/>
    <x v="0"/>
    <x v="0"/>
    <n v="1.8"/>
    <x v="0"/>
    <n v="6.4"/>
    <x v="0"/>
    <n v="5426"/>
    <x v="0"/>
    <n v="46.7"/>
    <s v="ML Engineer"/>
    <n v="-25.7"/>
    <n v="30.3"/>
    <x v="0"/>
    <n v="4.4000000000000004"/>
    <n v="8.6999999999999993"/>
    <n v="8.6"/>
    <s v="Bull Market"/>
  </r>
  <r>
    <s v="T1"/>
    <x v="1"/>
    <x v="1"/>
    <x v="1"/>
    <x v="0"/>
    <s v="Jul"/>
    <x v="0"/>
    <x v="1"/>
    <n v="5.3"/>
    <x v="1"/>
    <n v="3.5"/>
    <x v="1"/>
    <n v="3710"/>
    <x v="1"/>
    <n v="70.900000000000006"/>
    <s v="DevOps Engineer"/>
    <n v="53.3"/>
    <n v="6.3"/>
    <x v="1"/>
    <n v="3.2"/>
    <n v="7.3"/>
    <n v="6.8"/>
    <s v="Bull Market"/>
  </r>
  <r>
    <s v="T2"/>
    <x v="2"/>
    <x v="0"/>
    <x v="2"/>
    <x v="0"/>
    <s v="Apr"/>
    <x v="0"/>
    <x v="2"/>
    <n v="6.2"/>
    <x v="0"/>
    <n v="15.9"/>
    <x v="2"/>
    <n v="2409"/>
    <x v="0"/>
    <n v="35.799999999999997"/>
    <s v="ML Engineer"/>
    <n v="-26.6"/>
    <n v="35.299999999999997"/>
    <x v="2"/>
    <n v="9.4"/>
    <n v="6.7"/>
    <n v="6.8"/>
    <s v="Bull Market"/>
  </r>
  <r>
    <s v="T3"/>
    <x v="2"/>
    <x v="2"/>
    <x v="1"/>
    <x v="1"/>
    <s v="Jan"/>
    <x v="1"/>
    <x v="3"/>
    <n v="34.799999999999997"/>
    <x v="0"/>
    <n v="3.7"/>
    <x v="3"/>
    <n v="562"/>
    <x v="2"/>
    <n v="45.4"/>
    <s v="Product Manager"/>
    <n v="-32.299999999999997"/>
    <n v="-9.5"/>
    <x v="3"/>
    <n v="2.7"/>
    <n v="4.5"/>
    <n v="2.6"/>
    <s v="Recession"/>
  </r>
  <r>
    <s v="T4"/>
    <x v="0"/>
    <x v="0"/>
    <x v="3"/>
    <x v="0"/>
    <s v="Apr"/>
    <x v="1"/>
    <x v="4"/>
    <n v="2.1"/>
    <x v="2"/>
    <n v="2.8"/>
    <x v="4"/>
    <n v="9967"/>
    <x v="3"/>
    <n v="40.799999999999997"/>
    <s v="ML Engineer"/>
    <n v="1"/>
    <n v="-2.8"/>
    <x v="4"/>
    <n v="2.8"/>
    <n v="7.5"/>
    <n v="6.9"/>
    <s v="Bull Market"/>
  </r>
  <r>
    <s v="T5"/>
    <x v="3"/>
    <x v="1"/>
    <x v="3"/>
    <x v="1"/>
    <s v="Apr"/>
    <x v="1"/>
    <x v="5"/>
    <n v="14.7"/>
    <x v="1"/>
    <n v="8.6"/>
    <x v="5"/>
    <n v="2986"/>
    <x v="0"/>
    <n v="89.2"/>
    <s v="DevOps Engineer"/>
    <n v="5.2"/>
    <n v="41"/>
    <x v="5"/>
    <n v="9.4"/>
    <n v="8.8000000000000007"/>
    <n v="6.5"/>
    <s v="Stable"/>
  </r>
  <r>
    <s v="T6"/>
    <x v="4"/>
    <x v="0"/>
    <x v="3"/>
    <x v="0"/>
    <s v="Nov"/>
    <x v="0"/>
    <x v="6"/>
    <n v="2.2999999999999998"/>
    <x v="3"/>
    <n v="4.7"/>
    <x v="6"/>
    <n v="4584"/>
    <x v="0"/>
    <n v="60.2"/>
    <s v="ML Engineer"/>
    <n v="76.7"/>
    <n v="-21.1"/>
    <x v="6"/>
    <n v="6"/>
    <n v="8"/>
    <n v="7.1"/>
    <s v="Stable"/>
  </r>
  <r>
    <s v="T7"/>
    <x v="5"/>
    <x v="3"/>
    <x v="3"/>
    <x v="2"/>
    <s v="Feb"/>
    <x v="1"/>
    <x v="7"/>
    <n v="18.899999999999999"/>
    <x v="4"/>
    <n v="8"/>
    <x v="5"/>
    <n v="1447"/>
    <x v="1"/>
    <n v="65.8"/>
    <s v="Software Engineer"/>
    <n v="49"/>
    <n v="10"/>
    <x v="7"/>
    <n v="6.7"/>
    <n v="5.8"/>
    <n v="5.4"/>
    <s v="Recession"/>
  </r>
  <r>
    <s v="T8"/>
    <x v="6"/>
    <x v="2"/>
    <x v="1"/>
    <x v="3"/>
    <s v="May"/>
    <x v="1"/>
    <x v="8"/>
    <n v="12.6"/>
    <x v="1"/>
    <n v="6.9"/>
    <x v="7"/>
    <n v="3024"/>
    <x v="0"/>
    <n v="57.7"/>
    <s v="Product Manager"/>
    <n v="10.6"/>
    <n v="4.7"/>
    <x v="8"/>
    <n v="9.9"/>
    <n v="7.5"/>
    <n v="6.4"/>
    <s v="Stable"/>
  </r>
  <r>
    <s v="T9"/>
    <x v="2"/>
    <x v="2"/>
    <x v="1"/>
    <x v="1"/>
    <s v="Feb"/>
    <x v="0"/>
    <x v="9"/>
    <n v="17.8"/>
    <x v="3"/>
    <n v="1.7"/>
    <x v="8"/>
    <n v="3591"/>
    <x v="1"/>
    <n v="56"/>
    <s v="Frontend Developer"/>
    <n v="-26.1"/>
    <n v="42.6"/>
    <x v="9"/>
    <n v="2.1"/>
    <n v="5.5"/>
    <n v="5.4"/>
    <s v="Stable"/>
  </r>
  <r>
    <s v="T10"/>
    <x v="7"/>
    <x v="4"/>
    <x v="1"/>
    <x v="3"/>
    <s v="Nov"/>
    <x v="0"/>
    <x v="10"/>
    <n v="15.2"/>
    <x v="4"/>
    <n v="8.3000000000000007"/>
    <x v="9"/>
    <n v="2908"/>
    <x v="0"/>
    <n v="40.299999999999997"/>
    <s v="Frontend Developer"/>
    <n v="-17.2"/>
    <n v="42"/>
    <x v="10"/>
    <n v="8.6"/>
    <n v="5.5"/>
    <n v="5.8"/>
    <s v="Stable"/>
  </r>
  <r>
    <s v="T11"/>
    <x v="1"/>
    <x v="1"/>
    <x v="4"/>
    <x v="1"/>
    <s v="Dec"/>
    <x v="1"/>
    <x v="11"/>
    <n v="7.9"/>
    <x v="0"/>
    <n v="6.7"/>
    <x v="10"/>
    <n v="2398"/>
    <x v="1"/>
    <n v="77.900000000000006"/>
    <s v="ML Engineer"/>
    <n v="73.3"/>
    <n v="29.6"/>
    <x v="11"/>
    <n v="7"/>
    <n v="8.9"/>
    <n v="7.1"/>
    <s v="Stable"/>
  </r>
  <r>
    <s v="T12"/>
    <x v="6"/>
    <x v="2"/>
    <x v="0"/>
    <x v="1"/>
    <s v="May"/>
    <x v="2"/>
    <x v="12"/>
    <n v="15"/>
    <x v="1"/>
    <n v="4.0999999999999996"/>
    <x v="11"/>
    <n v="2281"/>
    <x v="1"/>
    <n v="54.3"/>
    <s v="Product Manager"/>
    <n v="67"/>
    <n v="-7.5"/>
    <x v="12"/>
    <n v="3.5"/>
    <n v="4.0999999999999996"/>
    <n v="5.6"/>
    <s v="Stable"/>
  </r>
  <r>
    <s v="T13"/>
    <x v="2"/>
    <x v="2"/>
    <x v="4"/>
    <x v="1"/>
    <s v="Nov"/>
    <x v="1"/>
    <x v="13"/>
    <n v="5.7"/>
    <x v="2"/>
    <n v="14.9"/>
    <x v="7"/>
    <n v="4432"/>
    <x v="0"/>
    <n v="25.4"/>
    <s v="DevOps Engineer"/>
    <n v="11.9"/>
    <n v="42.6"/>
    <x v="13"/>
    <n v="9.3000000000000007"/>
    <n v="6"/>
    <n v="7.2"/>
    <s v="Bull Market"/>
  </r>
  <r>
    <s v="T14"/>
    <x v="8"/>
    <x v="4"/>
    <x v="0"/>
    <x v="0"/>
    <s v="Oct"/>
    <x v="0"/>
    <x v="14"/>
    <n v="1.6"/>
    <x v="0"/>
    <n v="7.2"/>
    <x v="12"/>
    <n v="5417"/>
    <x v="0"/>
    <n v="80.8"/>
    <s v="ML Engineer"/>
    <n v="14.5"/>
    <n v="9.4"/>
    <x v="14"/>
    <n v="5.7"/>
    <n v="8.4"/>
    <n v="7.6"/>
    <s v="Stable"/>
  </r>
  <r>
    <s v="T15"/>
    <x v="9"/>
    <x v="1"/>
    <x v="3"/>
    <x v="1"/>
    <s v="Aug"/>
    <x v="0"/>
    <x v="15"/>
    <n v="3.2"/>
    <x v="2"/>
    <n v="5.4"/>
    <x v="13"/>
    <n v="5289"/>
    <x v="0"/>
    <n v="37.299999999999997"/>
    <s v="Cybersecurity Analyst"/>
    <n v="80.8"/>
    <n v="-16.3"/>
    <x v="15"/>
    <n v="5.9"/>
    <n v="7"/>
    <n v="5.6"/>
    <s v="Stable"/>
  </r>
  <r>
    <s v="T16"/>
    <x v="0"/>
    <x v="5"/>
    <x v="5"/>
    <x v="2"/>
    <s v="Oct"/>
    <x v="0"/>
    <x v="16"/>
    <n v="16.399999999999999"/>
    <x v="0"/>
    <n v="12.2"/>
    <x v="5"/>
    <n v="3136"/>
    <x v="1"/>
    <n v="55.7"/>
    <s v="Data Scientist"/>
    <n v="20.100000000000001"/>
    <n v="-7.1"/>
    <x v="16"/>
    <n v="8.6999999999999993"/>
    <n v="6.6"/>
    <n v="5"/>
    <s v="Stable"/>
  </r>
  <r>
    <s v="T17"/>
    <x v="10"/>
    <x v="3"/>
    <x v="5"/>
    <x v="1"/>
    <s v="Sep"/>
    <x v="1"/>
    <x v="17"/>
    <n v="1.8"/>
    <x v="4"/>
    <n v="14.4"/>
    <x v="5"/>
    <n v="3865"/>
    <x v="3"/>
    <n v="11.7"/>
    <s v="ML Engineer"/>
    <n v="-0.1"/>
    <n v="21.1"/>
    <x v="17"/>
    <n v="9.8000000000000007"/>
    <n v="5.8"/>
    <n v="6.3"/>
    <s v="Bull Market"/>
  </r>
  <r>
    <s v="T18"/>
    <x v="2"/>
    <x v="5"/>
    <x v="0"/>
    <x v="0"/>
    <s v="Mar"/>
    <x v="2"/>
    <x v="18"/>
    <n v="26.7"/>
    <x v="2"/>
    <n v="5.2"/>
    <x v="14"/>
    <n v="1324"/>
    <x v="1"/>
    <n v="10.4"/>
    <s v="Software Engineer"/>
    <n v="41.3"/>
    <n v="48.8"/>
    <x v="18"/>
    <n v="3.8"/>
    <n v="6.4"/>
    <n v="5"/>
    <s v="Recession"/>
  </r>
  <r>
    <s v="T19"/>
    <x v="0"/>
    <x v="5"/>
    <x v="3"/>
    <x v="3"/>
    <s v="Jul"/>
    <x v="1"/>
    <x v="19"/>
    <n v="29.4"/>
    <x v="4"/>
    <n v="6.8"/>
    <x v="5"/>
    <n v="900"/>
    <x v="2"/>
    <n v="79.5"/>
    <s v="DevOps Engineer"/>
    <n v="-4.9000000000000004"/>
    <n v="30.2"/>
    <x v="19"/>
    <n v="4.5999999999999996"/>
    <n v="6.1"/>
    <n v="4.2"/>
    <s v="Recession"/>
  </r>
  <r>
    <s v="T20"/>
    <x v="1"/>
    <x v="4"/>
    <x v="2"/>
    <x v="0"/>
    <s v="Dec"/>
    <x v="2"/>
    <x v="20"/>
    <n v="32.6"/>
    <x v="1"/>
    <n v="1.6"/>
    <x v="15"/>
    <n v="295"/>
    <x v="2"/>
    <n v="73.2"/>
    <s v="Frontend Developer"/>
    <n v="46.9"/>
    <n v="-8.9"/>
    <x v="20"/>
    <n v="2.6"/>
    <n v="3.4"/>
    <n v="3.4"/>
    <s v="Recession"/>
  </r>
  <r>
    <s v="T21"/>
    <x v="9"/>
    <x v="1"/>
    <x v="3"/>
    <x v="2"/>
    <s v="Jul"/>
    <x v="0"/>
    <x v="21"/>
    <n v="0.6"/>
    <x v="3"/>
    <n v="4.3"/>
    <x v="0"/>
    <n v="2642"/>
    <x v="0"/>
    <n v="46.4"/>
    <s v="Product Manager"/>
    <n v="-31.8"/>
    <n v="16.5"/>
    <x v="21"/>
    <n v="6.7"/>
    <n v="6.7"/>
    <n v="7.9"/>
    <s v="Bull Market"/>
  </r>
  <r>
    <s v="T22"/>
    <x v="11"/>
    <x v="6"/>
    <x v="0"/>
    <x v="0"/>
    <s v="May"/>
    <x v="1"/>
    <x v="22"/>
    <n v="6.1"/>
    <x v="2"/>
    <n v="8.1999999999999993"/>
    <x v="16"/>
    <n v="2872"/>
    <x v="0"/>
    <n v="86.4"/>
    <s v="Frontend Developer"/>
    <n v="-2.4"/>
    <n v="33.5"/>
    <x v="22"/>
    <n v="5.3"/>
    <n v="6.5"/>
    <n v="7.5"/>
    <s v="Bull Market"/>
  </r>
  <r>
    <s v="T23"/>
    <x v="12"/>
    <x v="0"/>
    <x v="2"/>
    <x v="3"/>
    <s v="Nov"/>
    <x v="0"/>
    <x v="23"/>
    <n v="5.6"/>
    <x v="3"/>
    <n v="7"/>
    <x v="17"/>
    <n v="5558"/>
    <x v="3"/>
    <n v="17.3"/>
    <s v="Data Scientist"/>
    <n v="20.9"/>
    <n v="-12.2"/>
    <x v="23"/>
    <n v="5.9"/>
    <n v="5.8"/>
    <n v="6.2"/>
    <s v="Stable"/>
  </r>
  <r>
    <s v="T24"/>
    <x v="6"/>
    <x v="2"/>
    <x v="0"/>
    <x v="1"/>
    <s v="Aug"/>
    <x v="0"/>
    <x v="24"/>
    <n v="1.9"/>
    <x v="1"/>
    <n v="6.9"/>
    <x v="18"/>
    <n v="3459"/>
    <x v="0"/>
    <n v="76"/>
    <s v="Data Scientist"/>
    <n v="-34.6"/>
    <n v="-20"/>
    <x v="24"/>
    <n v="6.1"/>
    <n v="7.4"/>
    <n v="6.1"/>
    <s v="Stable"/>
  </r>
  <r>
    <s v="T25"/>
    <x v="13"/>
    <x v="5"/>
    <x v="1"/>
    <x v="1"/>
    <s v="Oct"/>
    <x v="1"/>
    <x v="25"/>
    <n v="9.1"/>
    <x v="4"/>
    <n v="2.5"/>
    <x v="19"/>
    <n v="885"/>
    <x v="2"/>
    <n v="58.8"/>
    <s v="Product Manager"/>
    <n v="56.4"/>
    <n v="30.8"/>
    <x v="25"/>
    <n v="1.7"/>
    <n v="5.5"/>
    <n v="6.9"/>
    <s v="Bull Market"/>
  </r>
  <r>
    <s v="T26"/>
    <x v="1"/>
    <x v="0"/>
    <x v="2"/>
    <x v="1"/>
    <s v="May"/>
    <x v="0"/>
    <x v="26"/>
    <n v="0.7"/>
    <x v="2"/>
    <n v="6.7"/>
    <x v="15"/>
    <n v="3274"/>
    <x v="0"/>
    <n v="18.399999999999999"/>
    <s v="ML Engineer"/>
    <n v="66"/>
    <n v="7.3"/>
    <x v="26"/>
    <n v="6"/>
    <n v="9"/>
    <n v="5.8"/>
    <s v="Bull Market"/>
  </r>
  <r>
    <s v="T27"/>
    <x v="1"/>
    <x v="1"/>
    <x v="0"/>
    <x v="3"/>
    <s v="Jul"/>
    <x v="2"/>
    <x v="27"/>
    <n v="7.4"/>
    <x v="1"/>
    <n v="1.1000000000000001"/>
    <x v="20"/>
    <n v="5917"/>
    <x v="1"/>
    <n v="81.400000000000006"/>
    <s v="Product Manager"/>
    <n v="-34.299999999999997"/>
    <n v="-4.5999999999999996"/>
    <x v="27"/>
    <n v="1.7"/>
    <n v="4.4000000000000004"/>
    <n v="6.2"/>
    <s v="Bull Market"/>
  </r>
  <r>
    <s v="T28"/>
    <x v="14"/>
    <x v="1"/>
    <x v="2"/>
    <x v="0"/>
    <s v="Oct"/>
    <x v="0"/>
    <x v="28"/>
    <n v="24.7"/>
    <x v="0"/>
    <n v="6.7"/>
    <x v="5"/>
    <n v="1062"/>
    <x v="1"/>
    <n v="17.5"/>
    <s v="Cybersecurity Analyst"/>
    <n v="45.3"/>
    <n v="45.5"/>
    <x v="28"/>
    <n v="10"/>
    <n v="6.7"/>
    <n v="4.9000000000000004"/>
    <s v="Recession"/>
  </r>
  <r>
    <s v="T29"/>
    <x v="4"/>
    <x v="0"/>
    <x v="5"/>
    <x v="1"/>
    <s v="Mar"/>
    <x v="2"/>
    <x v="29"/>
    <n v="5.8"/>
    <x v="3"/>
    <n v="1.4"/>
    <x v="21"/>
    <n v="6482"/>
    <x v="0"/>
    <n v="13.6"/>
    <s v="ML Engineer"/>
    <n v="65.3"/>
    <n v="-0.8"/>
    <x v="29"/>
    <n v="1.3"/>
    <n v="6.6"/>
    <n v="7.9"/>
    <s v="Stable"/>
  </r>
  <r>
    <s v="T30"/>
    <x v="9"/>
    <x v="0"/>
    <x v="3"/>
    <x v="3"/>
    <s v="Oct"/>
    <x v="2"/>
    <x v="30"/>
    <n v="11.4"/>
    <x v="3"/>
    <n v="3.4"/>
    <x v="22"/>
    <n v="2628"/>
    <x v="1"/>
    <n v="15.3"/>
    <s v="ML Engineer"/>
    <n v="-25.8"/>
    <n v="-24"/>
    <x v="30"/>
    <n v="2.2000000000000002"/>
    <n v="4.5"/>
    <n v="5.4"/>
    <s v="Stable"/>
  </r>
  <r>
    <s v="T31"/>
    <x v="1"/>
    <x v="4"/>
    <x v="5"/>
    <x v="1"/>
    <s v="Sep"/>
    <x v="1"/>
    <x v="31"/>
    <n v="3.1"/>
    <x v="1"/>
    <n v="7.5"/>
    <x v="17"/>
    <n v="5824"/>
    <x v="0"/>
    <n v="15.4"/>
    <s v="Frontend Developer"/>
    <n v="70"/>
    <n v="9.3000000000000007"/>
    <x v="31"/>
    <n v="6.2"/>
    <n v="7.2"/>
    <n v="7.3"/>
    <s v="Stable"/>
  </r>
  <r>
    <s v="T32"/>
    <x v="15"/>
    <x v="2"/>
    <x v="5"/>
    <x v="0"/>
    <s v="Jan"/>
    <x v="1"/>
    <x v="32"/>
    <n v="15.1"/>
    <x v="3"/>
    <n v="6.9"/>
    <x v="23"/>
    <n v="582"/>
    <x v="1"/>
    <n v="31.6"/>
    <s v="DevOps Engineer"/>
    <n v="30.3"/>
    <n v="4.5"/>
    <x v="32"/>
    <n v="5"/>
    <n v="4.5"/>
    <n v="5.2"/>
    <s v="Stable"/>
  </r>
  <r>
    <s v="T33"/>
    <x v="9"/>
    <x v="0"/>
    <x v="0"/>
    <x v="3"/>
    <s v="Aug"/>
    <x v="0"/>
    <x v="33"/>
    <n v="20.9"/>
    <x v="2"/>
    <n v="11.2"/>
    <x v="5"/>
    <n v="7905"/>
    <x v="0"/>
    <n v="46.9"/>
    <s v="Data Scientist"/>
    <n v="-25"/>
    <n v="47.5"/>
    <x v="33"/>
    <n v="6.6"/>
    <n v="8.4"/>
    <n v="4.5999999999999996"/>
    <s v="Recession"/>
  </r>
  <r>
    <s v="T34"/>
    <x v="3"/>
    <x v="1"/>
    <x v="1"/>
    <x v="1"/>
    <s v="Apr"/>
    <x v="2"/>
    <x v="34"/>
    <n v="14.4"/>
    <x v="2"/>
    <n v="13.9"/>
    <x v="5"/>
    <n v="2871"/>
    <x v="0"/>
    <n v="84.9"/>
    <s v="DevOps Engineer"/>
    <n v="-29.3"/>
    <n v="-21.4"/>
    <x v="34"/>
    <n v="8.8000000000000007"/>
    <n v="6.9"/>
    <n v="4.5999999999999996"/>
    <s v="Stable"/>
  </r>
  <r>
    <s v="T35"/>
    <x v="13"/>
    <x v="5"/>
    <x v="2"/>
    <x v="3"/>
    <s v="Jun"/>
    <x v="0"/>
    <x v="35"/>
    <n v="24"/>
    <x v="0"/>
    <n v="2"/>
    <x v="24"/>
    <n v="276"/>
    <x v="2"/>
    <n v="39.6"/>
    <s v="DevOps Engineer"/>
    <n v="58.6"/>
    <n v="10.4"/>
    <x v="35"/>
    <n v="1.9"/>
    <n v="6.8"/>
    <n v="4.2"/>
    <s v="Recession"/>
  </r>
  <r>
    <s v="T36"/>
    <x v="13"/>
    <x v="5"/>
    <x v="3"/>
    <x v="3"/>
    <s v="Jun"/>
    <x v="1"/>
    <x v="36"/>
    <n v="5.8"/>
    <x v="1"/>
    <n v="5.0999999999999996"/>
    <x v="25"/>
    <n v="2296"/>
    <x v="0"/>
    <n v="18.899999999999999"/>
    <s v="DevOps Engineer"/>
    <n v="-8.9"/>
    <n v="46"/>
    <x v="36"/>
    <n v="7.4"/>
    <n v="7.4"/>
    <n v="7.3"/>
    <s v="Bull Market"/>
  </r>
  <r>
    <s v="T37"/>
    <x v="13"/>
    <x v="5"/>
    <x v="0"/>
    <x v="2"/>
    <s v="Feb"/>
    <x v="1"/>
    <x v="37"/>
    <n v="10.7"/>
    <x v="3"/>
    <n v="5"/>
    <x v="8"/>
    <n v="4602"/>
    <x v="0"/>
    <n v="11.9"/>
    <s v="Software Engineer"/>
    <n v="60.7"/>
    <n v="41.3"/>
    <x v="37"/>
    <n v="4.0999999999999996"/>
    <n v="7"/>
    <n v="6.4"/>
    <s v="Stable"/>
  </r>
  <r>
    <s v="T38"/>
    <x v="2"/>
    <x v="3"/>
    <x v="1"/>
    <x v="1"/>
    <s v="May"/>
    <x v="2"/>
    <x v="38"/>
    <n v="31.2"/>
    <x v="0"/>
    <n v="9.9"/>
    <x v="5"/>
    <n v="843"/>
    <x v="2"/>
    <n v="21.8"/>
    <s v="ML Engineer"/>
    <n v="40.200000000000003"/>
    <n v="13.1"/>
    <x v="38"/>
    <n v="8.3000000000000007"/>
    <n v="6.7"/>
    <n v="3.3"/>
    <s v="Recession"/>
  </r>
  <r>
    <s v="T39"/>
    <x v="9"/>
    <x v="1"/>
    <x v="5"/>
    <x v="1"/>
    <s v="May"/>
    <x v="0"/>
    <x v="39"/>
    <n v="4.9000000000000004"/>
    <x v="1"/>
    <n v="10.8"/>
    <x v="5"/>
    <n v="2651"/>
    <x v="0"/>
    <n v="70.3"/>
    <s v="Cybersecurity Analyst"/>
    <n v="83.4"/>
    <n v="24.1"/>
    <x v="39"/>
    <n v="9.3000000000000007"/>
    <n v="8.5"/>
    <n v="5.7"/>
    <s v="Bull Market"/>
  </r>
  <r>
    <s v="T40"/>
    <x v="14"/>
    <x v="1"/>
    <x v="3"/>
    <x v="2"/>
    <s v="Feb"/>
    <x v="0"/>
    <x v="40"/>
    <n v="9.5"/>
    <x v="1"/>
    <n v="6.9"/>
    <x v="26"/>
    <n v="3418"/>
    <x v="1"/>
    <n v="57.5"/>
    <s v="Cloud Engineer"/>
    <n v="40.9"/>
    <n v="6"/>
    <x v="40"/>
    <n v="8.4"/>
    <n v="7.9"/>
    <n v="5.2"/>
    <s v="Stable"/>
  </r>
  <r>
    <s v="T41"/>
    <x v="1"/>
    <x v="4"/>
    <x v="1"/>
    <x v="1"/>
    <s v="Jun"/>
    <x v="1"/>
    <x v="41"/>
    <n v="34.700000000000003"/>
    <x v="0"/>
    <n v="1.8"/>
    <x v="5"/>
    <n v="1077"/>
    <x v="2"/>
    <n v="22.1"/>
    <s v="Cloud Engineer"/>
    <n v="27.8"/>
    <n v="-1"/>
    <x v="41"/>
    <n v="1.9"/>
    <n v="2.2999999999999998"/>
    <n v="1.8"/>
    <s v="Recession"/>
  </r>
  <r>
    <s v="T42"/>
    <x v="5"/>
    <x v="3"/>
    <x v="3"/>
    <x v="3"/>
    <s v="Nov"/>
    <x v="2"/>
    <x v="42"/>
    <n v="8.6"/>
    <x v="0"/>
    <n v="1.5"/>
    <x v="4"/>
    <n v="951"/>
    <x v="1"/>
    <n v="36.700000000000003"/>
    <s v="Cybersecurity Analyst"/>
    <n v="9.6"/>
    <n v="-19.2"/>
    <x v="42"/>
    <n v="1.5"/>
    <n v="4.9000000000000004"/>
    <n v="5.9"/>
    <s v="Recession"/>
  </r>
  <r>
    <s v="T43"/>
    <x v="16"/>
    <x v="2"/>
    <x v="2"/>
    <x v="0"/>
    <s v="Jun"/>
    <x v="0"/>
    <x v="43"/>
    <n v="0.7"/>
    <x v="4"/>
    <n v="5.9"/>
    <x v="27"/>
    <n v="5403"/>
    <x v="3"/>
    <n v="63.7"/>
    <s v="ML Engineer"/>
    <n v="-18.100000000000001"/>
    <n v="10.6"/>
    <x v="43"/>
    <n v="7.2"/>
    <n v="5.7"/>
    <n v="6.1"/>
    <s v="Bull Market"/>
  </r>
  <r>
    <s v="T44"/>
    <x v="0"/>
    <x v="1"/>
    <x v="4"/>
    <x v="1"/>
    <s v="Jun"/>
    <x v="0"/>
    <x v="44"/>
    <n v="16.600000000000001"/>
    <x v="2"/>
    <n v="2.1"/>
    <x v="28"/>
    <n v="2569"/>
    <x v="1"/>
    <n v="87.7"/>
    <s v="Software Engineer"/>
    <n v="9.5"/>
    <n v="37.700000000000003"/>
    <x v="44"/>
    <n v="3.5"/>
    <n v="6.5"/>
    <n v="5.4"/>
    <s v="Stable"/>
  </r>
  <r>
    <s v="T45"/>
    <x v="15"/>
    <x v="2"/>
    <x v="2"/>
    <x v="3"/>
    <s v="Nov"/>
    <x v="0"/>
    <x v="45"/>
    <n v="8.4"/>
    <x v="3"/>
    <n v="12.3"/>
    <x v="29"/>
    <n v="4056"/>
    <x v="0"/>
    <n v="53.8"/>
    <s v="Product Manager"/>
    <n v="49.6"/>
    <n v="-7.7"/>
    <x v="45"/>
    <n v="8.8000000000000007"/>
    <n v="7.4"/>
    <n v="4.7"/>
    <s v="Stable"/>
  </r>
  <r>
    <s v="T46"/>
    <x v="5"/>
    <x v="3"/>
    <x v="1"/>
    <x v="0"/>
    <s v="Jan"/>
    <x v="1"/>
    <x v="46"/>
    <n v="23.8"/>
    <x v="0"/>
    <n v="8.1999999999999993"/>
    <x v="5"/>
    <n v="919"/>
    <x v="1"/>
    <n v="69.400000000000006"/>
    <s v="Software Engineer"/>
    <n v="25.4"/>
    <n v="-19.2"/>
    <x v="46"/>
    <n v="9"/>
    <n v="6.2"/>
    <n v="3.2"/>
    <s v="Recession"/>
  </r>
  <r>
    <s v="T47"/>
    <x v="11"/>
    <x v="6"/>
    <x v="0"/>
    <x v="1"/>
    <s v="Oct"/>
    <x v="0"/>
    <x v="47"/>
    <n v="35.700000000000003"/>
    <x v="0"/>
    <n v="9.3000000000000007"/>
    <x v="5"/>
    <n v="1260"/>
    <x v="2"/>
    <n v="46.3"/>
    <s v="Frontend Developer"/>
    <n v="-11.5"/>
    <n v="35"/>
    <x v="47"/>
    <n v="5.8"/>
    <n v="5"/>
    <n v="3.8"/>
    <s v="Recession"/>
  </r>
  <r>
    <s v="T48"/>
    <x v="8"/>
    <x v="6"/>
    <x v="1"/>
    <x v="1"/>
    <s v="Dec"/>
    <x v="2"/>
    <x v="48"/>
    <n v="8.5"/>
    <x v="1"/>
    <n v="4.5999999999999996"/>
    <x v="24"/>
    <n v="2113"/>
    <x v="0"/>
    <n v="76.3"/>
    <s v="Cybersecurity Analyst"/>
    <n v="-3.4"/>
    <n v="52.7"/>
    <x v="48"/>
    <n v="3.8"/>
    <n v="7.2"/>
    <n v="7.3"/>
    <s v="Stable"/>
  </r>
  <r>
    <s v="T49"/>
    <x v="13"/>
    <x v="5"/>
    <x v="2"/>
    <x v="3"/>
    <s v="Aug"/>
    <x v="1"/>
    <x v="49"/>
    <n v="4.9000000000000004"/>
    <x v="3"/>
    <n v="5.3"/>
    <x v="30"/>
    <n v="2356"/>
    <x v="1"/>
    <n v="50.3"/>
    <s v="Product Manager"/>
    <n v="70.900000000000006"/>
    <n v="32.5"/>
    <x v="49"/>
    <n v="5.6"/>
    <n v="9"/>
    <n v="7.5"/>
    <s v="Stable"/>
  </r>
  <r>
    <s v="T50"/>
    <x v="3"/>
    <x v="1"/>
    <x v="4"/>
    <x v="3"/>
    <s v="Jul"/>
    <x v="0"/>
    <x v="50"/>
    <n v="4.5999999999999996"/>
    <x v="1"/>
    <n v="5.3"/>
    <x v="31"/>
    <n v="1847"/>
    <x v="1"/>
    <n v="19.399999999999999"/>
    <s v="Cloud Engineer"/>
    <n v="-44.7"/>
    <n v="36.1"/>
    <x v="33"/>
    <n v="5"/>
    <n v="7.8"/>
    <n v="6.6"/>
    <s v="Bull Market"/>
  </r>
  <r>
    <s v="T51"/>
    <x v="3"/>
    <x v="1"/>
    <x v="4"/>
    <x v="0"/>
    <s v="May"/>
    <x v="2"/>
    <x v="51"/>
    <n v="5.3"/>
    <x v="2"/>
    <n v="4.5"/>
    <x v="23"/>
    <n v="3172"/>
    <x v="0"/>
    <n v="45.1"/>
    <s v="Software Engineer"/>
    <n v="24.2"/>
    <n v="-15.3"/>
    <x v="50"/>
    <n v="6.2"/>
    <n v="6.8"/>
    <n v="6.3"/>
    <s v="Bull Market"/>
  </r>
  <r>
    <s v="T52"/>
    <x v="1"/>
    <x v="4"/>
    <x v="1"/>
    <x v="2"/>
    <s v="Oct"/>
    <x v="0"/>
    <x v="52"/>
    <n v="10.1"/>
    <x v="2"/>
    <n v="5.5"/>
    <x v="20"/>
    <n v="341"/>
    <x v="1"/>
    <n v="77.8"/>
    <s v="Cloud Engineer"/>
    <n v="87.5"/>
    <n v="13.3"/>
    <x v="51"/>
    <n v="3.5"/>
    <n v="8.5"/>
    <n v="5.8"/>
    <s v="Recession"/>
  </r>
  <r>
    <s v="T53"/>
    <x v="0"/>
    <x v="1"/>
    <x v="5"/>
    <x v="2"/>
    <s v="Sep"/>
    <x v="2"/>
    <x v="53"/>
    <n v="6.5"/>
    <x v="4"/>
    <n v="8"/>
    <x v="9"/>
    <n v="2821"/>
    <x v="0"/>
    <n v="40"/>
    <s v="Cybersecurity Analyst"/>
    <n v="-38.9"/>
    <n v="4.7"/>
    <x v="52"/>
    <n v="9.5"/>
    <n v="6.1"/>
    <n v="6.4"/>
    <s v="Stable"/>
  </r>
  <r>
    <s v="T54"/>
    <x v="6"/>
    <x v="2"/>
    <x v="2"/>
    <x v="3"/>
    <s v="May"/>
    <x v="0"/>
    <x v="54"/>
    <n v="27"/>
    <x v="2"/>
    <n v="3.1"/>
    <x v="5"/>
    <n v="437"/>
    <x v="1"/>
    <n v="46.9"/>
    <s v="DevOps Engineer"/>
    <n v="61.2"/>
    <n v="40.799999999999997"/>
    <x v="53"/>
    <n v="3.5"/>
    <n v="4.7"/>
    <n v="4"/>
    <s v="Recession"/>
  </r>
  <r>
    <s v="T55"/>
    <x v="13"/>
    <x v="5"/>
    <x v="0"/>
    <x v="2"/>
    <s v="Aug"/>
    <x v="2"/>
    <x v="55"/>
    <n v="10.8"/>
    <x v="1"/>
    <n v="2.2999999999999998"/>
    <x v="2"/>
    <n v="5654"/>
    <x v="0"/>
    <n v="75.7"/>
    <s v="Frontend Developer"/>
    <n v="2.4"/>
    <n v="5.8"/>
    <x v="54"/>
    <n v="3"/>
    <n v="5.6"/>
    <n v="5.0999999999999996"/>
    <s v="Stable"/>
  </r>
  <r>
    <s v="T56"/>
    <x v="6"/>
    <x v="2"/>
    <x v="3"/>
    <x v="1"/>
    <s v="Jun"/>
    <x v="1"/>
    <x v="56"/>
    <n v="9.4"/>
    <x v="3"/>
    <n v="7.4"/>
    <x v="32"/>
    <n v="1835"/>
    <x v="0"/>
    <n v="64.5"/>
    <s v="DevOps Engineer"/>
    <n v="-38.700000000000003"/>
    <n v="2.2000000000000002"/>
    <x v="4"/>
    <n v="5.6"/>
    <n v="7.9"/>
    <n v="7.2"/>
    <s v="Bull Market"/>
  </r>
  <r>
    <s v="T57"/>
    <x v="11"/>
    <x v="6"/>
    <x v="1"/>
    <x v="0"/>
    <s v="Mar"/>
    <x v="0"/>
    <x v="57"/>
    <n v="9"/>
    <x v="2"/>
    <n v="4.7"/>
    <x v="26"/>
    <n v="3377"/>
    <x v="0"/>
    <n v="10.5"/>
    <s v="Cloud Engineer"/>
    <n v="85.4"/>
    <n v="8.6"/>
    <x v="55"/>
    <n v="5.6"/>
    <n v="5.9"/>
    <n v="5.7"/>
    <s v="Bull Market"/>
  </r>
  <r>
    <s v="T58"/>
    <x v="7"/>
    <x v="4"/>
    <x v="2"/>
    <x v="0"/>
    <s v="Nov"/>
    <x v="0"/>
    <x v="58"/>
    <n v="4"/>
    <x v="1"/>
    <n v="12"/>
    <x v="33"/>
    <n v="5834"/>
    <x v="0"/>
    <n v="89.8"/>
    <s v="ML Engineer"/>
    <n v="17.100000000000001"/>
    <n v="11.6"/>
    <x v="56"/>
    <n v="8.1999999999999993"/>
    <n v="5.8"/>
    <n v="5.3"/>
    <s v="Bull Market"/>
  </r>
  <r>
    <s v="T59"/>
    <x v="6"/>
    <x v="1"/>
    <x v="2"/>
    <x v="2"/>
    <s v="Apr"/>
    <x v="1"/>
    <x v="59"/>
    <n v="3.4"/>
    <x v="3"/>
    <n v="1"/>
    <x v="34"/>
    <n v="4980"/>
    <x v="1"/>
    <n v="34.4"/>
    <s v="DevOps Engineer"/>
    <n v="-7.2"/>
    <n v="-1.4"/>
    <x v="57"/>
    <n v="1.5"/>
    <n v="8.4"/>
    <n v="6.4"/>
    <s v="Bull Market"/>
  </r>
  <r>
    <s v="T60"/>
    <x v="13"/>
    <x v="5"/>
    <x v="3"/>
    <x v="3"/>
    <s v="Jul"/>
    <x v="0"/>
    <x v="60"/>
    <n v="35.5"/>
    <x v="2"/>
    <n v="6.7"/>
    <x v="5"/>
    <n v="540"/>
    <x v="2"/>
    <n v="34.5"/>
    <s v="Frontend Developer"/>
    <n v="34.4"/>
    <n v="8.8000000000000007"/>
    <x v="47"/>
    <n v="4.8"/>
    <n v="4.5999999999999996"/>
    <n v="2.2999999999999998"/>
    <s v="Recession"/>
  </r>
  <r>
    <s v="T61"/>
    <x v="4"/>
    <x v="0"/>
    <x v="5"/>
    <x v="1"/>
    <s v="Aug"/>
    <x v="1"/>
    <x v="61"/>
    <n v="33.799999999999997"/>
    <x v="3"/>
    <n v="4.2"/>
    <x v="2"/>
    <n v="5933"/>
    <x v="1"/>
    <n v="37.700000000000003"/>
    <s v="ML Engineer"/>
    <n v="-28"/>
    <n v="-10.4"/>
    <x v="58"/>
    <n v="2.9"/>
    <n v="4.3"/>
    <n v="2.5"/>
    <s v="Recession"/>
  </r>
  <r>
    <s v="T62"/>
    <x v="9"/>
    <x v="0"/>
    <x v="4"/>
    <x v="1"/>
    <s v="Dec"/>
    <x v="2"/>
    <x v="62"/>
    <n v="39.200000000000003"/>
    <x v="4"/>
    <n v="8"/>
    <x v="5"/>
    <n v="8910"/>
    <x v="0"/>
    <n v="18.899999999999999"/>
    <s v="ML Engineer"/>
    <n v="73.099999999999994"/>
    <n v="42.2"/>
    <x v="59"/>
    <n v="8.1999999999999993"/>
    <n v="5.3"/>
    <n v="2.6"/>
    <s v="Recession"/>
  </r>
  <r>
    <s v="T63"/>
    <x v="0"/>
    <x v="5"/>
    <x v="0"/>
    <x v="2"/>
    <s v="Jun"/>
    <x v="2"/>
    <x v="63"/>
    <n v="1.7"/>
    <x v="1"/>
    <n v="9"/>
    <x v="35"/>
    <n v="4259"/>
    <x v="0"/>
    <n v="72.5"/>
    <s v="Product Manager"/>
    <n v="36.299999999999997"/>
    <n v="18.5"/>
    <x v="60"/>
    <n v="5.7"/>
    <n v="6.6"/>
    <n v="6"/>
    <s v="Stable"/>
  </r>
  <r>
    <s v="T64"/>
    <x v="3"/>
    <x v="1"/>
    <x v="0"/>
    <x v="0"/>
    <s v="Dec"/>
    <x v="0"/>
    <x v="64"/>
    <n v="6"/>
    <x v="1"/>
    <n v="1.2"/>
    <x v="36"/>
    <n v="5773"/>
    <x v="1"/>
    <n v="67.2"/>
    <s v="ML Engineer"/>
    <n v="25.9"/>
    <n v="34.299999999999997"/>
    <x v="61"/>
    <n v="1.2"/>
    <n v="8.6999999999999993"/>
    <n v="8.3000000000000007"/>
    <s v="Bull Market"/>
  </r>
  <r>
    <s v="T65"/>
    <x v="17"/>
    <x v="0"/>
    <x v="3"/>
    <x v="2"/>
    <s v="Jan"/>
    <x v="0"/>
    <x v="65"/>
    <n v="12.1"/>
    <x v="0"/>
    <n v="2.5"/>
    <x v="18"/>
    <n v="4957"/>
    <x v="1"/>
    <n v="81.5"/>
    <s v="Data Scientist"/>
    <n v="77.5"/>
    <n v="59.7"/>
    <x v="62"/>
    <n v="3.3"/>
    <n v="8.9"/>
    <n v="6.8"/>
    <s v="Stable"/>
  </r>
  <r>
    <s v="T66"/>
    <x v="16"/>
    <x v="2"/>
    <x v="0"/>
    <x v="3"/>
    <s v="Jan"/>
    <x v="1"/>
    <x v="66"/>
    <n v="6.6"/>
    <x v="2"/>
    <n v="5.0999999999999996"/>
    <x v="0"/>
    <n v="3358"/>
    <x v="0"/>
    <n v="43.2"/>
    <s v="Cybersecurity Analyst"/>
    <n v="-26.7"/>
    <n v="-8.1999999999999993"/>
    <x v="63"/>
    <n v="4.7"/>
    <n v="5.3"/>
    <n v="6.1"/>
    <s v="Bull Market"/>
  </r>
  <r>
    <s v="T67"/>
    <x v="13"/>
    <x v="5"/>
    <x v="0"/>
    <x v="2"/>
    <s v="Mar"/>
    <x v="0"/>
    <x v="67"/>
    <n v="3.4"/>
    <x v="4"/>
    <n v="1.5"/>
    <x v="37"/>
    <n v="1112"/>
    <x v="1"/>
    <n v="59.6"/>
    <s v="Cloud Engineer"/>
    <n v="-16"/>
    <n v="-21.4"/>
    <x v="64"/>
    <n v="2"/>
    <n v="4.5"/>
    <n v="6"/>
    <s v="Bull Market"/>
  </r>
  <r>
    <s v="T68"/>
    <x v="1"/>
    <x v="0"/>
    <x v="2"/>
    <x v="2"/>
    <s v="Feb"/>
    <x v="1"/>
    <x v="68"/>
    <n v="1.9"/>
    <x v="0"/>
    <n v="3.3"/>
    <x v="38"/>
    <n v="7663"/>
    <x v="0"/>
    <n v="77.099999999999994"/>
    <s v="Data Scientist"/>
    <n v="23.3"/>
    <n v="-19.7"/>
    <x v="65"/>
    <n v="3.2"/>
    <n v="6.6"/>
    <n v="6.6"/>
    <s v="Stable"/>
  </r>
  <r>
    <s v="T69"/>
    <x v="1"/>
    <x v="4"/>
    <x v="1"/>
    <x v="2"/>
    <s v="Sep"/>
    <x v="0"/>
    <x v="69"/>
    <n v="34"/>
    <x v="1"/>
    <n v="2.2000000000000002"/>
    <x v="5"/>
    <n v="1210"/>
    <x v="2"/>
    <n v="33.5"/>
    <s v="Frontend Developer"/>
    <n v="-0.1"/>
    <n v="22.4"/>
    <x v="47"/>
    <n v="3.5"/>
    <n v="5.6"/>
    <n v="3.9"/>
    <s v="Recession"/>
  </r>
  <r>
    <s v="T70"/>
    <x v="5"/>
    <x v="3"/>
    <x v="1"/>
    <x v="3"/>
    <s v="Jun"/>
    <x v="2"/>
    <x v="70"/>
    <n v="24.4"/>
    <x v="0"/>
    <n v="5.7"/>
    <x v="5"/>
    <n v="1905"/>
    <x v="1"/>
    <n v="61.6"/>
    <s v="Frontend Developer"/>
    <n v="-4"/>
    <n v="41.5"/>
    <x v="66"/>
    <n v="4.2"/>
    <n v="7.1"/>
    <n v="5.7"/>
    <s v="Recession"/>
  </r>
  <r>
    <s v="T71"/>
    <x v="2"/>
    <x v="0"/>
    <x v="2"/>
    <x v="1"/>
    <s v="Aug"/>
    <x v="2"/>
    <x v="71"/>
    <n v="13.8"/>
    <x v="1"/>
    <n v="7.5"/>
    <x v="18"/>
    <n v="2605"/>
    <x v="1"/>
    <n v="39.4"/>
    <s v="ML Engineer"/>
    <n v="-17.100000000000001"/>
    <n v="1.6"/>
    <x v="67"/>
    <n v="4.5"/>
    <n v="5.5"/>
    <n v="4.2"/>
    <s v="Recession"/>
  </r>
  <r>
    <s v="T72"/>
    <x v="5"/>
    <x v="3"/>
    <x v="4"/>
    <x v="1"/>
    <s v="Jun"/>
    <x v="0"/>
    <x v="72"/>
    <n v="20.9"/>
    <x v="1"/>
    <n v="7.3"/>
    <x v="9"/>
    <n v="1505"/>
    <x v="1"/>
    <n v="76.3"/>
    <s v="ML Engineer"/>
    <n v="50.8"/>
    <n v="-16"/>
    <x v="68"/>
    <n v="5.9"/>
    <n v="5.5"/>
    <n v="4"/>
    <s v="Recession"/>
  </r>
  <r>
    <s v="T73"/>
    <x v="3"/>
    <x v="1"/>
    <x v="3"/>
    <x v="1"/>
    <s v="Jul"/>
    <x v="1"/>
    <x v="73"/>
    <n v="3"/>
    <x v="2"/>
    <n v="3.2"/>
    <x v="39"/>
    <n v="3769"/>
    <x v="0"/>
    <n v="13.8"/>
    <s v="Frontend Developer"/>
    <n v="46.7"/>
    <n v="28.7"/>
    <x v="55"/>
    <n v="4.3"/>
    <n v="6.6"/>
    <n v="8.5"/>
    <s v="Bull Market"/>
  </r>
  <r>
    <s v="T74"/>
    <x v="8"/>
    <x v="4"/>
    <x v="1"/>
    <x v="2"/>
    <s v="Dec"/>
    <x v="1"/>
    <x v="74"/>
    <n v="17.600000000000001"/>
    <x v="4"/>
    <n v="4.5999999999999996"/>
    <x v="5"/>
    <n v="1224"/>
    <x v="2"/>
    <n v="14.5"/>
    <s v="Software Engineer"/>
    <n v="26.2"/>
    <n v="-10.4"/>
    <x v="69"/>
    <n v="3.7"/>
    <n v="5.0999999999999996"/>
    <n v="3"/>
    <s v="Stable"/>
  </r>
  <r>
    <s v="T75"/>
    <x v="14"/>
    <x v="1"/>
    <x v="3"/>
    <x v="3"/>
    <s v="Sep"/>
    <x v="0"/>
    <x v="75"/>
    <n v="5.4"/>
    <x v="3"/>
    <n v="3.1"/>
    <x v="40"/>
    <n v="2840"/>
    <x v="1"/>
    <n v="89.7"/>
    <s v="DevOps Engineer"/>
    <n v="79.3"/>
    <n v="4.3"/>
    <x v="70"/>
    <n v="2.2000000000000002"/>
    <n v="5.5"/>
    <n v="6.9"/>
    <s v="Stable"/>
  </r>
  <r>
    <s v="T76"/>
    <x v="4"/>
    <x v="1"/>
    <x v="0"/>
    <x v="0"/>
    <s v="Nov"/>
    <x v="1"/>
    <x v="76"/>
    <n v="30.8"/>
    <x v="3"/>
    <n v="3.8"/>
    <x v="5"/>
    <n v="367"/>
    <x v="2"/>
    <n v="28.6"/>
    <s v="Data Scientist"/>
    <n v="-19.399999999999999"/>
    <n v="-21.7"/>
    <x v="71"/>
    <n v="4.4000000000000004"/>
    <n v="5.0999999999999996"/>
    <n v="2"/>
    <s v="Recession"/>
  </r>
  <r>
    <s v="T77"/>
    <x v="0"/>
    <x v="1"/>
    <x v="2"/>
    <x v="3"/>
    <s v="Dec"/>
    <x v="1"/>
    <x v="77"/>
    <n v="8.1999999999999993"/>
    <x v="2"/>
    <n v="7.8"/>
    <x v="14"/>
    <n v="3009"/>
    <x v="1"/>
    <n v="52.8"/>
    <s v="Cybersecurity Analyst"/>
    <n v="64.099999999999994"/>
    <n v="2.2999999999999998"/>
    <x v="72"/>
    <n v="5"/>
    <n v="5.5"/>
    <n v="6.1"/>
    <s v="Bull Market"/>
  </r>
  <r>
    <s v="T78"/>
    <x v="8"/>
    <x v="4"/>
    <x v="5"/>
    <x v="1"/>
    <s v="Aug"/>
    <x v="2"/>
    <x v="78"/>
    <n v="15"/>
    <x v="3"/>
    <n v="12.7"/>
    <x v="5"/>
    <n v="3844"/>
    <x v="0"/>
    <n v="35.1"/>
    <s v="Software Engineer"/>
    <n v="3.1"/>
    <n v="-12.4"/>
    <x v="68"/>
    <n v="9.3000000000000007"/>
    <n v="6.7"/>
    <n v="3.9"/>
    <s v="Stable"/>
  </r>
  <r>
    <s v="T79"/>
    <x v="1"/>
    <x v="4"/>
    <x v="5"/>
    <x v="1"/>
    <s v="Dec"/>
    <x v="0"/>
    <x v="79"/>
    <n v="9.6999999999999993"/>
    <x v="1"/>
    <n v="2.9"/>
    <x v="41"/>
    <n v="919"/>
    <x v="1"/>
    <n v="65.7"/>
    <s v="Cybersecurity Analyst"/>
    <n v="66.2"/>
    <n v="-7.7"/>
    <x v="73"/>
    <n v="2.2000000000000002"/>
    <n v="7.2"/>
    <n v="5"/>
    <s v="Bull Market"/>
  </r>
  <r>
    <s v="T80"/>
    <x v="10"/>
    <x v="3"/>
    <x v="3"/>
    <x v="2"/>
    <s v="Nov"/>
    <x v="1"/>
    <x v="80"/>
    <n v="14.8"/>
    <x v="1"/>
    <n v="3.6"/>
    <x v="16"/>
    <n v="3626"/>
    <x v="1"/>
    <n v="88.9"/>
    <s v="Data Scientist"/>
    <n v="36.200000000000003"/>
    <n v="3.8"/>
    <x v="74"/>
    <n v="3.7"/>
    <n v="4.0999999999999996"/>
    <n v="5.6"/>
    <s v="Stable"/>
  </r>
  <r>
    <s v="T81"/>
    <x v="17"/>
    <x v="0"/>
    <x v="5"/>
    <x v="2"/>
    <s v="Mar"/>
    <x v="2"/>
    <x v="81"/>
    <n v="5.2"/>
    <x v="1"/>
    <n v="4.4000000000000004"/>
    <x v="42"/>
    <n v="5275"/>
    <x v="0"/>
    <n v="75.3"/>
    <s v="ML Engineer"/>
    <n v="8.1"/>
    <n v="15.2"/>
    <x v="5"/>
    <n v="3.8"/>
    <n v="6.4"/>
    <n v="8.3000000000000007"/>
    <s v="Bull Market"/>
  </r>
  <r>
    <s v="T82"/>
    <x v="7"/>
    <x v="4"/>
    <x v="0"/>
    <x v="3"/>
    <s v="Jan"/>
    <x v="1"/>
    <x v="82"/>
    <n v="9.8000000000000007"/>
    <x v="1"/>
    <n v="4.5999999999999996"/>
    <x v="26"/>
    <n v="1194"/>
    <x v="1"/>
    <n v="87.6"/>
    <s v="Data Scientist"/>
    <n v="79.599999999999994"/>
    <n v="39.799999999999997"/>
    <x v="75"/>
    <n v="5.8"/>
    <n v="6.2"/>
    <n v="6.6"/>
    <s v="Recession"/>
  </r>
  <r>
    <s v="T83"/>
    <x v="1"/>
    <x v="1"/>
    <x v="1"/>
    <x v="1"/>
    <s v="Jan"/>
    <x v="1"/>
    <x v="83"/>
    <n v="23.7"/>
    <x v="3"/>
    <n v="7.8"/>
    <x v="5"/>
    <n v="1595"/>
    <x v="1"/>
    <n v="75.099999999999994"/>
    <s v="DevOps Engineer"/>
    <n v="59.5"/>
    <n v="7.8"/>
    <x v="76"/>
    <n v="6.6"/>
    <n v="6.8"/>
    <n v="4.4000000000000004"/>
    <s v="Recession"/>
  </r>
  <r>
    <s v="T84"/>
    <x v="0"/>
    <x v="5"/>
    <x v="3"/>
    <x v="1"/>
    <s v="Apr"/>
    <x v="2"/>
    <x v="84"/>
    <n v="6.9"/>
    <x v="0"/>
    <n v="13.3"/>
    <x v="5"/>
    <n v="5448"/>
    <x v="3"/>
    <n v="68"/>
    <s v="Data Scientist"/>
    <n v="71.400000000000006"/>
    <n v="1.9"/>
    <x v="77"/>
    <n v="8.1999999999999993"/>
    <n v="4.7"/>
    <n v="4.5"/>
    <s v="Stable"/>
  </r>
  <r>
    <s v="T85"/>
    <x v="0"/>
    <x v="0"/>
    <x v="2"/>
    <x v="0"/>
    <s v="Jul"/>
    <x v="1"/>
    <x v="85"/>
    <n v="6.5"/>
    <x v="4"/>
    <n v="8.8000000000000007"/>
    <x v="24"/>
    <n v="7200"/>
    <x v="0"/>
    <n v="28.9"/>
    <s v="ML Engineer"/>
    <n v="12.9"/>
    <n v="-18.600000000000001"/>
    <x v="78"/>
    <n v="6.6"/>
    <n v="7.3"/>
    <n v="5.2"/>
    <s v="Stable"/>
  </r>
  <r>
    <s v="T86"/>
    <x v="1"/>
    <x v="1"/>
    <x v="1"/>
    <x v="0"/>
    <s v="Nov"/>
    <x v="2"/>
    <x v="86"/>
    <n v="13.3"/>
    <x v="4"/>
    <n v="1.7"/>
    <x v="38"/>
    <n v="665"/>
    <x v="1"/>
    <n v="54.7"/>
    <s v="Software Engineer"/>
    <n v="-31.6"/>
    <n v="-23.6"/>
    <x v="68"/>
    <n v="2.5"/>
    <n v="4.7"/>
    <n v="5.4"/>
    <s v="Recession"/>
  </r>
  <r>
    <s v="T87"/>
    <x v="7"/>
    <x v="4"/>
    <x v="3"/>
    <x v="3"/>
    <s v="Nov"/>
    <x v="0"/>
    <x v="87"/>
    <n v="4.8"/>
    <x v="0"/>
    <n v="5.0999999999999996"/>
    <x v="38"/>
    <n v="5462"/>
    <x v="0"/>
    <n v="24.7"/>
    <s v="DevOps Engineer"/>
    <n v="19"/>
    <n v="-5.8"/>
    <x v="79"/>
    <n v="3.8"/>
    <n v="4.5999999999999996"/>
    <n v="6.3"/>
    <s v="Bull Market"/>
  </r>
  <r>
    <s v="T88"/>
    <x v="18"/>
    <x v="0"/>
    <x v="2"/>
    <x v="0"/>
    <s v="Oct"/>
    <x v="2"/>
    <x v="88"/>
    <n v="4.4000000000000004"/>
    <x v="3"/>
    <n v="8"/>
    <x v="23"/>
    <n v="1989"/>
    <x v="1"/>
    <n v="71.5"/>
    <s v="Data Scientist"/>
    <n v="31.3"/>
    <n v="-23.2"/>
    <x v="80"/>
    <n v="5.2"/>
    <n v="5.7"/>
    <n v="6.2"/>
    <s v="Bull Market"/>
  </r>
  <r>
    <s v="T89"/>
    <x v="2"/>
    <x v="1"/>
    <x v="3"/>
    <x v="0"/>
    <s v="Mar"/>
    <x v="2"/>
    <x v="89"/>
    <n v="31.3"/>
    <x v="4"/>
    <n v="9.1999999999999993"/>
    <x v="43"/>
    <n v="1157"/>
    <x v="1"/>
    <n v="14.4"/>
    <s v="Cloud Engineer"/>
    <n v="24.2"/>
    <n v="-0.3"/>
    <x v="34"/>
    <n v="5.9"/>
    <n v="5.9"/>
    <n v="2.7"/>
    <s v="Recession"/>
  </r>
  <r>
    <s v="T90"/>
    <x v="10"/>
    <x v="3"/>
    <x v="5"/>
    <x v="3"/>
    <s v="May"/>
    <x v="0"/>
    <x v="90"/>
    <n v="9.6999999999999993"/>
    <x v="0"/>
    <n v="3.7"/>
    <x v="44"/>
    <n v="4032"/>
    <x v="1"/>
    <n v="23.3"/>
    <s v="Frontend Developer"/>
    <n v="81.900000000000006"/>
    <n v="4.2"/>
    <x v="81"/>
    <n v="2.7"/>
    <n v="6.3"/>
    <n v="5.6"/>
    <s v="Stable"/>
  </r>
  <r>
    <s v="T91"/>
    <x v="10"/>
    <x v="3"/>
    <x v="1"/>
    <x v="3"/>
    <s v="Sep"/>
    <x v="2"/>
    <x v="91"/>
    <n v="5.3"/>
    <x v="0"/>
    <n v="8.9"/>
    <x v="5"/>
    <n v="1416"/>
    <x v="0"/>
    <n v="67.599999999999994"/>
    <s v="DevOps Engineer"/>
    <n v="-20.100000000000001"/>
    <n v="-21.7"/>
    <x v="82"/>
    <n v="9"/>
    <n v="7"/>
    <n v="4.0999999999999996"/>
    <s v="Stable"/>
  </r>
  <r>
    <s v="T92"/>
    <x v="0"/>
    <x v="1"/>
    <x v="0"/>
    <x v="3"/>
    <s v="Apr"/>
    <x v="1"/>
    <x v="92"/>
    <n v="9.5"/>
    <x v="1"/>
    <n v="2.7"/>
    <x v="25"/>
    <n v="2733"/>
    <x v="0"/>
    <n v="32.299999999999997"/>
    <s v="Software Engineer"/>
    <n v="-25.7"/>
    <n v="24.3"/>
    <x v="83"/>
    <n v="4"/>
    <n v="6.1"/>
    <n v="6.4"/>
    <s v="Bull Market"/>
  </r>
  <r>
    <s v="T93"/>
    <x v="0"/>
    <x v="1"/>
    <x v="1"/>
    <x v="1"/>
    <s v="Jan"/>
    <x v="1"/>
    <x v="93"/>
    <n v="17.100000000000001"/>
    <x v="3"/>
    <n v="5.3"/>
    <x v="23"/>
    <n v="4881"/>
    <x v="1"/>
    <n v="51.8"/>
    <s v="DevOps Engineer"/>
    <n v="61.2"/>
    <n v="9.4"/>
    <x v="84"/>
    <n v="3.8"/>
    <n v="7.3"/>
    <n v="5.0999999999999996"/>
    <s v="Stable"/>
  </r>
  <r>
    <s v="T94"/>
    <x v="1"/>
    <x v="0"/>
    <x v="4"/>
    <x v="2"/>
    <s v="Aug"/>
    <x v="0"/>
    <x v="94"/>
    <n v="23.7"/>
    <x v="0"/>
    <n v="9.3000000000000007"/>
    <x v="28"/>
    <n v="2101"/>
    <x v="1"/>
    <n v="75.2"/>
    <s v="Data Scientist"/>
    <n v="-3.2"/>
    <n v="54.7"/>
    <x v="49"/>
    <n v="5.5"/>
    <n v="5.2"/>
    <n v="4.7"/>
    <s v="Recession"/>
  </r>
  <r>
    <s v="T95"/>
    <x v="0"/>
    <x v="1"/>
    <x v="5"/>
    <x v="1"/>
    <s v="Jun"/>
    <x v="2"/>
    <x v="95"/>
    <n v="2.8"/>
    <x v="0"/>
    <n v="12.1"/>
    <x v="5"/>
    <n v="4157"/>
    <x v="0"/>
    <n v="55.5"/>
    <s v="DevOps Engineer"/>
    <n v="19"/>
    <n v="3.4"/>
    <x v="85"/>
    <n v="9.9"/>
    <n v="8.4"/>
    <n v="6"/>
    <s v="Stable"/>
  </r>
  <r>
    <s v="T96"/>
    <x v="19"/>
    <x v="0"/>
    <x v="5"/>
    <x v="0"/>
    <s v="Jul"/>
    <x v="1"/>
    <x v="96"/>
    <n v="4.2"/>
    <x v="2"/>
    <n v="6"/>
    <x v="45"/>
    <n v="4815"/>
    <x v="0"/>
    <n v="20"/>
    <s v="ML Engineer"/>
    <n v="-30.2"/>
    <n v="-7.8"/>
    <x v="86"/>
    <n v="7.5"/>
    <n v="6.6"/>
    <n v="5.8"/>
    <s v="Stable"/>
  </r>
  <r>
    <s v="T97"/>
    <x v="15"/>
    <x v="2"/>
    <x v="1"/>
    <x v="0"/>
    <s v="Mar"/>
    <x v="1"/>
    <x v="97"/>
    <n v="4.0999999999999996"/>
    <x v="3"/>
    <n v="4.7"/>
    <x v="26"/>
    <n v="3597"/>
    <x v="1"/>
    <n v="72.2"/>
    <s v="Cloud Engineer"/>
    <n v="44.2"/>
    <n v="43.8"/>
    <x v="87"/>
    <n v="6.6"/>
    <n v="8"/>
    <n v="7.8"/>
    <s v="Stable"/>
  </r>
  <r>
    <s v="T98"/>
    <x v="4"/>
    <x v="1"/>
    <x v="5"/>
    <x v="0"/>
    <s v="Sep"/>
    <x v="2"/>
    <x v="98"/>
    <n v="0.3"/>
    <x v="2"/>
    <n v="6.1"/>
    <x v="46"/>
    <n v="1554"/>
    <x v="0"/>
    <n v="27.4"/>
    <s v="DevOps Engineer"/>
    <n v="-38.5"/>
    <n v="16.100000000000001"/>
    <x v="88"/>
    <n v="3.7"/>
    <n v="9.1"/>
    <n v="8.6"/>
    <s v="Bull Market"/>
  </r>
  <r>
    <s v="T99"/>
    <x v="15"/>
    <x v="2"/>
    <x v="5"/>
    <x v="0"/>
    <s v="Oct"/>
    <x v="1"/>
    <x v="99"/>
    <n v="17.7"/>
    <x v="1"/>
    <n v="2.2000000000000002"/>
    <x v="47"/>
    <n v="488"/>
    <x v="2"/>
    <n v="18.399999999999999"/>
    <s v="ML Engineer"/>
    <n v="62.4"/>
    <n v="-13"/>
    <x v="89"/>
    <n v="2.7"/>
    <n v="5.8"/>
    <n v="4.4000000000000004"/>
    <s v="Recession"/>
  </r>
  <r>
    <s v="T100"/>
    <x v="0"/>
    <x v="5"/>
    <x v="1"/>
    <x v="0"/>
    <s v="Dec"/>
    <x v="0"/>
    <x v="100"/>
    <n v="6.3"/>
    <x v="1"/>
    <n v="12.4"/>
    <x v="9"/>
    <n v="4132"/>
    <x v="0"/>
    <n v="34"/>
    <s v="Cybersecurity Analyst"/>
    <n v="-32.1"/>
    <n v="51.3"/>
    <x v="90"/>
    <n v="8.9"/>
    <n v="10"/>
    <n v="7.9"/>
    <s v="Bull Market"/>
  </r>
  <r>
    <s v="T101"/>
    <x v="12"/>
    <x v="5"/>
    <x v="1"/>
    <x v="3"/>
    <s v="Oct"/>
    <x v="1"/>
    <x v="101"/>
    <n v="3.6"/>
    <x v="2"/>
    <n v="10.9"/>
    <x v="17"/>
    <n v="1085"/>
    <x v="0"/>
    <n v="52.8"/>
    <s v="Cybersecurity Analyst"/>
    <n v="19.100000000000001"/>
    <n v="44.4"/>
    <x v="91"/>
    <n v="7.6"/>
    <n v="9.1999999999999993"/>
    <n v="7.8"/>
    <s v="Bull Market"/>
  </r>
  <r>
    <s v="T102"/>
    <x v="5"/>
    <x v="3"/>
    <x v="5"/>
    <x v="0"/>
    <s v="May"/>
    <x v="1"/>
    <x v="102"/>
    <n v="17.3"/>
    <x v="4"/>
    <n v="4.5"/>
    <x v="5"/>
    <n v="4167"/>
    <x v="1"/>
    <n v="21.5"/>
    <s v="Software Engineer"/>
    <n v="-42.3"/>
    <n v="24.9"/>
    <x v="54"/>
    <n v="5.6"/>
    <n v="6.4"/>
    <n v="4"/>
    <s v="Stable"/>
  </r>
  <r>
    <s v="T103"/>
    <x v="1"/>
    <x v="6"/>
    <x v="2"/>
    <x v="3"/>
    <s v="Jan"/>
    <x v="2"/>
    <x v="103"/>
    <n v="22.2"/>
    <x v="1"/>
    <n v="6.7"/>
    <x v="48"/>
    <n v="1611"/>
    <x v="1"/>
    <n v="24.2"/>
    <s v="Software Engineer"/>
    <n v="14.4"/>
    <n v="-19.100000000000001"/>
    <x v="92"/>
    <n v="4.8"/>
    <n v="5"/>
    <n v="3.8"/>
    <s v="Recession"/>
  </r>
  <r>
    <s v="T104"/>
    <x v="6"/>
    <x v="1"/>
    <x v="3"/>
    <x v="2"/>
    <s v="Sep"/>
    <x v="2"/>
    <x v="104"/>
    <n v="8.6"/>
    <x v="0"/>
    <n v="1.5"/>
    <x v="34"/>
    <n v="3415"/>
    <x v="1"/>
    <n v="66.2"/>
    <s v="Cybersecurity Analyst"/>
    <n v="14.6"/>
    <n v="-13.9"/>
    <x v="93"/>
    <n v="1.3"/>
    <n v="7.4"/>
    <n v="6.9"/>
    <s v="Stable"/>
  </r>
  <r>
    <s v="T105"/>
    <x v="1"/>
    <x v="6"/>
    <x v="0"/>
    <x v="2"/>
    <s v="Jan"/>
    <x v="1"/>
    <x v="105"/>
    <n v="2.2000000000000002"/>
    <x v="4"/>
    <n v="10"/>
    <x v="5"/>
    <n v="1308"/>
    <x v="1"/>
    <n v="86.2"/>
    <s v="Data Scientist"/>
    <n v="-24.8"/>
    <n v="20.7"/>
    <x v="52"/>
    <n v="8.4"/>
    <n v="8"/>
    <n v="5.4"/>
    <s v="Bull Market"/>
  </r>
  <r>
    <s v="T106"/>
    <x v="9"/>
    <x v="0"/>
    <x v="3"/>
    <x v="3"/>
    <s v="Aug"/>
    <x v="2"/>
    <x v="106"/>
    <n v="9.5"/>
    <x v="3"/>
    <n v="8.5"/>
    <x v="5"/>
    <n v="8169"/>
    <x v="3"/>
    <n v="63.3"/>
    <s v="Data Scientist"/>
    <n v="-43.2"/>
    <n v="21.1"/>
    <x v="94"/>
    <n v="9.6"/>
    <n v="6.9"/>
    <n v="4.8"/>
    <s v="Stable"/>
  </r>
  <r>
    <s v="T107"/>
    <x v="17"/>
    <x v="3"/>
    <x v="3"/>
    <x v="0"/>
    <s v="Jun"/>
    <x v="2"/>
    <x v="107"/>
    <n v="12.3"/>
    <x v="3"/>
    <n v="8.6"/>
    <x v="5"/>
    <n v="1374"/>
    <x v="1"/>
    <n v="39.799999999999997"/>
    <s v="Software Engineer"/>
    <n v="21"/>
    <n v="9.6"/>
    <x v="95"/>
    <n v="7.5"/>
    <n v="4.5"/>
    <n v="4.3"/>
    <s v="Stable"/>
  </r>
  <r>
    <s v="T108"/>
    <x v="1"/>
    <x v="6"/>
    <x v="5"/>
    <x v="2"/>
    <s v="Oct"/>
    <x v="1"/>
    <x v="108"/>
    <n v="9"/>
    <x v="4"/>
    <n v="6.4"/>
    <x v="5"/>
    <n v="3492"/>
    <x v="0"/>
    <n v="85.3"/>
    <s v="ML Engineer"/>
    <n v="44.7"/>
    <n v="13.5"/>
    <x v="96"/>
    <n v="9.8000000000000007"/>
    <n v="8.5"/>
    <n v="6.1"/>
    <s v="Bull Market"/>
  </r>
  <r>
    <s v="T109"/>
    <x v="8"/>
    <x v="4"/>
    <x v="2"/>
    <x v="2"/>
    <s v="Jan"/>
    <x v="0"/>
    <x v="109"/>
    <n v="29.9"/>
    <x v="3"/>
    <n v="8.5"/>
    <x v="49"/>
    <n v="288"/>
    <x v="2"/>
    <n v="16.5"/>
    <s v="Data Scientist"/>
    <n v="83.4"/>
    <n v="9.6999999999999993"/>
    <x v="97"/>
    <n v="6.2"/>
    <n v="3.1"/>
    <n v="2.5"/>
    <s v="Recession"/>
  </r>
  <r>
    <s v="T110"/>
    <x v="10"/>
    <x v="3"/>
    <x v="2"/>
    <x v="0"/>
    <s v="Apr"/>
    <x v="1"/>
    <x v="110"/>
    <n v="5.7"/>
    <x v="2"/>
    <n v="14.1"/>
    <x v="5"/>
    <n v="5314"/>
    <x v="0"/>
    <n v="24"/>
    <s v="Cloud Engineer"/>
    <n v="-24.9"/>
    <n v="40.9"/>
    <x v="98"/>
    <n v="8.4"/>
    <n v="7.6"/>
    <n v="7.6"/>
    <s v="Stable"/>
  </r>
  <r>
    <s v="T111"/>
    <x v="15"/>
    <x v="2"/>
    <x v="2"/>
    <x v="1"/>
    <s v="May"/>
    <x v="1"/>
    <x v="111"/>
    <n v="22.1"/>
    <x v="1"/>
    <n v="6"/>
    <x v="5"/>
    <n v="577"/>
    <x v="1"/>
    <n v="14.8"/>
    <s v="ML Engineer"/>
    <n v="-0.6"/>
    <n v="1.7"/>
    <x v="99"/>
    <n v="5"/>
    <n v="7"/>
    <n v="2.9"/>
    <s v="Recession"/>
  </r>
  <r>
    <s v="T112"/>
    <x v="0"/>
    <x v="5"/>
    <x v="0"/>
    <x v="2"/>
    <s v="Jul"/>
    <x v="1"/>
    <x v="112"/>
    <n v="10"/>
    <x v="4"/>
    <n v="12.8"/>
    <x v="50"/>
    <n v="1186"/>
    <x v="0"/>
    <n v="31.2"/>
    <s v="Cloud Engineer"/>
    <n v="83.1"/>
    <n v="-2.2000000000000002"/>
    <x v="100"/>
    <n v="9.1999999999999993"/>
    <n v="4.4000000000000004"/>
    <n v="5.0999999999999996"/>
    <s v="Recession"/>
  </r>
  <r>
    <s v="T113"/>
    <x v="1"/>
    <x v="4"/>
    <x v="2"/>
    <x v="1"/>
    <s v="Jan"/>
    <x v="2"/>
    <x v="113"/>
    <n v="7.1"/>
    <x v="3"/>
    <n v="6.6"/>
    <x v="43"/>
    <n v="5209"/>
    <x v="0"/>
    <n v="49.4"/>
    <s v="Software Engineer"/>
    <n v="-22.9"/>
    <n v="-1.5"/>
    <x v="101"/>
    <n v="6.3"/>
    <n v="7.2"/>
    <n v="4.9000000000000004"/>
    <s v="Stable"/>
  </r>
  <r>
    <s v="T114"/>
    <x v="9"/>
    <x v="1"/>
    <x v="5"/>
    <x v="3"/>
    <s v="Aug"/>
    <x v="0"/>
    <x v="114"/>
    <n v="13.6"/>
    <x v="2"/>
    <n v="7.8"/>
    <x v="8"/>
    <n v="1275"/>
    <x v="1"/>
    <n v="30.7"/>
    <s v="Cloud Engineer"/>
    <n v="-6.5"/>
    <n v="22.1"/>
    <x v="102"/>
    <n v="5.5"/>
    <n v="5.7"/>
    <n v="6.6"/>
    <s v="Stable"/>
  </r>
  <r>
    <s v="T115"/>
    <x v="2"/>
    <x v="2"/>
    <x v="1"/>
    <x v="1"/>
    <s v="Dec"/>
    <x v="0"/>
    <x v="53"/>
    <n v="3"/>
    <x v="0"/>
    <n v="4.3"/>
    <x v="2"/>
    <n v="5879"/>
    <x v="0"/>
    <n v="82.7"/>
    <s v="Cybersecurity Analyst"/>
    <n v="58.8"/>
    <n v="51.7"/>
    <x v="103"/>
    <n v="4.2"/>
    <n v="8.5"/>
    <n v="8.6999999999999993"/>
    <s v="Bull Market"/>
  </r>
  <r>
    <s v="T116"/>
    <x v="17"/>
    <x v="3"/>
    <x v="5"/>
    <x v="2"/>
    <s v="Feb"/>
    <x v="0"/>
    <x v="115"/>
    <n v="7.3"/>
    <x v="3"/>
    <n v="8.1"/>
    <x v="51"/>
    <n v="452"/>
    <x v="0"/>
    <n v="62.1"/>
    <s v="Frontend Developer"/>
    <n v="58.6"/>
    <n v="57.7"/>
    <x v="104"/>
    <n v="7"/>
    <n v="6.4"/>
    <n v="7"/>
    <s v="Stable"/>
  </r>
  <r>
    <s v="T117"/>
    <x v="0"/>
    <x v="5"/>
    <x v="1"/>
    <x v="2"/>
    <s v="Sep"/>
    <x v="1"/>
    <x v="116"/>
    <n v="6.6"/>
    <x v="0"/>
    <n v="5.3"/>
    <x v="52"/>
    <n v="869"/>
    <x v="1"/>
    <n v="12"/>
    <s v="Data Scientist"/>
    <n v="-14.3"/>
    <n v="9.5"/>
    <x v="105"/>
    <n v="5.3"/>
    <n v="8"/>
    <n v="5.7"/>
    <s v="Bull Market"/>
  </r>
  <r>
    <s v="T118"/>
    <x v="10"/>
    <x v="3"/>
    <x v="4"/>
    <x v="2"/>
    <s v="Aug"/>
    <x v="1"/>
    <x v="117"/>
    <n v="16.399999999999999"/>
    <x v="0"/>
    <n v="2.2999999999999998"/>
    <x v="29"/>
    <n v="2963"/>
    <x v="2"/>
    <n v="20.399999999999999"/>
    <s v="Cloud Engineer"/>
    <n v="-24.2"/>
    <n v="35"/>
    <x v="106"/>
    <n v="3.2"/>
    <n v="6.6"/>
    <n v="6.3"/>
    <s v="Stable"/>
  </r>
  <r>
    <s v="T119"/>
    <x v="0"/>
    <x v="5"/>
    <x v="5"/>
    <x v="3"/>
    <s v="Jun"/>
    <x v="2"/>
    <x v="118"/>
    <n v="5.6"/>
    <x v="1"/>
    <n v="3.9"/>
    <x v="21"/>
    <n v="3447"/>
    <x v="1"/>
    <n v="23.7"/>
    <s v="ML Engineer"/>
    <n v="32"/>
    <n v="48.3"/>
    <x v="107"/>
    <n v="2.4"/>
    <n v="10"/>
    <n v="9"/>
    <s v="Bull Market"/>
  </r>
  <r>
    <s v="T120"/>
    <x v="0"/>
    <x v="1"/>
    <x v="0"/>
    <x v="3"/>
    <s v="Jul"/>
    <x v="0"/>
    <x v="119"/>
    <n v="1.6"/>
    <x v="1"/>
    <n v="3"/>
    <x v="44"/>
    <n v="1902"/>
    <x v="0"/>
    <n v="38.4"/>
    <s v="Data Scientist"/>
    <n v="22.9"/>
    <n v="1.9"/>
    <x v="108"/>
    <n v="4.9000000000000004"/>
    <n v="8.4"/>
    <n v="7.8"/>
    <s v="Bull Market"/>
  </r>
  <r>
    <s v="T121"/>
    <x v="13"/>
    <x v="5"/>
    <x v="1"/>
    <x v="3"/>
    <s v="Sep"/>
    <x v="2"/>
    <x v="120"/>
    <n v="0.9"/>
    <x v="1"/>
    <n v="4"/>
    <x v="53"/>
    <n v="3339"/>
    <x v="0"/>
    <n v="50.6"/>
    <s v="ML Engineer"/>
    <n v="70.400000000000006"/>
    <n v="11.7"/>
    <x v="109"/>
    <n v="2.5"/>
    <n v="8"/>
    <n v="8.1"/>
    <s v="Bull Market"/>
  </r>
  <r>
    <s v="T122"/>
    <x v="16"/>
    <x v="2"/>
    <x v="2"/>
    <x v="3"/>
    <s v="Aug"/>
    <x v="1"/>
    <x v="121"/>
    <n v="7.9"/>
    <x v="1"/>
    <n v="6.4"/>
    <x v="5"/>
    <n v="1860"/>
    <x v="1"/>
    <n v="75.599999999999994"/>
    <s v="ML Engineer"/>
    <n v="28"/>
    <n v="32.6"/>
    <x v="107"/>
    <n v="7.4"/>
    <n v="9.1999999999999993"/>
    <n v="6.3"/>
    <s v="Bull Market"/>
  </r>
  <r>
    <s v="T123"/>
    <x v="0"/>
    <x v="5"/>
    <x v="3"/>
    <x v="2"/>
    <s v="Aug"/>
    <x v="1"/>
    <x v="122"/>
    <n v="33.700000000000003"/>
    <x v="2"/>
    <n v="1.3"/>
    <x v="7"/>
    <n v="1365"/>
    <x v="2"/>
    <n v="56.4"/>
    <s v="ML Engineer"/>
    <n v="78.099999999999994"/>
    <n v="4.4000000000000004"/>
    <x v="110"/>
    <n v="1.3"/>
    <n v="2.6"/>
    <n v="2.8"/>
    <s v="Recession"/>
  </r>
  <r>
    <s v="T124"/>
    <x v="0"/>
    <x v="5"/>
    <x v="2"/>
    <x v="2"/>
    <s v="Nov"/>
    <x v="0"/>
    <x v="123"/>
    <n v="8.6"/>
    <x v="2"/>
    <n v="9.5"/>
    <x v="8"/>
    <n v="373"/>
    <x v="1"/>
    <n v="55.9"/>
    <s v="Frontend Developer"/>
    <n v="30.2"/>
    <n v="37.799999999999997"/>
    <x v="111"/>
    <n v="5.7"/>
    <n v="8.5"/>
    <n v="6.7"/>
    <s v="Recession"/>
  </r>
  <r>
    <s v="T125"/>
    <x v="17"/>
    <x v="3"/>
    <x v="5"/>
    <x v="1"/>
    <s v="May"/>
    <x v="0"/>
    <x v="124"/>
    <n v="16.100000000000001"/>
    <x v="3"/>
    <n v="5.2"/>
    <x v="5"/>
    <n v="2065"/>
    <x v="1"/>
    <n v="25.3"/>
    <s v="ML Engineer"/>
    <n v="20.6"/>
    <n v="31.4"/>
    <x v="18"/>
    <n v="8.5"/>
    <n v="8.5"/>
    <n v="5.8"/>
    <s v="Stable"/>
  </r>
  <r>
    <s v="T126"/>
    <x v="13"/>
    <x v="5"/>
    <x v="5"/>
    <x v="0"/>
    <s v="Jun"/>
    <x v="2"/>
    <x v="125"/>
    <n v="6.9"/>
    <x v="0"/>
    <n v="2.2000000000000002"/>
    <x v="54"/>
    <n v="1974"/>
    <x v="1"/>
    <n v="15.3"/>
    <s v="Software Engineer"/>
    <n v="32.200000000000003"/>
    <n v="52.1"/>
    <x v="17"/>
    <n v="2.9"/>
    <n v="8.1"/>
    <n v="8.8000000000000007"/>
    <s v="Bull Market"/>
  </r>
  <r>
    <s v="T127"/>
    <x v="12"/>
    <x v="5"/>
    <x v="5"/>
    <x v="2"/>
    <s v="Jan"/>
    <x v="0"/>
    <x v="126"/>
    <n v="3.1"/>
    <x v="3"/>
    <n v="3"/>
    <x v="19"/>
    <n v="4188"/>
    <x v="0"/>
    <n v="17.600000000000001"/>
    <s v="Cloud Engineer"/>
    <n v="36.799999999999997"/>
    <n v="23.5"/>
    <x v="67"/>
    <n v="3.9"/>
    <n v="6"/>
    <n v="8.4"/>
    <s v="Stable"/>
  </r>
  <r>
    <s v="T128"/>
    <x v="1"/>
    <x v="0"/>
    <x v="5"/>
    <x v="1"/>
    <s v="Oct"/>
    <x v="1"/>
    <x v="127"/>
    <n v="9.6999999999999993"/>
    <x v="3"/>
    <n v="10.4"/>
    <x v="18"/>
    <n v="8069"/>
    <x v="3"/>
    <n v="19.8"/>
    <s v="ML Engineer"/>
    <n v="46.2"/>
    <n v="41.1"/>
    <x v="112"/>
    <n v="6.9"/>
    <n v="8"/>
    <n v="5.8"/>
    <s v="Stable"/>
  </r>
  <r>
    <s v="T129"/>
    <x v="18"/>
    <x v="0"/>
    <x v="2"/>
    <x v="0"/>
    <s v="May"/>
    <x v="2"/>
    <x v="128"/>
    <n v="34.9"/>
    <x v="1"/>
    <n v="3.2"/>
    <x v="33"/>
    <n v="8690"/>
    <x v="1"/>
    <n v="32.9"/>
    <s v="ML Engineer"/>
    <n v="42.7"/>
    <n v="-22.9"/>
    <x v="113"/>
    <n v="2.6"/>
    <n v="3.7"/>
    <n v="1.6"/>
    <s v="Recession"/>
  </r>
  <r>
    <s v="T130"/>
    <x v="12"/>
    <x v="5"/>
    <x v="0"/>
    <x v="3"/>
    <s v="Sep"/>
    <x v="1"/>
    <x v="129"/>
    <n v="16.2"/>
    <x v="4"/>
    <n v="2.2000000000000002"/>
    <x v="55"/>
    <n v="2854"/>
    <x v="1"/>
    <n v="22"/>
    <s v="ML Engineer"/>
    <n v="23.1"/>
    <n v="24.7"/>
    <x v="114"/>
    <n v="1.6"/>
    <n v="6.4"/>
    <n v="6.2"/>
    <s v="Stable"/>
  </r>
  <r>
    <s v="T131"/>
    <x v="12"/>
    <x v="5"/>
    <x v="1"/>
    <x v="0"/>
    <s v="May"/>
    <x v="0"/>
    <x v="130"/>
    <n v="22.3"/>
    <x v="3"/>
    <n v="1.4"/>
    <x v="29"/>
    <n v="1411"/>
    <x v="2"/>
    <n v="79.099999999999994"/>
    <s v="ML Engineer"/>
    <n v="-18.899999999999999"/>
    <n v="-15.1"/>
    <x v="115"/>
    <n v="1.6"/>
    <n v="4.5"/>
    <n v="3.4"/>
    <s v="Recession"/>
  </r>
  <r>
    <s v="T132"/>
    <x v="2"/>
    <x v="2"/>
    <x v="1"/>
    <x v="1"/>
    <s v="Jan"/>
    <x v="0"/>
    <x v="131"/>
    <n v="5.5"/>
    <x v="2"/>
    <n v="8.1"/>
    <x v="16"/>
    <n v="1201"/>
    <x v="1"/>
    <n v="63.3"/>
    <s v="Software Engineer"/>
    <n v="17.100000000000001"/>
    <n v="-8.6"/>
    <x v="116"/>
    <n v="6.9"/>
    <n v="4.4000000000000004"/>
    <n v="6.4"/>
    <s v="Bull Market"/>
  </r>
  <r>
    <s v="T133"/>
    <x v="8"/>
    <x v="4"/>
    <x v="0"/>
    <x v="1"/>
    <s v="Apr"/>
    <x v="0"/>
    <x v="132"/>
    <n v="2.7"/>
    <x v="3"/>
    <n v="11.4"/>
    <x v="5"/>
    <n v="3720"/>
    <x v="0"/>
    <n v="86.9"/>
    <s v="ML Engineer"/>
    <n v="89.5"/>
    <n v="46.9"/>
    <x v="117"/>
    <n v="9"/>
    <n v="6.4"/>
    <n v="7.9"/>
    <s v="Bull Market"/>
  </r>
  <r>
    <s v="T134"/>
    <x v="4"/>
    <x v="0"/>
    <x v="2"/>
    <x v="1"/>
    <s v="May"/>
    <x v="0"/>
    <x v="133"/>
    <n v="33.9"/>
    <x v="0"/>
    <n v="4.4000000000000004"/>
    <x v="15"/>
    <n v="4872"/>
    <x v="2"/>
    <n v="33.4"/>
    <s v="ML Engineer"/>
    <n v="1.2"/>
    <n v="45.7"/>
    <x v="1"/>
    <n v="3.1"/>
    <n v="6.6"/>
    <n v="3.4"/>
    <s v="Recession"/>
  </r>
  <r>
    <s v="T135"/>
    <x v="1"/>
    <x v="0"/>
    <x v="1"/>
    <x v="3"/>
    <s v="Oct"/>
    <x v="1"/>
    <x v="134"/>
    <n v="12.7"/>
    <x v="0"/>
    <n v="13.6"/>
    <x v="56"/>
    <n v="7618"/>
    <x v="3"/>
    <n v="84.6"/>
    <s v="Data Scientist"/>
    <n v="40.1"/>
    <n v="37.4"/>
    <x v="118"/>
    <n v="9.6"/>
    <n v="8"/>
    <n v="7"/>
    <s v="Recession"/>
  </r>
  <r>
    <s v="T136"/>
    <x v="2"/>
    <x v="3"/>
    <x v="4"/>
    <x v="1"/>
    <s v="Aug"/>
    <x v="1"/>
    <x v="135"/>
    <n v="36.9"/>
    <x v="4"/>
    <n v="3.8"/>
    <x v="57"/>
    <n v="193"/>
    <x v="2"/>
    <n v="14"/>
    <s v="ML Engineer"/>
    <n v="84.8"/>
    <n v="-8.9"/>
    <x v="63"/>
    <n v="3.7"/>
    <n v="2.2000000000000002"/>
    <n v="2.5"/>
    <s v="Recession"/>
  </r>
  <r>
    <s v="T137"/>
    <x v="5"/>
    <x v="3"/>
    <x v="3"/>
    <x v="3"/>
    <s v="Mar"/>
    <x v="0"/>
    <x v="136"/>
    <n v="4.4000000000000004"/>
    <x v="2"/>
    <n v="3.4"/>
    <x v="58"/>
    <n v="619"/>
    <x v="1"/>
    <n v="22.7"/>
    <s v="Software Engineer"/>
    <n v="-27.7"/>
    <n v="11.2"/>
    <x v="50"/>
    <n v="5.2"/>
    <n v="8"/>
    <n v="6.4"/>
    <s v="Bull Market"/>
  </r>
  <r>
    <s v="T138"/>
    <x v="1"/>
    <x v="1"/>
    <x v="3"/>
    <x v="2"/>
    <s v="Jan"/>
    <x v="1"/>
    <x v="137"/>
    <n v="4.5999999999999996"/>
    <x v="2"/>
    <n v="1.9"/>
    <x v="22"/>
    <n v="4740"/>
    <x v="0"/>
    <n v="15.6"/>
    <s v="Data Scientist"/>
    <n v="83.7"/>
    <n v="21"/>
    <x v="119"/>
    <n v="1.9"/>
    <n v="7.5"/>
    <n v="8.1999999999999993"/>
    <s v="Bull Market"/>
  </r>
  <r>
    <s v="T139"/>
    <x v="4"/>
    <x v="0"/>
    <x v="1"/>
    <x v="3"/>
    <s v="Nov"/>
    <x v="1"/>
    <x v="138"/>
    <n v="4.4000000000000004"/>
    <x v="2"/>
    <n v="3.5"/>
    <x v="30"/>
    <n v="4967"/>
    <x v="0"/>
    <n v="28.3"/>
    <s v="Data Scientist"/>
    <n v="-40.5"/>
    <n v="52.6"/>
    <x v="120"/>
    <n v="5.2"/>
    <n v="8.8000000000000007"/>
    <n v="7.2"/>
    <s v="Bull Market"/>
  </r>
  <r>
    <s v="T140"/>
    <x v="6"/>
    <x v="1"/>
    <x v="3"/>
    <x v="2"/>
    <s v="Jul"/>
    <x v="1"/>
    <x v="139"/>
    <n v="17.7"/>
    <x v="3"/>
    <n v="2.4"/>
    <x v="18"/>
    <n v="3918"/>
    <x v="1"/>
    <n v="85.2"/>
    <s v="Data Scientist"/>
    <n v="27.3"/>
    <n v="21.2"/>
    <x v="121"/>
    <n v="2.6"/>
    <n v="5.8"/>
    <n v="5.7"/>
    <s v="Stable"/>
  </r>
  <r>
    <s v="T141"/>
    <x v="2"/>
    <x v="2"/>
    <x v="1"/>
    <x v="3"/>
    <s v="Jul"/>
    <x v="0"/>
    <x v="140"/>
    <n v="35.200000000000003"/>
    <x v="4"/>
    <n v="2.2999999999999998"/>
    <x v="16"/>
    <n v="1893"/>
    <x v="2"/>
    <n v="42.6"/>
    <s v="Software Engineer"/>
    <n v="60.5"/>
    <n v="39.5"/>
    <x v="122"/>
    <n v="1.7"/>
    <n v="3.5"/>
    <n v="3.7"/>
    <s v="Recession"/>
  </r>
  <r>
    <s v="T142"/>
    <x v="8"/>
    <x v="4"/>
    <x v="1"/>
    <x v="2"/>
    <s v="Sep"/>
    <x v="0"/>
    <x v="141"/>
    <n v="3.5"/>
    <x v="1"/>
    <n v="8.5"/>
    <x v="25"/>
    <n v="2487"/>
    <x v="0"/>
    <n v="61.3"/>
    <s v="Cybersecurity Analyst"/>
    <n v="-22.9"/>
    <n v="7.4"/>
    <x v="123"/>
    <n v="5"/>
    <n v="7.4"/>
    <n v="7.2"/>
    <s v="Bull Market"/>
  </r>
  <r>
    <s v="T143"/>
    <x v="7"/>
    <x v="4"/>
    <x v="0"/>
    <x v="1"/>
    <s v="Sep"/>
    <x v="2"/>
    <x v="142"/>
    <n v="9.8000000000000007"/>
    <x v="3"/>
    <n v="6"/>
    <x v="36"/>
    <n v="4805"/>
    <x v="0"/>
    <n v="12.6"/>
    <s v="Product Manager"/>
    <n v="75.8"/>
    <n v="58.5"/>
    <x v="124"/>
    <n v="3.8"/>
    <n v="6.6"/>
    <n v="9.1"/>
    <s v="Bull Market"/>
  </r>
  <r>
    <s v="T144"/>
    <x v="16"/>
    <x v="2"/>
    <x v="0"/>
    <x v="3"/>
    <s v="Nov"/>
    <x v="1"/>
    <x v="143"/>
    <n v="9.1999999999999993"/>
    <x v="0"/>
    <n v="8"/>
    <x v="49"/>
    <n v="4492"/>
    <x v="0"/>
    <n v="26.9"/>
    <s v="Frontend Developer"/>
    <n v="-15.3"/>
    <n v="12.3"/>
    <x v="125"/>
    <n v="5.6"/>
    <n v="7.8"/>
    <n v="5.4"/>
    <s v="Bull Market"/>
  </r>
  <r>
    <s v="T145"/>
    <x v="5"/>
    <x v="3"/>
    <x v="3"/>
    <x v="2"/>
    <s v="Nov"/>
    <x v="0"/>
    <x v="144"/>
    <n v="4.5999999999999996"/>
    <x v="3"/>
    <n v="13"/>
    <x v="5"/>
    <n v="2395"/>
    <x v="0"/>
    <n v="57.1"/>
    <s v="Product Manager"/>
    <n v="55.6"/>
    <n v="-6.8"/>
    <x v="126"/>
    <n v="8.1999999999999993"/>
    <n v="7.5"/>
    <n v="6"/>
    <s v="Bull Market"/>
  </r>
  <r>
    <s v="T146"/>
    <x v="16"/>
    <x v="2"/>
    <x v="2"/>
    <x v="0"/>
    <s v="Oct"/>
    <x v="1"/>
    <x v="145"/>
    <n v="13.2"/>
    <x v="1"/>
    <n v="3.3"/>
    <x v="25"/>
    <n v="4993"/>
    <x v="0"/>
    <n v="58.8"/>
    <s v="Product Manager"/>
    <n v="4.9000000000000004"/>
    <n v="16.3"/>
    <x v="127"/>
    <n v="4.9000000000000004"/>
    <n v="5"/>
    <n v="5.4"/>
    <s v="Stable"/>
  </r>
  <r>
    <s v="T147"/>
    <x v="9"/>
    <x v="0"/>
    <x v="3"/>
    <x v="0"/>
    <s v="Aug"/>
    <x v="2"/>
    <x v="146"/>
    <n v="5.3"/>
    <x v="3"/>
    <n v="6.5"/>
    <x v="45"/>
    <n v="5677"/>
    <x v="0"/>
    <n v="42.2"/>
    <s v="ML Engineer"/>
    <n v="85"/>
    <n v="-14.2"/>
    <x v="128"/>
    <n v="4.3"/>
    <n v="6.1"/>
    <n v="5.7"/>
    <s v="Bull Market"/>
  </r>
  <r>
    <s v="T148"/>
    <x v="13"/>
    <x v="5"/>
    <x v="0"/>
    <x v="0"/>
    <s v="May"/>
    <x v="0"/>
    <x v="147"/>
    <n v="12.4"/>
    <x v="2"/>
    <n v="2.2000000000000002"/>
    <x v="25"/>
    <n v="2230"/>
    <x v="1"/>
    <n v="69.5"/>
    <s v="Cloud Engineer"/>
    <n v="63.4"/>
    <n v="11.7"/>
    <x v="121"/>
    <n v="1.6"/>
    <n v="6.2"/>
    <n v="6.8"/>
    <s v="Stable"/>
  </r>
  <r>
    <s v="T149"/>
    <x v="1"/>
    <x v="4"/>
    <x v="1"/>
    <x v="3"/>
    <s v="Sep"/>
    <x v="1"/>
    <x v="148"/>
    <n v="7.6"/>
    <x v="0"/>
    <n v="9.1"/>
    <x v="5"/>
    <n v="4604"/>
    <x v="0"/>
    <n v="44.9"/>
    <s v="Frontend Developer"/>
    <n v="-5.2"/>
    <n v="-23.7"/>
    <x v="30"/>
    <n v="7.7"/>
    <n v="4.8"/>
    <n v="4.4000000000000004"/>
    <s v="Bull Market"/>
  </r>
  <r>
    <s v="T150"/>
    <x v="4"/>
    <x v="1"/>
    <x v="5"/>
    <x v="0"/>
    <s v="Sep"/>
    <x v="2"/>
    <x v="149"/>
    <n v="4.4000000000000004"/>
    <x v="1"/>
    <n v="2.2000000000000002"/>
    <x v="59"/>
    <n v="4537"/>
    <x v="0"/>
    <n v="15.6"/>
    <s v="Frontend Developer"/>
    <n v="-21.7"/>
    <n v="4.3"/>
    <x v="129"/>
    <n v="2.8"/>
    <n v="5.9"/>
    <n v="7.8"/>
    <s v="Bull Market"/>
  </r>
  <r>
    <s v="T151"/>
    <x v="1"/>
    <x v="1"/>
    <x v="5"/>
    <x v="2"/>
    <s v="Jul"/>
    <x v="2"/>
    <x v="150"/>
    <n v="2.2999999999999998"/>
    <x v="1"/>
    <n v="9.8000000000000007"/>
    <x v="8"/>
    <n v="3719"/>
    <x v="0"/>
    <n v="81.8"/>
    <s v="Cybersecurity Analyst"/>
    <n v="83.7"/>
    <n v="16.2"/>
    <x v="130"/>
    <n v="7.9"/>
    <n v="5.3"/>
    <n v="7.6"/>
    <s v="Bull Market"/>
  </r>
  <r>
    <s v="T152"/>
    <x v="12"/>
    <x v="0"/>
    <x v="1"/>
    <x v="2"/>
    <s v="May"/>
    <x v="2"/>
    <x v="151"/>
    <n v="5.3"/>
    <x v="0"/>
    <n v="4.8"/>
    <x v="24"/>
    <n v="6002"/>
    <x v="0"/>
    <n v="80.5"/>
    <s v="ML Engineer"/>
    <n v="47.7"/>
    <n v="10.4"/>
    <x v="131"/>
    <n v="6.3"/>
    <n v="6.1"/>
    <n v="6.9"/>
    <s v="Bull Market"/>
  </r>
  <r>
    <s v="T153"/>
    <x v="0"/>
    <x v="5"/>
    <x v="0"/>
    <x v="1"/>
    <s v="Apr"/>
    <x v="0"/>
    <x v="152"/>
    <n v="12.2"/>
    <x v="0"/>
    <n v="5.0999999999999996"/>
    <x v="45"/>
    <n v="3736"/>
    <x v="1"/>
    <n v="40.1"/>
    <s v="DevOps Engineer"/>
    <n v="78.3"/>
    <n v="10.3"/>
    <x v="132"/>
    <n v="5.7"/>
    <n v="5.7"/>
    <n v="6.3"/>
    <s v="Stable"/>
  </r>
  <r>
    <s v="T154"/>
    <x v="8"/>
    <x v="4"/>
    <x v="0"/>
    <x v="3"/>
    <s v="Aug"/>
    <x v="2"/>
    <x v="153"/>
    <n v="24.1"/>
    <x v="3"/>
    <n v="11.5"/>
    <x v="5"/>
    <n v="1497"/>
    <x v="1"/>
    <n v="61"/>
    <s v="Product Manager"/>
    <n v="51.8"/>
    <n v="45.8"/>
    <x v="133"/>
    <n v="8.1"/>
    <n v="7.8"/>
    <n v="4.0999999999999996"/>
    <s v="Recession"/>
  </r>
  <r>
    <s v="T155"/>
    <x v="14"/>
    <x v="1"/>
    <x v="0"/>
    <x v="3"/>
    <s v="May"/>
    <x v="2"/>
    <x v="154"/>
    <n v="36.299999999999997"/>
    <x v="3"/>
    <n v="1.5"/>
    <x v="60"/>
    <n v="848"/>
    <x v="2"/>
    <n v="68.099999999999994"/>
    <s v="Data Scientist"/>
    <n v="67.3"/>
    <n v="28"/>
    <x v="51"/>
    <n v="1.3"/>
    <n v="3.8"/>
    <n v="3.7"/>
    <s v="Recession"/>
  </r>
  <r>
    <s v="T156"/>
    <x v="8"/>
    <x v="6"/>
    <x v="5"/>
    <x v="1"/>
    <s v="Nov"/>
    <x v="2"/>
    <x v="155"/>
    <n v="7.4"/>
    <x v="3"/>
    <n v="4.2"/>
    <x v="61"/>
    <n v="3342"/>
    <x v="0"/>
    <n v="48.5"/>
    <s v="Product Manager"/>
    <n v="-28.7"/>
    <n v="11.2"/>
    <x v="134"/>
    <n v="4.8"/>
    <n v="5.4"/>
    <n v="6"/>
    <s v="Bull Market"/>
  </r>
  <r>
    <s v="T157"/>
    <x v="2"/>
    <x v="1"/>
    <x v="2"/>
    <x v="3"/>
    <s v="Jan"/>
    <x v="1"/>
    <x v="156"/>
    <n v="1.5"/>
    <x v="2"/>
    <n v="4"/>
    <x v="47"/>
    <n v="3008"/>
    <x v="0"/>
    <n v="18.100000000000001"/>
    <s v="Product Manager"/>
    <n v="-18.5"/>
    <n v="-3.6"/>
    <x v="135"/>
    <n v="3.1"/>
    <n v="8.6"/>
    <n v="7.6"/>
    <s v="Stable"/>
  </r>
  <r>
    <s v="T158"/>
    <x v="4"/>
    <x v="1"/>
    <x v="2"/>
    <x v="3"/>
    <s v="Apr"/>
    <x v="0"/>
    <x v="157"/>
    <n v="34.6"/>
    <x v="1"/>
    <n v="6.9"/>
    <x v="5"/>
    <n v="1987"/>
    <x v="2"/>
    <n v="83.4"/>
    <s v="Frontend Developer"/>
    <n v="45.7"/>
    <n v="-24.6"/>
    <x v="136"/>
    <n v="8.4"/>
    <n v="1.9"/>
    <n v="1"/>
    <s v="Recession"/>
  </r>
  <r>
    <s v="T159"/>
    <x v="0"/>
    <x v="2"/>
    <x v="0"/>
    <x v="3"/>
    <s v="Mar"/>
    <x v="1"/>
    <x v="158"/>
    <n v="1.7"/>
    <x v="4"/>
    <n v="5.4"/>
    <x v="22"/>
    <n v="4998"/>
    <x v="0"/>
    <n v="35.799999999999997"/>
    <s v="ML Engineer"/>
    <n v="-34.9"/>
    <n v="55.2"/>
    <x v="137"/>
    <n v="3.5"/>
    <n v="10"/>
    <n v="9.3000000000000007"/>
    <s v="Bull Market"/>
  </r>
  <r>
    <s v="T160"/>
    <x v="2"/>
    <x v="1"/>
    <x v="0"/>
    <x v="2"/>
    <s v="Nov"/>
    <x v="1"/>
    <x v="159"/>
    <n v="4.2"/>
    <x v="3"/>
    <n v="13.7"/>
    <x v="61"/>
    <n v="5625"/>
    <x v="0"/>
    <n v="61.5"/>
    <s v="DevOps Engineer"/>
    <n v="75.599999999999994"/>
    <n v="8.1"/>
    <x v="138"/>
    <n v="9.8000000000000007"/>
    <n v="6.8"/>
    <n v="6.5"/>
    <s v="Bull Market"/>
  </r>
  <r>
    <s v="T161"/>
    <x v="17"/>
    <x v="3"/>
    <x v="5"/>
    <x v="0"/>
    <s v="Sep"/>
    <x v="1"/>
    <x v="160"/>
    <n v="5.6"/>
    <x v="0"/>
    <n v="3.3"/>
    <x v="24"/>
    <n v="5030"/>
    <x v="0"/>
    <n v="61.1"/>
    <s v="Product Manager"/>
    <n v="83.8"/>
    <n v="40.9"/>
    <x v="139"/>
    <n v="3.9"/>
    <n v="7.9"/>
    <n v="6.9"/>
    <s v="Bull Market"/>
  </r>
  <r>
    <s v="T162"/>
    <x v="12"/>
    <x v="0"/>
    <x v="0"/>
    <x v="3"/>
    <s v="Sep"/>
    <x v="1"/>
    <x v="161"/>
    <n v="14.9"/>
    <x v="3"/>
    <n v="11.9"/>
    <x v="11"/>
    <n v="9272"/>
    <x v="3"/>
    <n v="38.6"/>
    <s v="ML Engineer"/>
    <n v="51"/>
    <n v="0.1"/>
    <x v="19"/>
    <n v="9.9"/>
    <n v="7.6"/>
    <n v="5.6"/>
    <s v="Stable"/>
  </r>
  <r>
    <s v="T163"/>
    <x v="2"/>
    <x v="3"/>
    <x v="0"/>
    <x v="2"/>
    <s v="Sep"/>
    <x v="1"/>
    <x v="162"/>
    <n v="7.3"/>
    <x v="3"/>
    <n v="1.4"/>
    <x v="62"/>
    <n v="969"/>
    <x v="1"/>
    <n v="53.5"/>
    <s v="Cloud Engineer"/>
    <n v="22.1"/>
    <n v="-13.5"/>
    <x v="129"/>
    <n v="1.3"/>
    <n v="4.7"/>
    <n v="5.7"/>
    <s v="Bull Market"/>
  </r>
  <r>
    <s v="T164"/>
    <x v="16"/>
    <x v="2"/>
    <x v="4"/>
    <x v="0"/>
    <s v="Mar"/>
    <x v="1"/>
    <x v="163"/>
    <n v="18.2"/>
    <x v="1"/>
    <n v="8.1"/>
    <x v="5"/>
    <n v="1535"/>
    <x v="1"/>
    <n v="71.5"/>
    <s v="Product Manager"/>
    <n v="84.6"/>
    <n v="44.7"/>
    <x v="140"/>
    <n v="9.4"/>
    <n v="5.6"/>
    <n v="5.0999999999999996"/>
    <s v="Recession"/>
  </r>
  <r>
    <s v="T165"/>
    <x v="1"/>
    <x v="4"/>
    <x v="1"/>
    <x v="2"/>
    <s v="Mar"/>
    <x v="2"/>
    <x v="164"/>
    <n v="12.9"/>
    <x v="2"/>
    <n v="9.8000000000000007"/>
    <x v="5"/>
    <n v="853"/>
    <x v="1"/>
    <n v="57.9"/>
    <s v="ML Engineer"/>
    <n v="80.900000000000006"/>
    <n v="-18.5"/>
    <x v="129"/>
    <n v="8.5"/>
    <n v="6.2"/>
    <n v="4.7"/>
    <s v="Recession"/>
  </r>
  <r>
    <s v="T166"/>
    <x v="8"/>
    <x v="4"/>
    <x v="3"/>
    <x v="1"/>
    <s v="Apr"/>
    <x v="1"/>
    <x v="165"/>
    <n v="38.1"/>
    <x v="3"/>
    <n v="4.2"/>
    <x v="5"/>
    <n v="1697"/>
    <x v="2"/>
    <n v="35.5"/>
    <s v="Product Manager"/>
    <n v="-11.7"/>
    <n v="42.1"/>
    <x v="26"/>
    <n v="6.2"/>
    <n v="5.3"/>
    <n v="3.2"/>
    <s v="Recession"/>
  </r>
  <r>
    <s v="T167"/>
    <x v="8"/>
    <x v="6"/>
    <x v="2"/>
    <x v="3"/>
    <s v="Jun"/>
    <x v="0"/>
    <x v="166"/>
    <n v="9.4"/>
    <x v="1"/>
    <n v="9"/>
    <x v="63"/>
    <n v="2282"/>
    <x v="1"/>
    <n v="51.1"/>
    <s v="ML Engineer"/>
    <n v="-13"/>
    <n v="13.1"/>
    <x v="141"/>
    <n v="6.6"/>
    <n v="5.7"/>
    <n v="5.9"/>
    <s v="Stable"/>
  </r>
  <r>
    <s v="T168"/>
    <x v="4"/>
    <x v="1"/>
    <x v="3"/>
    <x v="3"/>
    <s v="Nov"/>
    <x v="2"/>
    <x v="167"/>
    <n v="6.3"/>
    <x v="4"/>
    <n v="7.4"/>
    <x v="48"/>
    <n v="1338"/>
    <x v="0"/>
    <n v="70.599999999999994"/>
    <s v="Product Manager"/>
    <n v="88.6"/>
    <n v="-2.7"/>
    <x v="142"/>
    <n v="8.5"/>
    <n v="7.5"/>
    <n v="5.3"/>
    <s v="Bull Market"/>
  </r>
  <r>
    <s v="T169"/>
    <x v="1"/>
    <x v="0"/>
    <x v="0"/>
    <x v="3"/>
    <s v="May"/>
    <x v="1"/>
    <x v="168"/>
    <n v="8.1"/>
    <x v="3"/>
    <n v="2.6"/>
    <x v="6"/>
    <n v="8487"/>
    <x v="0"/>
    <n v="35.5"/>
    <s v="ML Engineer"/>
    <n v="46.5"/>
    <n v="39.5"/>
    <x v="81"/>
    <n v="4"/>
    <n v="5.8"/>
    <n v="8.1999999999999993"/>
    <s v="Bull Market"/>
  </r>
  <r>
    <s v="T170"/>
    <x v="2"/>
    <x v="0"/>
    <x v="4"/>
    <x v="0"/>
    <s v="Jul"/>
    <x v="0"/>
    <x v="169"/>
    <n v="3.8"/>
    <x v="4"/>
    <n v="8.6"/>
    <x v="18"/>
    <n v="2746"/>
    <x v="0"/>
    <n v="53.7"/>
    <s v="Data Scientist"/>
    <n v="-38.200000000000003"/>
    <n v="-19.100000000000001"/>
    <x v="143"/>
    <n v="5.6"/>
    <n v="7.4"/>
    <n v="5"/>
    <s v="Stable"/>
  </r>
  <r>
    <s v="T171"/>
    <x v="17"/>
    <x v="3"/>
    <x v="2"/>
    <x v="2"/>
    <s v="Apr"/>
    <x v="1"/>
    <x v="170"/>
    <n v="8.8000000000000007"/>
    <x v="3"/>
    <n v="9.9"/>
    <x v="23"/>
    <n v="5262"/>
    <x v="0"/>
    <n v="15.6"/>
    <s v="Cloud Engineer"/>
    <n v="52.2"/>
    <n v="-17"/>
    <x v="144"/>
    <n v="6.2"/>
    <n v="4.9000000000000004"/>
    <n v="5.9"/>
    <s v="Bull Market"/>
  </r>
  <r>
    <s v="T172"/>
    <x v="7"/>
    <x v="4"/>
    <x v="4"/>
    <x v="1"/>
    <s v="Oct"/>
    <x v="2"/>
    <x v="171"/>
    <n v="12.4"/>
    <x v="1"/>
    <n v="2.6"/>
    <x v="13"/>
    <n v="1700"/>
    <x v="1"/>
    <n v="61.3"/>
    <s v="Cloud Engineer"/>
    <n v="-25.9"/>
    <n v="45.9"/>
    <x v="122"/>
    <n v="1.8"/>
    <n v="6.2"/>
    <n v="7.7"/>
    <s v="Stable"/>
  </r>
  <r>
    <s v="T173"/>
    <x v="7"/>
    <x v="4"/>
    <x v="3"/>
    <x v="3"/>
    <s v="Dec"/>
    <x v="2"/>
    <x v="172"/>
    <n v="11.4"/>
    <x v="1"/>
    <n v="6.2"/>
    <x v="29"/>
    <n v="1881"/>
    <x v="0"/>
    <n v="17.8"/>
    <s v="Frontend Developer"/>
    <n v="0.6"/>
    <n v="1.3"/>
    <x v="77"/>
    <n v="8.1"/>
    <n v="5.0999999999999996"/>
    <n v="5.9"/>
    <s v="Recession"/>
  </r>
  <r>
    <s v="T174"/>
    <x v="0"/>
    <x v="1"/>
    <x v="4"/>
    <x v="3"/>
    <s v="Jan"/>
    <x v="2"/>
    <x v="173"/>
    <n v="20.6"/>
    <x v="1"/>
    <n v="3.1"/>
    <x v="10"/>
    <n v="1625"/>
    <x v="2"/>
    <n v="51.8"/>
    <s v="Cloud Engineer"/>
    <n v="9.1"/>
    <n v="-7.4"/>
    <x v="145"/>
    <n v="2"/>
    <n v="5.2"/>
    <n v="4.8"/>
    <s v="Recession"/>
  </r>
  <r>
    <s v="T175"/>
    <x v="1"/>
    <x v="6"/>
    <x v="2"/>
    <x v="0"/>
    <s v="Nov"/>
    <x v="2"/>
    <x v="174"/>
    <n v="5.7"/>
    <x v="3"/>
    <n v="11.3"/>
    <x v="5"/>
    <n v="791"/>
    <x v="1"/>
    <n v="39.6"/>
    <s v="Data Scientist"/>
    <n v="-20.6"/>
    <n v="22"/>
    <x v="146"/>
    <n v="7.5"/>
    <n v="6"/>
    <n v="7.1"/>
    <s v="Bull Market"/>
  </r>
  <r>
    <s v="T176"/>
    <x v="16"/>
    <x v="2"/>
    <x v="5"/>
    <x v="1"/>
    <s v="Jun"/>
    <x v="1"/>
    <x v="175"/>
    <n v="38.5"/>
    <x v="4"/>
    <n v="3.1"/>
    <x v="5"/>
    <n v="129"/>
    <x v="2"/>
    <n v="80"/>
    <s v="Cybersecurity Analyst"/>
    <n v="81.7"/>
    <n v="-20.399999999999999"/>
    <x v="147"/>
    <n v="3"/>
    <n v="4"/>
    <n v="1.1000000000000001"/>
    <s v="Recession"/>
  </r>
  <r>
    <s v="T177"/>
    <x v="9"/>
    <x v="1"/>
    <x v="5"/>
    <x v="0"/>
    <s v="Feb"/>
    <x v="2"/>
    <x v="176"/>
    <n v="6.8"/>
    <x v="2"/>
    <n v="2.9"/>
    <x v="13"/>
    <n v="4337"/>
    <x v="0"/>
    <n v="48.8"/>
    <s v="Product Manager"/>
    <n v="67.7"/>
    <n v="-12.5"/>
    <x v="148"/>
    <n v="3"/>
    <n v="5.8"/>
    <n v="5.8"/>
    <s v="Bull Market"/>
  </r>
  <r>
    <s v="T178"/>
    <x v="2"/>
    <x v="5"/>
    <x v="3"/>
    <x v="1"/>
    <s v="Aug"/>
    <x v="0"/>
    <x v="177"/>
    <n v="3.3"/>
    <x v="2"/>
    <n v="5.7"/>
    <x v="51"/>
    <n v="5478"/>
    <x v="3"/>
    <n v="35.4"/>
    <s v="Cybersecurity Analyst"/>
    <n v="4.7"/>
    <n v="-20.399999999999999"/>
    <x v="40"/>
    <n v="7.2"/>
    <n v="6.9"/>
    <n v="5.6"/>
    <s v="Bull Market"/>
  </r>
  <r>
    <s v="T179"/>
    <x v="1"/>
    <x v="6"/>
    <x v="3"/>
    <x v="3"/>
    <s v="Jan"/>
    <x v="0"/>
    <x v="178"/>
    <n v="9.9"/>
    <x v="3"/>
    <n v="1.2"/>
    <x v="64"/>
    <n v="754"/>
    <x v="2"/>
    <n v="59.5"/>
    <s v="Cloud Engineer"/>
    <n v="-44.9"/>
    <n v="39.4"/>
    <x v="28"/>
    <n v="1.9"/>
    <n v="8.6"/>
    <n v="7.3"/>
    <s v="Bull Market"/>
  </r>
  <r>
    <s v="T180"/>
    <x v="8"/>
    <x v="6"/>
    <x v="4"/>
    <x v="1"/>
    <s v="Sep"/>
    <x v="2"/>
    <x v="179"/>
    <n v="9.6999999999999993"/>
    <x v="1"/>
    <n v="6.8"/>
    <x v="65"/>
    <n v="3581"/>
    <x v="0"/>
    <n v="52.1"/>
    <s v="Cloud Engineer"/>
    <n v="-10.1"/>
    <n v="-21.8"/>
    <x v="149"/>
    <n v="9.1"/>
    <n v="4.5"/>
    <n v="4"/>
    <s v="Stable"/>
  </r>
  <r>
    <s v="T181"/>
    <x v="18"/>
    <x v="0"/>
    <x v="4"/>
    <x v="0"/>
    <s v="May"/>
    <x v="1"/>
    <x v="180"/>
    <n v="37.1"/>
    <x v="3"/>
    <n v="0.9"/>
    <x v="49"/>
    <n v="5237"/>
    <x v="2"/>
    <n v="43.3"/>
    <s v="Data Scientist"/>
    <n v="38.4"/>
    <n v="-19.600000000000001"/>
    <x v="150"/>
    <n v="1.5"/>
    <n v="4"/>
    <n v="1.4"/>
    <s v="Recession"/>
  </r>
  <r>
    <s v="T182"/>
    <x v="18"/>
    <x v="0"/>
    <x v="3"/>
    <x v="3"/>
    <s v="May"/>
    <x v="0"/>
    <x v="181"/>
    <n v="1.2"/>
    <x v="1"/>
    <n v="9.1999999999999993"/>
    <x v="66"/>
    <n v="1064"/>
    <x v="0"/>
    <n v="11.5"/>
    <s v="ML Engineer"/>
    <n v="-14.4"/>
    <n v="54"/>
    <x v="151"/>
    <n v="8.6"/>
    <n v="9.6"/>
    <n v="8.1"/>
    <s v="Stable"/>
  </r>
  <r>
    <s v="T183"/>
    <x v="12"/>
    <x v="0"/>
    <x v="2"/>
    <x v="1"/>
    <s v="Jul"/>
    <x v="0"/>
    <x v="182"/>
    <n v="33.1"/>
    <x v="3"/>
    <n v="7.8"/>
    <x v="5"/>
    <n v="5721"/>
    <x v="1"/>
    <n v="33.299999999999997"/>
    <s v="Data Scientist"/>
    <n v="-12.8"/>
    <n v="49.4"/>
    <x v="33"/>
    <n v="6.1"/>
    <n v="6.4"/>
    <n v="4.0999999999999996"/>
    <s v="Recession"/>
  </r>
  <r>
    <s v="T184"/>
    <x v="19"/>
    <x v="0"/>
    <x v="1"/>
    <x v="2"/>
    <s v="Aug"/>
    <x v="1"/>
    <x v="183"/>
    <n v="9.1"/>
    <x v="3"/>
    <n v="3.3"/>
    <x v="23"/>
    <n v="8635"/>
    <x v="0"/>
    <n v="70"/>
    <s v="ML Engineer"/>
    <n v="68.3"/>
    <n v="54.2"/>
    <x v="152"/>
    <n v="3.5"/>
    <n v="9.6"/>
    <n v="8"/>
    <s v="Stable"/>
  </r>
  <r>
    <s v="T185"/>
    <x v="12"/>
    <x v="0"/>
    <x v="1"/>
    <x v="3"/>
    <s v="Jun"/>
    <x v="2"/>
    <x v="184"/>
    <n v="8.4"/>
    <x v="0"/>
    <n v="11.6"/>
    <x v="5"/>
    <n v="9938"/>
    <x v="3"/>
    <n v="31.7"/>
    <s v="Data Scientist"/>
    <n v="24.5"/>
    <n v="35.6"/>
    <x v="13"/>
    <n v="9.3000000000000007"/>
    <n v="5.7"/>
    <n v="7.1"/>
    <s v="Recession"/>
  </r>
  <r>
    <s v="T186"/>
    <x v="1"/>
    <x v="1"/>
    <x v="4"/>
    <x v="3"/>
    <s v="Aug"/>
    <x v="0"/>
    <x v="185"/>
    <n v="3.1"/>
    <x v="3"/>
    <n v="10.199999999999999"/>
    <x v="28"/>
    <n v="2188"/>
    <x v="0"/>
    <n v="67.5"/>
    <s v="ML Engineer"/>
    <n v="-39.4"/>
    <n v="24.7"/>
    <x v="153"/>
    <n v="9.3000000000000007"/>
    <n v="7.9"/>
    <n v="7.3"/>
    <s v="Bull Market"/>
  </r>
  <r>
    <s v="T187"/>
    <x v="2"/>
    <x v="3"/>
    <x v="1"/>
    <x v="0"/>
    <s v="Jan"/>
    <x v="1"/>
    <x v="186"/>
    <n v="2.5"/>
    <x v="1"/>
    <n v="6.4"/>
    <x v="5"/>
    <n v="392"/>
    <x v="1"/>
    <n v="28.6"/>
    <s v="Cloud Engineer"/>
    <n v="72.8"/>
    <n v="35.5"/>
    <x v="2"/>
    <n v="6"/>
    <n v="6.2"/>
    <n v="7.2"/>
    <s v="Bull Market"/>
  </r>
  <r>
    <s v="T188"/>
    <x v="2"/>
    <x v="1"/>
    <x v="0"/>
    <x v="2"/>
    <s v="Mar"/>
    <x v="1"/>
    <x v="187"/>
    <n v="28.3"/>
    <x v="4"/>
    <n v="6.6"/>
    <x v="5"/>
    <n v="819"/>
    <x v="1"/>
    <n v="73.099999999999994"/>
    <s v="Frontend Developer"/>
    <n v="-10.7"/>
    <n v="48.3"/>
    <x v="154"/>
    <n v="10"/>
    <n v="5"/>
    <n v="3.9"/>
    <s v="Recession"/>
  </r>
  <r>
    <s v="T189"/>
    <x v="2"/>
    <x v="2"/>
    <x v="3"/>
    <x v="1"/>
    <s v="Jul"/>
    <x v="0"/>
    <x v="188"/>
    <n v="25.7"/>
    <x v="2"/>
    <n v="9.6"/>
    <x v="5"/>
    <n v="439"/>
    <x v="1"/>
    <n v="25"/>
    <s v="Cloud Engineer"/>
    <n v="36.1"/>
    <n v="2.8"/>
    <x v="155"/>
    <n v="9.4"/>
    <n v="6.4"/>
    <n v="3.2"/>
    <s v="Recession"/>
  </r>
  <r>
    <s v="T190"/>
    <x v="1"/>
    <x v="1"/>
    <x v="0"/>
    <x v="0"/>
    <s v="Sep"/>
    <x v="0"/>
    <x v="189"/>
    <n v="3.6"/>
    <x v="0"/>
    <n v="7.8"/>
    <x v="67"/>
    <n v="4208"/>
    <x v="0"/>
    <n v="13.9"/>
    <s v="Data Scientist"/>
    <n v="36"/>
    <n v="-0.9"/>
    <x v="156"/>
    <n v="8.6999999999999993"/>
    <n v="6"/>
    <n v="5.7"/>
    <s v="Stable"/>
  </r>
  <r>
    <s v="T191"/>
    <x v="7"/>
    <x v="4"/>
    <x v="0"/>
    <x v="3"/>
    <s v="Oct"/>
    <x v="1"/>
    <x v="190"/>
    <n v="19.899999999999999"/>
    <x v="3"/>
    <n v="2.1"/>
    <x v="18"/>
    <n v="191"/>
    <x v="2"/>
    <n v="11.6"/>
    <s v="Cloud Engineer"/>
    <n v="25.2"/>
    <n v="34.200000000000003"/>
    <x v="157"/>
    <n v="3.4"/>
    <n v="5.2"/>
    <n v="4.7"/>
    <s v="Recession"/>
  </r>
  <r>
    <s v="T192"/>
    <x v="11"/>
    <x v="6"/>
    <x v="5"/>
    <x v="2"/>
    <s v="Oct"/>
    <x v="1"/>
    <x v="191"/>
    <n v="17.5"/>
    <x v="3"/>
    <n v="3.6"/>
    <x v="39"/>
    <n v="1642"/>
    <x v="2"/>
    <n v="52.5"/>
    <s v="ML Engineer"/>
    <n v="58.5"/>
    <n v="36.1"/>
    <x v="25"/>
    <n v="5.6"/>
    <n v="7.2"/>
    <n v="5.5"/>
    <s v="Recession"/>
  </r>
  <r>
    <s v="T193"/>
    <x v="4"/>
    <x v="0"/>
    <x v="2"/>
    <x v="2"/>
    <s v="Sep"/>
    <x v="1"/>
    <x v="192"/>
    <n v="1.7"/>
    <x v="3"/>
    <n v="4.5"/>
    <x v="6"/>
    <n v="6700"/>
    <x v="0"/>
    <n v="59.6"/>
    <s v="ML Engineer"/>
    <n v="54.9"/>
    <n v="35"/>
    <x v="158"/>
    <n v="3.3"/>
    <n v="8.6"/>
    <n v="8.8000000000000007"/>
    <s v="Bull Market"/>
  </r>
  <r>
    <s v="T194"/>
    <x v="4"/>
    <x v="1"/>
    <x v="1"/>
    <x v="1"/>
    <s v="Jun"/>
    <x v="1"/>
    <x v="193"/>
    <n v="26"/>
    <x v="3"/>
    <n v="1.1000000000000001"/>
    <x v="68"/>
    <n v="1829"/>
    <x v="2"/>
    <n v="23.7"/>
    <s v="DevOps Engineer"/>
    <n v="-1.7"/>
    <n v="31"/>
    <x v="14"/>
    <n v="1"/>
    <n v="5.8"/>
    <n v="4.5"/>
    <s v="Recession"/>
  </r>
  <r>
    <s v="T195"/>
    <x v="7"/>
    <x v="4"/>
    <x v="4"/>
    <x v="3"/>
    <s v="Mar"/>
    <x v="0"/>
    <x v="194"/>
    <n v="7.8"/>
    <x v="4"/>
    <n v="5.4"/>
    <x v="2"/>
    <n v="1683"/>
    <x v="1"/>
    <n v="40.299999999999997"/>
    <s v="Data Scientist"/>
    <n v="-42.3"/>
    <n v="23.4"/>
    <x v="159"/>
    <n v="4.4000000000000004"/>
    <n v="5.0999999999999996"/>
    <n v="5.8"/>
    <s v="Stable"/>
  </r>
  <r>
    <s v="T196"/>
    <x v="2"/>
    <x v="5"/>
    <x v="5"/>
    <x v="3"/>
    <s v="Sep"/>
    <x v="1"/>
    <x v="195"/>
    <n v="5.7"/>
    <x v="1"/>
    <n v="6.9"/>
    <x v="51"/>
    <n v="2264"/>
    <x v="1"/>
    <n v="80.599999999999994"/>
    <s v="Data Scientist"/>
    <n v="34.5"/>
    <n v="-13.2"/>
    <x v="160"/>
    <n v="4.9000000000000004"/>
    <n v="5.0999999999999996"/>
    <n v="5.7"/>
    <s v="Stable"/>
  </r>
  <r>
    <s v="T197"/>
    <x v="1"/>
    <x v="0"/>
    <x v="1"/>
    <x v="1"/>
    <s v="Dec"/>
    <x v="1"/>
    <x v="196"/>
    <n v="37.6"/>
    <x v="0"/>
    <n v="2.2999999999999998"/>
    <x v="60"/>
    <n v="2452"/>
    <x v="2"/>
    <n v="73.900000000000006"/>
    <s v="ML Engineer"/>
    <n v="52.9"/>
    <n v="-19.2"/>
    <x v="101"/>
    <n v="3.2"/>
    <n v="2.2000000000000002"/>
    <n v="2.6"/>
    <s v="Recession"/>
  </r>
  <r>
    <s v="T198"/>
    <x v="4"/>
    <x v="1"/>
    <x v="3"/>
    <x v="1"/>
    <s v="May"/>
    <x v="2"/>
    <x v="197"/>
    <n v="7.3"/>
    <x v="1"/>
    <n v="8.4"/>
    <x v="7"/>
    <n v="1992"/>
    <x v="1"/>
    <n v="31.1"/>
    <s v="ML Engineer"/>
    <n v="4.8"/>
    <n v="45.8"/>
    <x v="161"/>
    <n v="8.3000000000000007"/>
    <n v="8.6999999999999993"/>
    <n v="6.5"/>
    <s v="Bull Market"/>
  </r>
  <r>
    <s v="T199"/>
    <x v="0"/>
    <x v="1"/>
    <x v="1"/>
    <x v="2"/>
    <s v="Aug"/>
    <x v="0"/>
    <x v="198"/>
    <n v="5.6"/>
    <x v="3"/>
    <n v="9.9"/>
    <x v="31"/>
    <n v="636"/>
    <x v="1"/>
    <n v="32.700000000000003"/>
    <s v="Data Scientist"/>
    <n v="-38.9"/>
    <n v="-9.1999999999999993"/>
    <x v="85"/>
    <n v="7.5"/>
    <n v="8.1999999999999993"/>
    <n v="6.3"/>
    <s v="Bull Market"/>
  </r>
  <r>
    <s v="T200"/>
    <x v="0"/>
    <x v="0"/>
    <x v="5"/>
    <x v="3"/>
    <s v="Aug"/>
    <x v="1"/>
    <x v="199"/>
    <n v="28.2"/>
    <x v="1"/>
    <n v="4.0999999999999996"/>
    <x v="27"/>
    <n v="9762"/>
    <x v="0"/>
    <n v="90"/>
    <s v="Data Scientist"/>
    <n v="59.1"/>
    <n v="-24.8"/>
    <x v="162"/>
    <n v="3.3"/>
    <n v="3.1"/>
    <n v="3.1"/>
    <s v="Recession"/>
  </r>
  <r>
    <s v="T201"/>
    <x v="15"/>
    <x v="2"/>
    <x v="2"/>
    <x v="3"/>
    <s v="Nov"/>
    <x v="1"/>
    <x v="200"/>
    <n v="4.4000000000000004"/>
    <x v="4"/>
    <n v="3.8"/>
    <x v="69"/>
    <n v="4823"/>
    <x v="0"/>
    <n v="87.3"/>
    <s v="Cloud Engineer"/>
    <n v="75.099999999999994"/>
    <n v="30.3"/>
    <x v="163"/>
    <n v="5.7"/>
    <n v="9"/>
    <n v="6.5"/>
    <s v="Stable"/>
  </r>
  <r>
    <s v="T202"/>
    <x v="19"/>
    <x v="0"/>
    <x v="0"/>
    <x v="2"/>
    <s v="Mar"/>
    <x v="1"/>
    <x v="201"/>
    <n v="32.4"/>
    <x v="4"/>
    <n v="7"/>
    <x v="5"/>
    <n v="8696"/>
    <x v="0"/>
    <n v="19.3"/>
    <s v="ML Engineer"/>
    <n v="13.4"/>
    <n v="44.4"/>
    <x v="29"/>
    <n v="6"/>
    <n v="4.5999999999999996"/>
    <n v="4.4000000000000004"/>
    <s v="Recession"/>
  </r>
  <r>
    <s v="T203"/>
    <x v="2"/>
    <x v="3"/>
    <x v="1"/>
    <x v="1"/>
    <s v="Feb"/>
    <x v="0"/>
    <x v="202"/>
    <n v="2.1"/>
    <x v="3"/>
    <n v="11"/>
    <x v="9"/>
    <n v="2769"/>
    <x v="0"/>
    <n v="69.2"/>
    <s v="Frontend Developer"/>
    <n v="67.5"/>
    <n v="9.4"/>
    <x v="66"/>
    <n v="8.6"/>
    <n v="5.4"/>
    <n v="6.2"/>
    <s v="Stable"/>
  </r>
  <r>
    <s v="T204"/>
    <x v="12"/>
    <x v="0"/>
    <x v="4"/>
    <x v="2"/>
    <s v="Dec"/>
    <x v="0"/>
    <x v="203"/>
    <n v="14.9"/>
    <x v="4"/>
    <n v="4.3"/>
    <x v="67"/>
    <n v="7953"/>
    <x v="0"/>
    <n v="73.2"/>
    <s v="ML Engineer"/>
    <n v="37.200000000000003"/>
    <n v="10"/>
    <x v="45"/>
    <n v="5.8"/>
    <n v="5.8"/>
    <n v="6"/>
    <s v="Recession"/>
  </r>
  <r>
    <s v="T205"/>
    <x v="1"/>
    <x v="0"/>
    <x v="0"/>
    <x v="1"/>
    <s v="Aug"/>
    <x v="0"/>
    <x v="204"/>
    <n v="8.4"/>
    <x v="0"/>
    <n v="4.5999999999999996"/>
    <x v="70"/>
    <n v="8282"/>
    <x v="0"/>
    <n v="16.100000000000001"/>
    <s v="ML Engineer"/>
    <n v="21.8"/>
    <n v="26.8"/>
    <x v="1"/>
    <n v="3.1"/>
    <n v="8"/>
    <n v="7.5"/>
    <s v="Stable"/>
  </r>
  <r>
    <s v="T206"/>
    <x v="12"/>
    <x v="5"/>
    <x v="4"/>
    <x v="3"/>
    <s v="Jan"/>
    <x v="1"/>
    <x v="205"/>
    <n v="4.8"/>
    <x v="4"/>
    <n v="7.6"/>
    <x v="29"/>
    <n v="261"/>
    <x v="1"/>
    <n v="64.099999999999994"/>
    <s v="Data Scientist"/>
    <n v="24.2"/>
    <n v="32.4"/>
    <x v="164"/>
    <n v="6.3"/>
    <n v="6.6"/>
    <n v="7.9"/>
    <s v="Stable"/>
  </r>
  <r>
    <s v="T207"/>
    <x v="4"/>
    <x v="1"/>
    <x v="0"/>
    <x v="2"/>
    <s v="Nov"/>
    <x v="2"/>
    <x v="206"/>
    <n v="30.8"/>
    <x v="3"/>
    <n v="7.3"/>
    <x v="5"/>
    <n v="370"/>
    <x v="2"/>
    <n v="71.8"/>
    <s v="Data Scientist"/>
    <n v="58.6"/>
    <n v="38.700000000000003"/>
    <x v="36"/>
    <n v="7.3"/>
    <n v="7.2"/>
    <n v="3.3"/>
    <s v="Recession"/>
  </r>
  <r>
    <s v="T208"/>
    <x v="0"/>
    <x v="5"/>
    <x v="4"/>
    <x v="2"/>
    <s v="Mar"/>
    <x v="0"/>
    <x v="207"/>
    <n v="7.5"/>
    <x v="0"/>
    <n v="3.1"/>
    <x v="64"/>
    <n v="5807"/>
    <x v="1"/>
    <n v="71.599999999999994"/>
    <s v="ML Engineer"/>
    <n v="58.8"/>
    <n v="33.5"/>
    <x v="165"/>
    <n v="2.4"/>
    <n v="8.3000000000000007"/>
    <n v="7.4"/>
    <s v="Stable"/>
  </r>
  <r>
    <s v="T209"/>
    <x v="17"/>
    <x v="3"/>
    <x v="2"/>
    <x v="0"/>
    <s v="May"/>
    <x v="2"/>
    <x v="208"/>
    <n v="3.1"/>
    <x v="2"/>
    <n v="4"/>
    <x v="45"/>
    <n v="4870"/>
    <x v="1"/>
    <n v="89.4"/>
    <s v="Frontend Developer"/>
    <n v="-38.799999999999997"/>
    <n v="5"/>
    <x v="166"/>
    <n v="2.9"/>
    <n v="6.2"/>
    <n v="6.6"/>
    <s v="Bull Market"/>
  </r>
  <r>
    <s v="T210"/>
    <x v="18"/>
    <x v="0"/>
    <x v="5"/>
    <x v="1"/>
    <s v="Oct"/>
    <x v="0"/>
    <x v="209"/>
    <n v="14.6"/>
    <x v="3"/>
    <n v="2"/>
    <x v="71"/>
    <n v="2099"/>
    <x v="1"/>
    <n v="45.8"/>
    <s v="Data Scientist"/>
    <n v="59.7"/>
    <n v="-0.5"/>
    <x v="167"/>
    <n v="2"/>
    <n v="6.5"/>
    <n v="6"/>
    <s v="Recession"/>
  </r>
  <r>
    <s v="T211"/>
    <x v="6"/>
    <x v="1"/>
    <x v="0"/>
    <x v="0"/>
    <s v="Jun"/>
    <x v="1"/>
    <x v="210"/>
    <n v="2.6"/>
    <x v="0"/>
    <n v="3.3"/>
    <x v="46"/>
    <n v="5133"/>
    <x v="0"/>
    <n v="85.4"/>
    <s v="Data Scientist"/>
    <n v="59.2"/>
    <n v="-23.3"/>
    <x v="149"/>
    <n v="2.5"/>
    <n v="6"/>
    <n v="6"/>
    <s v="Bull Market"/>
  </r>
  <r>
    <s v="T212"/>
    <x v="19"/>
    <x v="0"/>
    <x v="3"/>
    <x v="1"/>
    <s v="Mar"/>
    <x v="2"/>
    <x v="211"/>
    <n v="3.3"/>
    <x v="3"/>
    <n v="10.1"/>
    <x v="72"/>
    <n v="9191"/>
    <x v="3"/>
    <n v="43.3"/>
    <s v="Data Scientist"/>
    <n v="-16.600000000000001"/>
    <n v="3.8"/>
    <x v="168"/>
    <n v="8.5"/>
    <n v="7.2"/>
    <n v="6.7"/>
    <s v="Bull Market"/>
  </r>
  <r>
    <s v="T213"/>
    <x v="6"/>
    <x v="1"/>
    <x v="2"/>
    <x v="1"/>
    <s v="Nov"/>
    <x v="0"/>
    <x v="212"/>
    <n v="1.1000000000000001"/>
    <x v="4"/>
    <n v="8.4"/>
    <x v="39"/>
    <n v="4707"/>
    <x v="0"/>
    <n v="40.700000000000003"/>
    <s v="ML Engineer"/>
    <n v="50.9"/>
    <n v="31.2"/>
    <x v="100"/>
    <n v="7.8"/>
    <n v="9.1999999999999993"/>
    <n v="7.4"/>
    <s v="Stable"/>
  </r>
  <r>
    <s v="T214"/>
    <x v="5"/>
    <x v="3"/>
    <x v="3"/>
    <x v="3"/>
    <s v="Mar"/>
    <x v="0"/>
    <x v="213"/>
    <n v="6.9"/>
    <x v="1"/>
    <n v="5.0999999999999996"/>
    <x v="56"/>
    <n v="5562"/>
    <x v="0"/>
    <n v="11.8"/>
    <s v="DevOps Engineer"/>
    <n v="83.8"/>
    <n v="-12.9"/>
    <x v="134"/>
    <n v="7"/>
    <n v="4.3"/>
    <n v="4.9000000000000004"/>
    <s v="Stable"/>
  </r>
  <r>
    <s v="T215"/>
    <x v="1"/>
    <x v="1"/>
    <x v="3"/>
    <x v="3"/>
    <s v="Mar"/>
    <x v="2"/>
    <x v="214"/>
    <n v="7"/>
    <x v="0"/>
    <n v="3.2"/>
    <x v="73"/>
    <n v="2121"/>
    <x v="1"/>
    <n v="16.399999999999999"/>
    <s v="Frontend Developer"/>
    <n v="34.6"/>
    <n v="33.200000000000003"/>
    <x v="169"/>
    <n v="3.6"/>
    <n v="7.2"/>
    <n v="6.6"/>
    <s v="Bull Market"/>
  </r>
  <r>
    <s v="T216"/>
    <x v="0"/>
    <x v="1"/>
    <x v="2"/>
    <x v="3"/>
    <s v="Aug"/>
    <x v="1"/>
    <x v="215"/>
    <n v="22.9"/>
    <x v="4"/>
    <n v="12.4"/>
    <x v="5"/>
    <n v="1043"/>
    <x v="1"/>
    <n v="36.6"/>
    <s v="ML Engineer"/>
    <n v="-31.7"/>
    <n v="-15"/>
    <x v="170"/>
    <n v="8.3000000000000007"/>
    <n v="6.6"/>
    <n v="3.5"/>
    <s v="Recession"/>
  </r>
  <r>
    <s v="T217"/>
    <x v="9"/>
    <x v="1"/>
    <x v="0"/>
    <x v="2"/>
    <s v="Mar"/>
    <x v="0"/>
    <x v="216"/>
    <n v="22.8"/>
    <x v="2"/>
    <n v="2.2999999999999998"/>
    <x v="63"/>
    <n v="1309"/>
    <x v="2"/>
    <n v="68.7"/>
    <s v="Frontend Developer"/>
    <n v="-6.4"/>
    <n v="48.5"/>
    <x v="171"/>
    <n v="3.5"/>
    <n v="4.8"/>
    <n v="4.9000000000000004"/>
    <s v="Recession"/>
  </r>
  <r>
    <s v="T218"/>
    <x v="1"/>
    <x v="1"/>
    <x v="4"/>
    <x v="0"/>
    <s v="Feb"/>
    <x v="0"/>
    <x v="217"/>
    <n v="17.5"/>
    <x v="1"/>
    <n v="2.5"/>
    <x v="18"/>
    <n v="3601"/>
    <x v="1"/>
    <n v="37.6"/>
    <s v="Cybersecurity Analyst"/>
    <n v="40.9"/>
    <n v="55.7"/>
    <x v="172"/>
    <n v="2.1"/>
    <n v="6.8"/>
    <n v="6.6"/>
    <s v="Stable"/>
  </r>
  <r>
    <s v="T219"/>
    <x v="1"/>
    <x v="0"/>
    <x v="3"/>
    <x v="0"/>
    <s v="Sep"/>
    <x v="2"/>
    <x v="218"/>
    <n v="10.5"/>
    <x v="2"/>
    <n v="8.9"/>
    <x v="69"/>
    <n v="2473"/>
    <x v="1"/>
    <n v="65.599999999999994"/>
    <s v="ML Engineer"/>
    <n v="-3"/>
    <n v="-14.7"/>
    <x v="173"/>
    <n v="8.6999999999999993"/>
    <n v="5.7"/>
    <n v="4.8"/>
    <s v="Stable"/>
  </r>
  <r>
    <s v="T220"/>
    <x v="0"/>
    <x v="5"/>
    <x v="4"/>
    <x v="3"/>
    <s v="May"/>
    <x v="0"/>
    <x v="219"/>
    <n v="7.8"/>
    <x v="3"/>
    <n v="6.7"/>
    <x v="74"/>
    <n v="5118"/>
    <x v="0"/>
    <n v="73.7"/>
    <s v="Cybersecurity Analyst"/>
    <n v="17.2"/>
    <n v="15.9"/>
    <x v="174"/>
    <n v="5"/>
    <n v="8.1"/>
    <n v="7.5"/>
    <s v="Stable"/>
  </r>
  <r>
    <s v="T221"/>
    <x v="13"/>
    <x v="5"/>
    <x v="3"/>
    <x v="0"/>
    <s v="Jan"/>
    <x v="0"/>
    <x v="220"/>
    <n v="1"/>
    <x v="0"/>
    <n v="7.3"/>
    <x v="5"/>
    <n v="3579"/>
    <x v="0"/>
    <n v="48.2"/>
    <s v="Cloud Engineer"/>
    <n v="-43.5"/>
    <n v="53.8"/>
    <x v="175"/>
    <n v="7"/>
    <n v="7.3"/>
    <n v="8.4"/>
    <s v="Bull Market"/>
  </r>
  <r>
    <s v="T222"/>
    <x v="0"/>
    <x v="5"/>
    <x v="2"/>
    <x v="3"/>
    <s v="Sep"/>
    <x v="1"/>
    <x v="221"/>
    <n v="5.0999999999999996"/>
    <x v="1"/>
    <n v="2.2000000000000002"/>
    <x v="21"/>
    <n v="5609"/>
    <x v="0"/>
    <n v="61.4"/>
    <s v="Data Scientist"/>
    <n v="62"/>
    <n v="-22.9"/>
    <x v="176"/>
    <n v="1.4"/>
    <n v="6.8"/>
    <n v="7.5"/>
    <s v="Stable"/>
  </r>
  <r>
    <s v="T223"/>
    <x v="2"/>
    <x v="3"/>
    <x v="3"/>
    <x v="3"/>
    <s v="Sep"/>
    <x v="0"/>
    <x v="222"/>
    <n v="5.3"/>
    <x v="0"/>
    <n v="8.6999999999999993"/>
    <x v="43"/>
    <n v="2481"/>
    <x v="0"/>
    <n v="77.900000000000006"/>
    <s v="DevOps Engineer"/>
    <n v="-19.8"/>
    <n v="-9.9"/>
    <x v="29"/>
    <n v="6.1"/>
    <n v="7.2"/>
    <n v="5.7"/>
    <s v="Stable"/>
  </r>
  <r>
    <s v="T224"/>
    <x v="0"/>
    <x v="1"/>
    <x v="3"/>
    <x v="2"/>
    <s v="Dec"/>
    <x v="1"/>
    <x v="223"/>
    <n v="39.299999999999997"/>
    <x v="0"/>
    <n v="6.9"/>
    <x v="5"/>
    <n v="1365"/>
    <x v="2"/>
    <n v="78"/>
    <s v="Data Scientist"/>
    <n v="85.7"/>
    <n v="56.1"/>
    <x v="177"/>
    <n v="4.7"/>
    <n v="7.3"/>
    <n v="4.2"/>
    <s v="Recession"/>
  </r>
  <r>
    <s v="T225"/>
    <x v="4"/>
    <x v="0"/>
    <x v="5"/>
    <x v="2"/>
    <s v="May"/>
    <x v="0"/>
    <x v="224"/>
    <n v="8.4"/>
    <x v="1"/>
    <n v="8.6"/>
    <x v="5"/>
    <n v="4190"/>
    <x v="0"/>
    <n v="50.8"/>
    <s v="ML Engineer"/>
    <n v="35.1"/>
    <n v="-5.2"/>
    <x v="85"/>
    <n v="5.7"/>
    <n v="6.5"/>
    <n v="4.5999999999999996"/>
    <s v="Stable"/>
  </r>
  <r>
    <s v="T226"/>
    <x v="18"/>
    <x v="0"/>
    <x v="3"/>
    <x v="0"/>
    <s v="Oct"/>
    <x v="0"/>
    <x v="225"/>
    <n v="4.5999999999999996"/>
    <x v="3"/>
    <n v="8.1"/>
    <x v="25"/>
    <n v="9469"/>
    <x v="3"/>
    <n v="35.200000000000003"/>
    <s v="Data Scientist"/>
    <n v="27"/>
    <n v="45"/>
    <x v="178"/>
    <n v="8"/>
    <n v="7.6"/>
    <n v="8.3000000000000007"/>
    <s v="Stable"/>
  </r>
  <r>
    <s v="T227"/>
    <x v="19"/>
    <x v="0"/>
    <x v="0"/>
    <x v="1"/>
    <s v="Sep"/>
    <x v="0"/>
    <x v="226"/>
    <n v="12.1"/>
    <x v="3"/>
    <n v="3.8"/>
    <x v="71"/>
    <n v="1241"/>
    <x v="1"/>
    <n v="62.5"/>
    <s v="Data Scientist"/>
    <n v="-10.9"/>
    <n v="2.8"/>
    <x v="179"/>
    <n v="5.2"/>
    <n v="5"/>
    <n v="6.8"/>
    <s v="Stable"/>
  </r>
  <r>
    <s v="T228"/>
    <x v="3"/>
    <x v="1"/>
    <x v="4"/>
    <x v="1"/>
    <s v="Jul"/>
    <x v="2"/>
    <x v="227"/>
    <n v="33.299999999999997"/>
    <x v="3"/>
    <n v="1.3"/>
    <x v="75"/>
    <n v="111"/>
    <x v="2"/>
    <n v="44"/>
    <s v="Cloud Engineer"/>
    <n v="-21.8"/>
    <n v="39.799999999999997"/>
    <x v="180"/>
    <n v="1.1000000000000001"/>
    <n v="6.6"/>
    <n v="4.3"/>
    <s v="Recession"/>
  </r>
  <r>
    <s v="T229"/>
    <x v="4"/>
    <x v="1"/>
    <x v="3"/>
    <x v="1"/>
    <s v="Apr"/>
    <x v="1"/>
    <x v="228"/>
    <n v="8"/>
    <x v="4"/>
    <n v="3.5"/>
    <x v="55"/>
    <n v="4571"/>
    <x v="1"/>
    <n v="69.099999999999994"/>
    <s v="ML Engineer"/>
    <n v="8.1"/>
    <n v="-19.5"/>
    <x v="78"/>
    <n v="3.4"/>
    <n v="6.9"/>
    <n v="6.7"/>
    <s v="Bull Market"/>
  </r>
  <r>
    <s v="T230"/>
    <x v="2"/>
    <x v="0"/>
    <x v="5"/>
    <x v="0"/>
    <s v="Feb"/>
    <x v="2"/>
    <x v="229"/>
    <n v="35"/>
    <x v="3"/>
    <n v="6.3"/>
    <x v="69"/>
    <n v="8057"/>
    <x v="0"/>
    <n v="76.3"/>
    <s v="Data Scientist"/>
    <n v="-1.2"/>
    <n v="-5"/>
    <x v="30"/>
    <n v="4.8"/>
    <n v="5.9"/>
    <n v="2.1"/>
    <s v="Recession"/>
  </r>
  <r>
    <s v="T231"/>
    <x v="1"/>
    <x v="4"/>
    <x v="0"/>
    <x v="1"/>
    <s v="Oct"/>
    <x v="0"/>
    <x v="230"/>
    <n v="1.5"/>
    <x v="2"/>
    <n v="7.6"/>
    <x v="65"/>
    <n v="5654"/>
    <x v="3"/>
    <n v="14"/>
    <s v="Data Scientist"/>
    <n v="44.8"/>
    <n v="27.4"/>
    <x v="181"/>
    <n v="6.1"/>
    <n v="6.9"/>
    <n v="6.8"/>
    <s v="Bull Market"/>
  </r>
  <r>
    <s v="T232"/>
    <x v="0"/>
    <x v="2"/>
    <x v="0"/>
    <x v="0"/>
    <s v="Apr"/>
    <x v="0"/>
    <x v="231"/>
    <n v="9"/>
    <x v="0"/>
    <n v="5.0999999999999996"/>
    <x v="5"/>
    <n v="2652"/>
    <x v="0"/>
    <n v="33.200000000000003"/>
    <s v="Data Scientist"/>
    <n v="37.799999999999997"/>
    <n v="20.100000000000001"/>
    <x v="182"/>
    <n v="8.1999999999999993"/>
    <n v="7.4"/>
    <n v="6.5"/>
    <s v="Stable"/>
  </r>
  <r>
    <s v="T233"/>
    <x v="0"/>
    <x v="1"/>
    <x v="4"/>
    <x v="0"/>
    <s v="May"/>
    <x v="0"/>
    <x v="232"/>
    <n v="11.1"/>
    <x v="0"/>
    <n v="3.7"/>
    <x v="54"/>
    <n v="4570"/>
    <x v="1"/>
    <n v="17.7"/>
    <s v="Frontend Developer"/>
    <n v="-33.5"/>
    <n v="7.4"/>
    <x v="183"/>
    <n v="3.8"/>
    <n v="8"/>
    <n v="5.4"/>
    <s v="Stable"/>
  </r>
  <r>
    <s v="T234"/>
    <x v="12"/>
    <x v="0"/>
    <x v="3"/>
    <x v="0"/>
    <s v="Apr"/>
    <x v="2"/>
    <x v="32"/>
    <n v="12.5"/>
    <x v="4"/>
    <n v="8.8000000000000007"/>
    <x v="5"/>
    <n v="2300"/>
    <x v="1"/>
    <n v="23.2"/>
    <s v="ML Engineer"/>
    <n v="48.6"/>
    <n v="52.9"/>
    <x v="107"/>
    <n v="6.1"/>
    <n v="6.3"/>
    <n v="5.9"/>
    <s v="Stable"/>
  </r>
  <r>
    <s v="T235"/>
    <x v="18"/>
    <x v="0"/>
    <x v="2"/>
    <x v="2"/>
    <s v="Aug"/>
    <x v="0"/>
    <x v="233"/>
    <n v="12.1"/>
    <x v="0"/>
    <n v="3.5"/>
    <x v="75"/>
    <n v="4536"/>
    <x v="0"/>
    <n v="83.7"/>
    <s v="Data Scientist"/>
    <n v="-21.7"/>
    <n v="33"/>
    <x v="184"/>
    <n v="3.2"/>
    <n v="7.4"/>
    <n v="7.1"/>
    <s v="Recession"/>
  </r>
  <r>
    <s v="T236"/>
    <x v="17"/>
    <x v="3"/>
    <x v="0"/>
    <x v="1"/>
    <s v="Nov"/>
    <x v="1"/>
    <x v="234"/>
    <n v="30.3"/>
    <x v="0"/>
    <n v="4.0999999999999996"/>
    <x v="15"/>
    <n v="633"/>
    <x v="2"/>
    <n v="84.9"/>
    <s v="DevOps Engineer"/>
    <n v="20.9"/>
    <n v="-3"/>
    <x v="185"/>
    <n v="5.6"/>
    <n v="5.4"/>
    <n v="2.4"/>
    <s v="Recession"/>
  </r>
  <r>
    <s v="T237"/>
    <x v="6"/>
    <x v="2"/>
    <x v="2"/>
    <x v="1"/>
    <s v="Mar"/>
    <x v="0"/>
    <x v="235"/>
    <n v="3.8"/>
    <x v="0"/>
    <n v="7.2"/>
    <x v="45"/>
    <n v="5132"/>
    <x v="0"/>
    <n v="59.1"/>
    <s v="Cybersecurity Analyst"/>
    <n v="-25.4"/>
    <n v="-14.7"/>
    <x v="186"/>
    <n v="6.5"/>
    <n v="4.3"/>
    <n v="5.0999999999999996"/>
    <s v="Bull Market"/>
  </r>
  <r>
    <s v="T238"/>
    <x v="2"/>
    <x v="3"/>
    <x v="1"/>
    <x v="2"/>
    <s v="Feb"/>
    <x v="1"/>
    <x v="236"/>
    <n v="1.6"/>
    <x v="4"/>
    <n v="7.6"/>
    <x v="47"/>
    <n v="3636"/>
    <x v="0"/>
    <n v="23.9"/>
    <s v="DevOps Engineer"/>
    <n v="84"/>
    <n v="10.199999999999999"/>
    <x v="53"/>
    <n v="4.5"/>
    <n v="8.5"/>
    <n v="7.3"/>
    <s v="Stable"/>
  </r>
  <r>
    <s v="T239"/>
    <x v="14"/>
    <x v="1"/>
    <x v="3"/>
    <x v="0"/>
    <s v="Jan"/>
    <x v="2"/>
    <x v="237"/>
    <n v="18.899999999999999"/>
    <x v="2"/>
    <n v="4.5"/>
    <x v="5"/>
    <n v="76"/>
    <x v="2"/>
    <n v="80.599999999999994"/>
    <s v="Software Engineer"/>
    <n v="-34.799999999999997"/>
    <n v="56.5"/>
    <x v="177"/>
    <n v="5.7"/>
    <n v="7.7"/>
    <n v="6.1"/>
    <s v="Recession"/>
  </r>
  <r>
    <s v="T240"/>
    <x v="1"/>
    <x v="6"/>
    <x v="0"/>
    <x v="2"/>
    <s v="Feb"/>
    <x v="2"/>
    <x v="238"/>
    <n v="9"/>
    <x v="0"/>
    <n v="12.9"/>
    <x v="5"/>
    <n v="1403"/>
    <x v="0"/>
    <n v="54.2"/>
    <s v="Cloud Engineer"/>
    <n v="89.5"/>
    <n v="-15.1"/>
    <x v="27"/>
    <n v="8.8000000000000007"/>
    <n v="5.8"/>
    <n v="4.4000000000000004"/>
    <s v="Bull Market"/>
  </r>
  <r>
    <s v="T241"/>
    <x v="5"/>
    <x v="3"/>
    <x v="3"/>
    <x v="2"/>
    <s v="Jan"/>
    <x v="2"/>
    <x v="239"/>
    <n v="10"/>
    <x v="3"/>
    <n v="5.4"/>
    <x v="35"/>
    <n v="4699"/>
    <x v="0"/>
    <n v="14.9"/>
    <s v="DevOps Engineer"/>
    <n v="12.5"/>
    <n v="37.1"/>
    <x v="187"/>
    <n v="9"/>
    <n v="6.3"/>
    <n v="6.5"/>
    <s v="Bull Market"/>
  </r>
  <r>
    <s v="T242"/>
    <x v="2"/>
    <x v="5"/>
    <x v="4"/>
    <x v="1"/>
    <s v="May"/>
    <x v="0"/>
    <x v="120"/>
    <n v="12.9"/>
    <x v="4"/>
    <n v="7.4"/>
    <x v="68"/>
    <n v="2852"/>
    <x v="0"/>
    <n v="70.599999999999994"/>
    <s v="Frontend Developer"/>
    <n v="-8"/>
    <n v="-3.5"/>
    <x v="188"/>
    <n v="8.6999999999999993"/>
    <n v="7.3"/>
    <n v="6"/>
    <s v="Stable"/>
  </r>
  <r>
    <s v="T243"/>
    <x v="9"/>
    <x v="1"/>
    <x v="4"/>
    <x v="0"/>
    <s v="May"/>
    <x v="0"/>
    <x v="240"/>
    <n v="0.6"/>
    <x v="0"/>
    <n v="10.199999999999999"/>
    <x v="50"/>
    <n v="1876"/>
    <x v="0"/>
    <n v="41"/>
    <s v="Frontend Developer"/>
    <n v="-15.4"/>
    <n v="37.4"/>
    <x v="189"/>
    <n v="8.1999999999999993"/>
    <n v="7.8"/>
    <n v="6.8"/>
    <s v="Bull Market"/>
  </r>
  <r>
    <s v="T244"/>
    <x v="3"/>
    <x v="1"/>
    <x v="4"/>
    <x v="2"/>
    <s v="Jul"/>
    <x v="0"/>
    <x v="241"/>
    <n v="8.6"/>
    <x v="3"/>
    <n v="4"/>
    <x v="36"/>
    <n v="1491"/>
    <x v="1"/>
    <n v="16.3"/>
    <s v="Data Scientist"/>
    <n v="-16.7"/>
    <n v="-8.1"/>
    <x v="83"/>
    <n v="3"/>
    <n v="7.1"/>
    <n v="6.8"/>
    <s v="Bull Market"/>
  </r>
  <r>
    <s v="T245"/>
    <x v="9"/>
    <x v="0"/>
    <x v="4"/>
    <x v="1"/>
    <s v="Feb"/>
    <x v="1"/>
    <x v="242"/>
    <n v="8.5"/>
    <x v="4"/>
    <n v="10.4"/>
    <x v="2"/>
    <n v="7013"/>
    <x v="3"/>
    <n v="78.3"/>
    <s v="ML Engineer"/>
    <n v="-36.299999999999997"/>
    <n v="27.8"/>
    <x v="190"/>
    <n v="6.4"/>
    <n v="7.4"/>
    <n v="7.4"/>
    <s v="Bull Market"/>
  </r>
  <r>
    <s v="T246"/>
    <x v="2"/>
    <x v="1"/>
    <x v="3"/>
    <x v="1"/>
    <s v="Jul"/>
    <x v="0"/>
    <x v="243"/>
    <n v="17.3"/>
    <x v="2"/>
    <n v="7.6"/>
    <x v="5"/>
    <n v="433"/>
    <x v="1"/>
    <n v="61.1"/>
    <s v="Product Manager"/>
    <n v="43.1"/>
    <n v="52.5"/>
    <x v="98"/>
    <n v="8.9"/>
    <n v="8.5"/>
    <n v="5.5"/>
    <s v="Recession"/>
  </r>
  <r>
    <s v="T247"/>
    <x v="11"/>
    <x v="6"/>
    <x v="1"/>
    <x v="3"/>
    <s v="Aug"/>
    <x v="1"/>
    <x v="244"/>
    <n v="9.1"/>
    <x v="1"/>
    <n v="13.2"/>
    <x v="68"/>
    <n v="2521"/>
    <x v="1"/>
    <n v="78.599999999999994"/>
    <s v="Frontend Developer"/>
    <n v="63.8"/>
    <n v="-9.8000000000000007"/>
    <x v="191"/>
    <n v="8.6"/>
    <n v="7.7"/>
    <n v="5.2"/>
    <s v="Stable"/>
  </r>
  <r>
    <s v="T248"/>
    <x v="8"/>
    <x v="4"/>
    <x v="2"/>
    <x v="2"/>
    <s v="Oct"/>
    <x v="0"/>
    <x v="245"/>
    <n v="5.5"/>
    <x v="3"/>
    <n v="10.6"/>
    <x v="72"/>
    <n v="1558"/>
    <x v="0"/>
    <n v="32.4"/>
    <s v="Product Manager"/>
    <n v="47.7"/>
    <n v="14"/>
    <x v="39"/>
    <n v="9.4"/>
    <n v="7.8"/>
    <n v="7.5"/>
    <s v="Bull Market"/>
  </r>
  <r>
    <s v="T249"/>
    <x v="0"/>
    <x v="5"/>
    <x v="3"/>
    <x v="2"/>
    <s v="Apr"/>
    <x v="0"/>
    <x v="246"/>
    <n v="12"/>
    <x v="0"/>
    <n v="5.0999999999999996"/>
    <x v="15"/>
    <n v="3092"/>
    <x v="0"/>
    <n v="43.7"/>
    <s v="Product Manager"/>
    <n v="-42.4"/>
    <n v="-15.5"/>
    <x v="51"/>
    <n v="8.5"/>
    <n v="4.7"/>
    <n v="5.5"/>
    <s v="Stable"/>
  </r>
  <r>
    <s v="T250"/>
    <x v="1"/>
    <x v="6"/>
    <x v="3"/>
    <x v="3"/>
    <s v="Feb"/>
    <x v="0"/>
    <x v="247"/>
    <n v="10.9"/>
    <x v="4"/>
    <n v="7"/>
    <x v="51"/>
    <n v="1657"/>
    <x v="0"/>
    <n v="12.7"/>
    <s v="Product Manager"/>
    <n v="71.8"/>
    <n v="24.3"/>
    <x v="127"/>
    <n v="5.2"/>
    <n v="5.7"/>
    <n v="5.5"/>
    <s v="Recession"/>
  </r>
  <r>
    <s v="T251"/>
    <x v="8"/>
    <x v="6"/>
    <x v="4"/>
    <x v="0"/>
    <s v="Sep"/>
    <x v="2"/>
    <x v="248"/>
    <n v="18.2"/>
    <x v="0"/>
    <n v="5.9"/>
    <x v="45"/>
    <n v="560"/>
    <x v="2"/>
    <n v="34.200000000000003"/>
    <s v="DevOps Engineer"/>
    <n v="-11"/>
    <n v="6.9"/>
    <x v="29"/>
    <n v="3.5"/>
    <n v="7.1"/>
    <n v="4.9000000000000004"/>
    <s v="Recession"/>
  </r>
  <r>
    <s v="T252"/>
    <x v="2"/>
    <x v="1"/>
    <x v="3"/>
    <x v="0"/>
    <s v="Feb"/>
    <x v="2"/>
    <x v="249"/>
    <n v="3.4"/>
    <x v="3"/>
    <n v="10.3"/>
    <x v="35"/>
    <n v="2715"/>
    <x v="0"/>
    <n v="56.7"/>
    <s v="ML Engineer"/>
    <n v="-2.2999999999999998"/>
    <n v="16.100000000000001"/>
    <x v="158"/>
    <n v="8.1999999999999993"/>
    <n v="9"/>
    <n v="6"/>
    <s v="Stable"/>
  </r>
  <r>
    <s v="T253"/>
    <x v="1"/>
    <x v="0"/>
    <x v="2"/>
    <x v="0"/>
    <s v="Jul"/>
    <x v="1"/>
    <x v="250"/>
    <n v="5.0999999999999996"/>
    <x v="1"/>
    <n v="4.7"/>
    <x v="5"/>
    <n v="4685"/>
    <x v="0"/>
    <n v="49.3"/>
    <s v="ML Engineer"/>
    <n v="-25"/>
    <n v="7.1"/>
    <x v="188"/>
    <n v="7.2"/>
    <n v="5.7"/>
    <n v="5.5"/>
    <s v="Stable"/>
  </r>
  <r>
    <s v="T254"/>
    <x v="17"/>
    <x v="3"/>
    <x v="0"/>
    <x v="1"/>
    <s v="Nov"/>
    <x v="0"/>
    <x v="251"/>
    <n v="31.9"/>
    <x v="2"/>
    <n v="4.3"/>
    <x v="5"/>
    <n v="1511"/>
    <x v="2"/>
    <n v="19.100000000000001"/>
    <s v="Software Engineer"/>
    <n v="70.2"/>
    <n v="25"/>
    <x v="192"/>
    <n v="6"/>
    <n v="6.4"/>
    <n v="3.9"/>
    <s v="Recession"/>
  </r>
  <r>
    <s v="T255"/>
    <x v="11"/>
    <x v="6"/>
    <x v="4"/>
    <x v="0"/>
    <s v="Sep"/>
    <x v="1"/>
    <x v="252"/>
    <n v="28.2"/>
    <x v="0"/>
    <n v="6.9"/>
    <x v="5"/>
    <n v="1872"/>
    <x v="1"/>
    <n v="41.1"/>
    <s v="Frontend Developer"/>
    <n v="-35.1"/>
    <n v="48.5"/>
    <x v="37"/>
    <n v="10"/>
    <n v="6.5"/>
    <n v="5.0999999999999996"/>
    <s v="Recession"/>
  </r>
  <r>
    <s v="T256"/>
    <x v="11"/>
    <x v="6"/>
    <x v="5"/>
    <x v="1"/>
    <s v="May"/>
    <x v="2"/>
    <x v="253"/>
    <n v="2.8"/>
    <x v="3"/>
    <n v="1"/>
    <x v="19"/>
    <n v="4353"/>
    <x v="1"/>
    <n v="20"/>
    <s v="Cybersecurity Analyst"/>
    <n v="66"/>
    <n v="53.4"/>
    <x v="193"/>
    <n v="1.3"/>
    <n v="7.2"/>
    <n v="8.9"/>
    <s v="Bull Market"/>
  </r>
  <r>
    <s v="T257"/>
    <x v="4"/>
    <x v="1"/>
    <x v="4"/>
    <x v="2"/>
    <s v="Mar"/>
    <x v="0"/>
    <x v="254"/>
    <n v="5.6"/>
    <x v="3"/>
    <n v="6.6"/>
    <x v="76"/>
    <n v="2463"/>
    <x v="0"/>
    <n v="77.099999999999994"/>
    <s v="DevOps Engineer"/>
    <n v="5.9"/>
    <n v="53.4"/>
    <x v="95"/>
    <n v="6.4"/>
    <n v="9.6"/>
    <n v="7.8"/>
    <s v="Stable"/>
  </r>
  <r>
    <s v="T258"/>
    <x v="17"/>
    <x v="3"/>
    <x v="3"/>
    <x v="0"/>
    <s v="Mar"/>
    <x v="0"/>
    <x v="255"/>
    <n v="21.3"/>
    <x v="0"/>
    <n v="3.8"/>
    <x v="20"/>
    <n v="720"/>
    <x v="2"/>
    <n v="57.3"/>
    <s v="Data Scientist"/>
    <n v="75.7"/>
    <n v="-19"/>
    <x v="99"/>
    <n v="2.2999999999999998"/>
    <n v="5.2"/>
    <n v="3.6"/>
    <s v="Recession"/>
  </r>
  <r>
    <s v="T259"/>
    <x v="6"/>
    <x v="1"/>
    <x v="3"/>
    <x v="3"/>
    <s v="Jul"/>
    <x v="2"/>
    <x v="256"/>
    <n v="9"/>
    <x v="0"/>
    <n v="1.6"/>
    <x v="77"/>
    <n v="756"/>
    <x v="1"/>
    <n v="43.9"/>
    <s v="Cybersecurity Analyst"/>
    <n v="22.2"/>
    <n v="8.9"/>
    <x v="9"/>
    <n v="1.9"/>
    <n v="4.8"/>
    <n v="6.2"/>
    <s v="Recession"/>
  </r>
  <r>
    <s v="T260"/>
    <x v="0"/>
    <x v="0"/>
    <x v="1"/>
    <x v="1"/>
    <s v="Mar"/>
    <x v="2"/>
    <x v="257"/>
    <n v="4.4000000000000004"/>
    <x v="0"/>
    <n v="4.7"/>
    <x v="68"/>
    <n v="7220"/>
    <x v="3"/>
    <n v="50.1"/>
    <s v="ML Engineer"/>
    <n v="67.2"/>
    <n v="52.5"/>
    <x v="194"/>
    <n v="6.9"/>
    <n v="9.3000000000000007"/>
    <n v="7.4"/>
    <s v="Stable"/>
  </r>
  <r>
    <s v="T261"/>
    <x v="0"/>
    <x v="0"/>
    <x v="4"/>
    <x v="1"/>
    <s v="Aug"/>
    <x v="0"/>
    <x v="258"/>
    <n v="37.9"/>
    <x v="2"/>
    <n v="1.9"/>
    <x v="5"/>
    <n v="5231"/>
    <x v="2"/>
    <n v="31.2"/>
    <s v="ML Engineer"/>
    <n v="29.1"/>
    <n v="-8"/>
    <x v="195"/>
    <n v="2.7"/>
    <n v="4"/>
    <n v="1.9"/>
    <s v="Recession"/>
  </r>
  <r>
    <s v="T262"/>
    <x v="12"/>
    <x v="0"/>
    <x v="2"/>
    <x v="3"/>
    <s v="Sep"/>
    <x v="2"/>
    <x v="259"/>
    <n v="17.7"/>
    <x v="0"/>
    <n v="10"/>
    <x v="5"/>
    <n v="5723"/>
    <x v="0"/>
    <n v="54"/>
    <s v="Data Scientist"/>
    <n v="-4.5"/>
    <n v="-9.5"/>
    <x v="128"/>
    <n v="6.9"/>
    <n v="4.3"/>
    <n v="4"/>
    <s v="Stable"/>
  </r>
  <r>
    <s v="T263"/>
    <x v="19"/>
    <x v="0"/>
    <x v="3"/>
    <x v="1"/>
    <s v="Sep"/>
    <x v="0"/>
    <x v="260"/>
    <n v="6.1"/>
    <x v="0"/>
    <n v="2.1"/>
    <x v="78"/>
    <n v="8378"/>
    <x v="0"/>
    <n v="60.4"/>
    <s v="Data Scientist"/>
    <n v="39.9"/>
    <n v="-12.5"/>
    <x v="51"/>
    <n v="3.5"/>
    <n v="7.1"/>
    <n v="5.5"/>
    <s v="Bull Market"/>
  </r>
  <r>
    <s v="T264"/>
    <x v="1"/>
    <x v="6"/>
    <x v="5"/>
    <x v="2"/>
    <s v="Mar"/>
    <x v="0"/>
    <x v="261"/>
    <n v="32.200000000000003"/>
    <x v="2"/>
    <n v="2.9"/>
    <x v="50"/>
    <n v="1307"/>
    <x v="2"/>
    <n v="63.3"/>
    <s v="Data Scientist"/>
    <n v="46"/>
    <n v="7.9"/>
    <x v="196"/>
    <n v="1.9"/>
    <n v="6.3"/>
    <n v="2.8"/>
    <s v="Recession"/>
  </r>
  <r>
    <s v="T265"/>
    <x v="2"/>
    <x v="3"/>
    <x v="4"/>
    <x v="3"/>
    <s v="Jan"/>
    <x v="1"/>
    <x v="262"/>
    <n v="34"/>
    <x v="4"/>
    <n v="3.9"/>
    <x v="51"/>
    <n v="511"/>
    <x v="2"/>
    <n v="28.7"/>
    <s v="DevOps Engineer"/>
    <n v="-15"/>
    <n v="-12.5"/>
    <x v="197"/>
    <n v="5.5"/>
    <n v="5.8"/>
    <n v="2"/>
    <s v="Recession"/>
  </r>
  <r>
    <s v="T266"/>
    <x v="6"/>
    <x v="2"/>
    <x v="0"/>
    <x v="2"/>
    <s v="Nov"/>
    <x v="0"/>
    <x v="263"/>
    <n v="8.8000000000000007"/>
    <x v="0"/>
    <n v="6.5"/>
    <x v="25"/>
    <n v="5118"/>
    <x v="1"/>
    <n v="86.6"/>
    <s v="Data Scientist"/>
    <n v="74"/>
    <n v="51"/>
    <x v="198"/>
    <n v="4.2"/>
    <n v="6.4"/>
    <n v="7.6"/>
    <s v="Stable"/>
  </r>
  <r>
    <s v="T267"/>
    <x v="2"/>
    <x v="1"/>
    <x v="0"/>
    <x v="3"/>
    <s v="Apr"/>
    <x v="1"/>
    <x v="264"/>
    <n v="2.7"/>
    <x v="2"/>
    <n v="2.1"/>
    <x v="72"/>
    <n v="4576"/>
    <x v="0"/>
    <n v="44"/>
    <s v="Cybersecurity Analyst"/>
    <n v="13"/>
    <n v="20.399999999999999"/>
    <x v="112"/>
    <n v="3.2"/>
    <n v="6.6"/>
    <n v="7.1"/>
    <s v="Stable"/>
  </r>
  <r>
    <s v="T268"/>
    <x v="17"/>
    <x v="3"/>
    <x v="4"/>
    <x v="3"/>
    <s v="Sep"/>
    <x v="2"/>
    <x v="265"/>
    <n v="8.8000000000000007"/>
    <x v="3"/>
    <n v="6.6"/>
    <x v="23"/>
    <n v="3464"/>
    <x v="0"/>
    <n v="30.8"/>
    <s v="Frontend Developer"/>
    <n v="14.9"/>
    <n v="-23.1"/>
    <x v="199"/>
    <n v="7.3"/>
    <n v="6.9"/>
    <n v="5.4"/>
    <s v="Stable"/>
  </r>
  <r>
    <s v="T269"/>
    <x v="1"/>
    <x v="1"/>
    <x v="4"/>
    <x v="1"/>
    <s v="Feb"/>
    <x v="0"/>
    <x v="266"/>
    <n v="9.4"/>
    <x v="0"/>
    <n v="5.7"/>
    <x v="5"/>
    <n v="1356"/>
    <x v="0"/>
    <n v="21.9"/>
    <s v="Cloud Engineer"/>
    <n v="67.900000000000006"/>
    <n v="44.2"/>
    <x v="200"/>
    <n v="7.1"/>
    <n v="7"/>
    <n v="6"/>
    <s v="Stable"/>
  </r>
  <r>
    <s v="T270"/>
    <x v="6"/>
    <x v="2"/>
    <x v="1"/>
    <x v="3"/>
    <s v="Aug"/>
    <x v="0"/>
    <x v="267"/>
    <n v="12.8"/>
    <x v="3"/>
    <n v="4"/>
    <x v="15"/>
    <n v="1063"/>
    <x v="1"/>
    <n v="80.5"/>
    <s v="Software Engineer"/>
    <n v="6.2"/>
    <n v="-20.9"/>
    <x v="201"/>
    <n v="5.9"/>
    <n v="7.3"/>
    <n v="5.2"/>
    <s v="Stable"/>
  </r>
  <r>
    <s v="T271"/>
    <x v="3"/>
    <x v="1"/>
    <x v="4"/>
    <x v="1"/>
    <s v="Mar"/>
    <x v="2"/>
    <x v="268"/>
    <n v="3.9"/>
    <x v="2"/>
    <n v="1.3"/>
    <x v="79"/>
    <n v="1996"/>
    <x v="1"/>
    <n v="85.1"/>
    <s v="Software Engineer"/>
    <n v="53.2"/>
    <n v="1.3"/>
    <x v="185"/>
    <n v="1.6"/>
    <n v="6.6"/>
    <n v="7"/>
    <s v="Bull Market"/>
  </r>
  <r>
    <s v="T272"/>
    <x v="6"/>
    <x v="2"/>
    <x v="0"/>
    <x v="0"/>
    <s v="Mar"/>
    <x v="2"/>
    <x v="269"/>
    <n v="7.1"/>
    <x v="3"/>
    <n v="8.5"/>
    <x v="17"/>
    <n v="3150"/>
    <x v="0"/>
    <n v="21.4"/>
    <s v="ML Engineer"/>
    <n v="59.3"/>
    <n v="29.2"/>
    <x v="202"/>
    <n v="5.6"/>
    <n v="6.2"/>
    <n v="7.1"/>
    <s v="Stable"/>
  </r>
  <r>
    <s v="T273"/>
    <x v="1"/>
    <x v="6"/>
    <x v="4"/>
    <x v="2"/>
    <s v="Oct"/>
    <x v="0"/>
    <x v="270"/>
    <n v="32.5"/>
    <x v="3"/>
    <n v="11.2"/>
    <x v="5"/>
    <n v="305"/>
    <x v="1"/>
    <n v="36.799999999999997"/>
    <s v="DevOps Engineer"/>
    <n v="25.4"/>
    <n v="-13"/>
    <x v="203"/>
    <n v="7.1"/>
    <n v="3.9"/>
    <n v="1.4"/>
    <s v="Recession"/>
  </r>
  <r>
    <s v="T274"/>
    <x v="4"/>
    <x v="1"/>
    <x v="4"/>
    <x v="2"/>
    <s v="Dec"/>
    <x v="2"/>
    <x v="271"/>
    <n v="20.5"/>
    <x v="4"/>
    <n v="9.5"/>
    <x v="5"/>
    <n v="549"/>
    <x v="2"/>
    <n v="38.1"/>
    <s v="Cybersecurity Analyst"/>
    <n v="86.9"/>
    <n v="-19.3"/>
    <x v="123"/>
    <n v="6.2"/>
    <n v="4"/>
    <n v="3.5"/>
    <s v="Recession"/>
  </r>
  <r>
    <s v="T275"/>
    <x v="0"/>
    <x v="1"/>
    <x v="2"/>
    <x v="2"/>
    <s v="Jan"/>
    <x v="1"/>
    <x v="272"/>
    <n v="4.0999999999999996"/>
    <x v="4"/>
    <n v="4.4000000000000004"/>
    <x v="39"/>
    <n v="3713"/>
    <x v="1"/>
    <n v="31.4"/>
    <s v="Cybersecurity Analyst"/>
    <n v="74.099999999999994"/>
    <n v="55.8"/>
    <x v="193"/>
    <n v="3.2"/>
    <n v="8.3000000000000007"/>
    <n v="8.6"/>
    <s v="Bull Market"/>
  </r>
  <r>
    <s v="T276"/>
    <x v="8"/>
    <x v="6"/>
    <x v="4"/>
    <x v="1"/>
    <s v="Jun"/>
    <x v="0"/>
    <x v="273"/>
    <n v="4.7"/>
    <x v="4"/>
    <n v="5.6"/>
    <x v="25"/>
    <n v="3252"/>
    <x v="0"/>
    <n v="76.900000000000006"/>
    <s v="ML Engineer"/>
    <n v="47.4"/>
    <n v="-6.5"/>
    <x v="204"/>
    <n v="4.7"/>
    <n v="7.8"/>
    <n v="6.8"/>
    <s v="Stable"/>
  </r>
  <r>
    <s v="T277"/>
    <x v="17"/>
    <x v="3"/>
    <x v="2"/>
    <x v="1"/>
    <s v="Apr"/>
    <x v="0"/>
    <x v="274"/>
    <n v="11.4"/>
    <x v="0"/>
    <n v="15.6"/>
    <x v="5"/>
    <n v="696"/>
    <x v="1"/>
    <n v="11.5"/>
    <s v="DevOps Engineer"/>
    <n v="74.900000000000006"/>
    <n v="48.9"/>
    <x v="2"/>
    <n v="9.4"/>
    <n v="9.1"/>
    <n v="6.5"/>
    <s v="Recession"/>
  </r>
  <r>
    <s v="T278"/>
    <x v="8"/>
    <x v="4"/>
    <x v="0"/>
    <x v="2"/>
    <s v="Aug"/>
    <x v="0"/>
    <x v="275"/>
    <n v="9.1"/>
    <x v="0"/>
    <n v="14.1"/>
    <x v="5"/>
    <n v="2763"/>
    <x v="0"/>
    <n v="48.8"/>
    <s v="DevOps Engineer"/>
    <n v="-28.2"/>
    <n v="4.3"/>
    <x v="142"/>
    <n v="9.3000000000000007"/>
    <n v="8.4"/>
    <n v="4.3"/>
    <s v="Bull Market"/>
  </r>
  <r>
    <s v="T279"/>
    <x v="14"/>
    <x v="1"/>
    <x v="3"/>
    <x v="2"/>
    <s v="Dec"/>
    <x v="0"/>
    <x v="276"/>
    <n v="11.3"/>
    <x v="3"/>
    <n v="5.6"/>
    <x v="33"/>
    <n v="278"/>
    <x v="1"/>
    <n v="63.7"/>
    <s v="Frontend Developer"/>
    <n v="-11.2"/>
    <n v="50.5"/>
    <x v="117"/>
    <n v="5.5"/>
    <n v="8.5"/>
    <n v="6.3"/>
    <s v="Recession"/>
  </r>
  <r>
    <s v="T280"/>
    <x v="8"/>
    <x v="4"/>
    <x v="5"/>
    <x v="0"/>
    <s v="Nov"/>
    <x v="2"/>
    <x v="277"/>
    <n v="13.9"/>
    <x v="0"/>
    <n v="2.4"/>
    <x v="58"/>
    <n v="1770"/>
    <x v="1"/>
    <n v="86.6"/>
    <s v="DevOps Engineer"/>
    <n v="36.5"/>
    <n v="59.2"/>
    <x v="205"/>
    <n v="2.8"/>
    <n v="5.9"/>
    <n v="6.4"/>
    <s v="Recession"/>
  </r>
  <r>
    <s v="T281"/>
    <x v="1"/>
    <x v="4"/>
    <x v="2"/>
    <x v="1"/>
    <s v="Nov"/>
    <x v="0"/>
    <x v="278"/>
    <n v="7.3"/>
    <x v="0"/>
    <n v="12.8"/>
    <x v="5"/>
    <n v="3192"/>
    <x v="0"/>
    <n v="47.7"/>
    <s v="Cloud Engineer"/>
    <n v="11"/>
    <n v="20.399999999999999"/>
    <x v="206"/>
    <n v="9.5"/>
    <n v="5.7"/>
    <n v="6.2"/>
    <s v="Bull Market"/>
  </r>
  <r>
    <s v="T282"/>
    <x v="0"/>
    <x v="1"/>
    <x v="1"/>
    <x v="2"/>
    <s v="Jul"/>
    <x v="1"/>
    <x v="279"/>
    <n v="8.5"/>
    <x v="4"/>
    <n v="4.3"/>
    <x v="39"/>
    <n v="2521"/>
    <x v="0"/>
    <n v="74.2"/>
    <s v="Data Scientist"/>
    <n v="48.9"/>
    <n v="16.399999999999999"/>
    <x v="207"/>
    <n v="7"/>
    <n v="6.3"/>
    <n v="6.7"/>
    <s v="Stable"/>
  </r>
  <r>
    <s v="T283"/>
    <x v="8"/>
    <x v="6"/>
    <x v="3"/>
    <x v="2"/>
    <s v="Oct"/>
    <x v="1"/>
    <x v="280"/>
    <n v="0.3"/>
    <x v="2"/>
    <n v="2.8"/>
    <x v="19"/>
    <n v="5407"/>
    <x v="0"/>
    <n v="82.1"/>
    <s v="Cloud Engineer"/>
    <n v="74.2"/>
    <n v="23.6"/>
    <x v="208"/>
    <n v="1.7"/>
    <n v="7.6"/>
    <n v="9.3000000000000007"/>
    <s v="Bull Market"/>
  </r>
  <r>
    <s v="T284"/>
    <x v="6"/>
    <x v="1"/>
    <x v="4"/>
    <x v="2"/>
    <s v="Nov"/>
    <x v="1"/>
    <x v="281"/>
    <n v="17.2"/>
    <x v="2"/>
    <n v="2.5"/>
    <x v="35"/>
    <n v="5160"/>
    <x v="0"/>
    <n v="88.8"/>
    <s v="Frontend Developer"/>
    <n v="-41.1"/>
    <n v="40.5"/>
    <x v="47"/>
    <n v="3"/>
    <n v="4.9000000000000004"/>
    <n v="5.4"/>
    <s v="Stable"/>
  </r>
  <r>
    <s v="T285"/>
    <x v="18"/>
    <x v="0"/>
    <x v="3"/>
    <x v="3"/>
    <s v="Jul"/>
    <x v="2"/>
    <x v="282"/>
    <n v="5.2"/>
    <x v="1"/>
    <n v="2.4"/>
    <x v="80"/>
    <n v="2169"/>
    <x v="1"/>
    <n v="27.1"/>
    <s v="Data Scientist"/>
    <n v="87.2"/>
    <n v="-18.8"/>
    <x v="113"/>
    <n v="2.6"/>
    <n v="5"/>
    <n v="6.2"/>
    <s v="Bull Market"/>
  </r>
  <r>
    <s v="T286"/>
    <x v="8"/>
    <x v="4"/>
    <x v="5"/>
    <x v="3"/>
    <s v="Dec"/>
    <x v="1"/>
    <x v="283"/>
    <n v="10.6"/>
    <x v="3"/>
    <n v="4.3"/>
    <x v="20"/>
    <n v="558"/>
    <x v="1"/>
    <n v="42.6"/>
    <s v="Data Scientist"/>
    <n v="-23.8"/>
    <n v="27.3"/>
    <x v="209"/>
    <n v="4.4000000000000004"/>
    <n v="5.7"/>
    <n v="6.8"/>
    <s v="Stable"/>
  </r>
  <r>
    <s v="T287"/>
    <x v="9"/>
    <x v="0"/>
    <x v="1"/>
    <x v="2"/>
    <s v="Nov"/>
    <x v="1"/>
    <x v="284"/>
    <n v="0.2"/>
    <x v="3"/>
    <n v="10.5"/>
    <x v="23"/>
    <n v="4534"/>
    <x v="0"/>
    <n v="67"/>
    <s v="ML Engineer"/>
    <n v="-36.1"/>
    <n v="43.8"/>
    <x v="210"/>
    <n v="6.2"/>
    <n v="7.7"/>
    <n v="7.3"/>
    <s v="Bull Market"/>
  </r>
  <r>
    <s v="T288"/>
    <x v="2"/>
    <x v="0"/>
    <x v="3"/>
    <x v="1"/>
    <s v="Apr"/>
    <x v="1"/>
    <x v="285"/>
    <n v="9.4"/>
    <x v="0"/>
    <n v="6.4"/>
    <x v="11"/>
    <n v="1185"/>
    <x v="1"/>
    <n v="17"/>
    <s v="Data Scientist"/>
    <n v="9.1999999999999993"/>
    <n v="15.8"/>
    <x v="211"/>
    <n v="4.2"/>
    <n v="6.1"/>
    <n v="6.3"/>
    <s v="Bull Market"/>
  </r>
  <r>
    <s v="T289"/>
    <x v="0"/>
    <x v="5"/>
    <x v="2"/>
    <x v="0"/>
    <s v="Oct"/>
    <x v="1"/>
    <x v="286"/>
    <n v="26.8"/>
    <x v="2"/>
    <n v="6.4"/>
    <x v="33"/>
    <n v="272"/>
    <x v="1"/>
    <n v="80.8"/>
    <s v="Product Manager"/>
    <n v="-42.3"/>
    <n v="21.4"/>
    <x v="4"/>
    <n v="4.4000000000000004"/>
    <n v="4.5999999999999996"/>
    <n v="3.8"/>
    <s v="Recession"/>
  </r>
  <r>
    <s v="T290"/>
    <x v="4"/>
    <x v="0"/>
    <x v="5"/>
    <x v="1"/>
    <s v="May"/>
    <x v="1"/>
    <x v="287"/>
    <n v="10.6"/>
    <x v="4"/>
    <n v="2.2999999999999998"/>
    <x v="39"/>
    <n v="7959"/>
    <x v="1"/>
    <n v="46.8"/>
    <s v="Data Scientist"/>
    <n v="73.8"/>
    <n v="-19.3"/>
    <x v="31"/>
    <n v="1.8"/>
    <n v="5.0999999999999996"/>
    <n v="5.2"/>
    <s v="Stable"/>
  </r>
  <r>
    <s v="T291"/>
    <x v="4"/>
    <x v="1"/>
    <x v="2"/>
    <x v="0"/>
    <s v="Nov"/>
    <x v="1"/>
    <x v="288"/>
    <n v="11"/>
    <x v="3"/>
    <n v="6.1"/>
    <x v="5"/>
    <n v="625"/>
    <x v="0"/>
    <n v="83.6"/>
    <s v="DevOps Engineer"/>
    <n v="-6.2"/>
    <n v="34.299999999999997"/>
    <x v="158"/>
    <n v="6.9"/>
    <n v="7.1"/>
    <n v="6.3"/>
    <s v="Recession"/>
  </r>
  <r>
    <s v="T292"/>
    <x v="19"/>
    <x v="0"/>
    <x v="2"/>
    <x v="2"/>
    <s v="Aug"/>
    <x v="2"/>
    <x v="289"/>
    <n v="11.9"/>
    <x v="1"/>
    <n v="3.7"/>
    <x v="75"/>
    <n v="1325"/>
    <x v="1"/>
    <n v="41.5"/>
    <s v="ML Engineer"/>
    <n v="81.7"/>
    <n v="11.3"/>
    <x v="188"/>
    <n v="4.3"/>
    <n v="6.3"/>
    <n v="5.6"/>
    <s v="Stable"/>
  </r>
  <r>
    <s v="T293"/>
    <x v="17"/>
    <x v="3"/>
    <x v="3"/>
    <x v="2"/>
    <s v="Apr"/>
    <x v="2"/>
    <x v="290"/>
    <n v="32.6"/>
    <x v="0"/>
    <n v="1.8"/>
    <x v="10"/>
    <n v="1530"/>
    <x v="2"/>
    <n v="41.6"/>
    <s v="Product Manager"/>
    <n v="-12"/>
    <n v="7"/>
    <x v="212"/>
    <n v="1.2"/>
    <n v="3"/>
    <n v="3.7"/>
    <s v="Recession"/>
  </r>
  <r>
    <s v="T294"/>
    <x v="10"/>
    <x v="3"/>
    <x v="2"/>
    <x v="2"/>
    <s v="Dec"/>
    <x v="2"/>
    <x v="291"/>
    <n v="38.4"/>
    <x v="0"/>
    <n v="6.8"/>
    <x v="5"/>
    <n v="997"/>
    <x v="2"/>
    <n v="85.5"/>
    <s v="Cloud Engineer"/>
    <n v="70.400000000000006"/>
    <n v="-25"/>
    <x v="213"/>
    <n v="9.4"/>
    <n v="1.3"/>
    <n v="1.9"/>
    <s v="Recession"/>
  </r>
  <r>
    <s v="T295"/>
    <x v="9"/>
    <x v="0"/>
    <x v="4"/>
    <x v="2"/>
    <s v="Feb"/>
    <x v="0"/>
    <x v="292"/>
    <n v="3.8"/>
    <x v="1"/>
    <n v="4.9000000000000004"/>
    <x v="13"/>
    <n v="3781"/>
    <x v="0"/>
    <n v="83.4"/>
    <s v="ML Engineer"/>
    <n v="18.7"/>
    <n v="41.2"/>
    <x v="198"/>
    <n v="4.2"/>
    <n v="6.2"/>
    <n v="7.4"/>
    <s v="Bull Market"/>
  </r>
  <r>
    <s v="T296"/>
    <x v="5"/>
    <x v="3"/>
    <x v="4"/>
    <x v="1"/>
    <s v="Sep"/>
    <x v="1"/>
    <x v="293"/>
    <n v="3.3"/>
    <x v="1"/>
    <n v="5.6"/>
    <x v="33"/>
    <n v="2887"/>
    <x v="0"/>
    <n v="30"/>
    <s v="ML Engineer"/>
    <n v="-31.9"/>
    <n v="-5.8"/>
    <x v="55"/>
    <n v="7"/>
    <n v="8.5"/>
    <n v="6"/>
    <s v="Stable"/>
  </r>
  <r>
    <s v="T297"/>
    <x v="9"/>
    <x v="0"/>
    <x v="3"/>
    <x v="3"/>
    <s v="Jun"/>
    <x v="1"/>
    <x v="294"/>
    <n v="15"/>
    <x v="2"/>
    <n v="11.5"/>
    <x v="17"/>
    <n v="9271"/>
    <x v="0"/>
    <n v="67.2"/>
    <s v="ML Engineer"/>
    <n v="46.8"/>
    <n v="35.6"/>
    <x v="214"/>
    <n v="7.3"/>
    <n v="5.0999999999999996"/>
    <n v="5.6"/>
    <s v="Stable"/>
  </r>
  <r>
    <s v="T298"/>
    <x v="7"/>
    <x v="4"/>
    <x v="3"/>
    <x v="3"/>
    <s v="May"/>
    <x v="1"/>
    <x v="295"/>
    <n v="6.5"/>
    <x v="2"/>
    <n v="2.5"/>
    <x v="38"/>
    <n v="4715"/>
    <x v="0"/>
    <n v="33.799999999999997"/>
    <s v="Software Engineer"/>
    <n v="-10.199999999999999"/>
    <n v="-18.8"/>
    <x v="215"/>
    <n v="1.6"/>
    <n v="5.0999999999999996"/>
    <n v="6"/>
    <s v="Bull Market"/>
  </r>
  <r>
    <s v="T299"/>
    <x v="17"/>
    <x v="0"/>
    <x v="4"/>
    <x v="3"/>
    <s v="Aug"/>
    <x v="2"/>
    <x v="296"/>
    <n v="16.2"/>
    <x v="3"/>
    <n v="2.7"/>
    <x v="0"/>
    <n v="1690"/>
    <x v="1"/>
    <n v="56.1"/>
    <s v="Data Scientist"/>
    <n v="-1.4"/>
    <n v="6.1"/>
    <x v="6"/>
    <n v="2.1"/>
    <n v="6.2"/>
    <n v="6"/>
    <s v="Stable"/>
  </r>
  <r>
    <s v="T300"/>
    <x v="10"/>
    <x v="3"/>
    <x v="3"/>
    <x v="3"/>
    <s v="Sep"/>
    <x v="0"/>
    <x v="297"/>
    <n v="19.3"/>
    <x v="1"/>
    <n v="2.1"/>
    <x v="65"/>
    <n v="465"/>
    <x v="1"/>
    <n v="36.5"/>
    <s v="ML Engineer"/>
    <n v="-1.8"/>
    <n v="38.299999999999997"/>
    <x v="216"/>
    <n v="2.4"/>
    <n v="7"/>
    <n v="5.3"/>
    <s v="Recession"/>
  </r>
  <r>
    <s v="T301"/>
    <x v="1"/>
    <x v="0"/>
    <x v="5"/>
    <x v="0"/>
    <s v="Dec"/>
    <x v="1"/>
    <x v="298"/>
    <n v="23.7"/>
    <x v="2"/>
    <n v="1.8"/>
    <x v="20"/>
    <n v="6848"/>
    <x v="1"/>
    <n v="62.2"/>
    <s v="ML Engineer"/>
    <n v="43.1"/>
    <n v="-11.1"/>
    <x v="217"/>
    <n v="1.3"/>
    <n v="3.8"/>
    <n v="5.2"/>
    <s v="Recession"/>
  </r>
  <r>
    <s v="T302"/>
    <x v="13"/>
    <x v="5"/>
    <x v="2"/>
    <x v="1"/>
    <s v="Mar"/>
    <x v="0"/>
    <x v="299"/>
    <n v="11.6"/>
    <x v="3"/>
    <n v="9.6"/>
    <x v="67"/>
    <n v="575"/>
    <x v="1"/>
    <n v="16.100000000000001"/>
    <s v="DevOps Engineer"/>
    <n v="-35.6"/>
    <n v="22.3"/>
    <x v="109"/>
    <n v="6.1"/>
    <n v="5.7"/>
    <n v="7"/>
    <s v="Stable"/>
  </r>
  <r>
    <s v="T303"/>
    <x v="17"/>
    <x v="0"/>
    <x v="2"/>
    <x v="2"/>
    <s v="Feb"/>
    <x v="0"/>
    <x v="300"/>
    <n v="6.1"/>
    <x v="3"/>
    <n v="5.3"/>
    <x v="58"/>
    <n v="6575"/>
    <x v="0"/>
    <n v="81.3"/>
    <s v="ML Engineer"/>
    <n v="-39.700000000000003"/>
    <n v="26.2"/>
    <x v="218"/>
    <n v="6"/>
    <n v="7.3"/>
    <n v="8"/>
    <s v="Bull Market"/>
  </r>
  <r>
    <s v="T304"/>
    <x v="0"/>
    <x v="0"/>
    <x v="5"/>
    <x v="2"/>
    <s v="Jan"/>
    <x v="0"/>
    <x v="301"/>
    <n v="33.200000000000003"/>
    <x v="2"/>
    <n v="6.1"/>
    <x v="49"/>
    <n v="8765"/>
    <x v="1"/>
    <n v="39.9"/>
    <s v="ML Engineer"/>
    <n v="-36.4"/>
    <n v="49.4"/>
    <x v="194"/>
    <n v="3.8"/>
    <n v="5.2"/>
    <n v="4.4000000000000004"/>
    <s v="Recession"/>
  </r>
  <r>
    <s v="T305"/>
    <x v="12"/>
    <x v="5"/>
    <x v="0"/>
    <x v="3"/>
    <s v="Feb"/>
    <x v="0"/>
    <x v="302"/>
    <n v="7.6"/>
    <x v="2"/>
    <n v="2.8"/>
    <x v="10"/>
    <n v="1725"/>
    <x v="1"/>
    <n v="19"/>
    <s v="DevOps Engineer"/>
    <n v="14.5"/>
    <n v="42.7"/>
    <x v="219"/>
    <n v="4.7"/>
    <n v="9.1"/>
    <n v="6.9"/>
    <s v="Stable"/>
  </r>
  <r>
    <s v="T306"/>
    <x v="2"/>
    <x v="2"/>
    <x v="3"/>
    <x v="0"/>
    <s v="Mar"/>
    <x v="0"/>
    <x v="303"/>
    <n v="7.1"/>
    <x v="4"/>
    <n v="8.1999999999999993"/>
    <x v="45"/>
    <n v="307"/>
    <x v="1"/>
    <n v="18.2"/>
    <s v="Software Engineer"/>
    <n v="-4.2"/>
    <n v="50.6"/>
    <x v="62"/>
    <n v="5"/>
    <n v="7.4"/>
    <n v="7.1"/>
    <s v="Bull Market"/>
  </r>
  <r>
    <s v="T307"/>
    <x v="15"/>
    <x v="2"/>
    <x v="4"/>
    <x v="2"/>
    <s v="Apr"/>
    <x v="2"/>
    <x v="304"/>
    <n v="16.600000000000001"/>
    <x v="0"/>
    <n v="1.1000000000000001"/>
    <x v="31"/>
    <n v="1103"/>
    <x v="2"/>
    <n v="78.599999999999994"/>
    <s v="Software Engineer"/>
    <n v="-42.7"/>
    <n v="8.1999999999999993"/>
    <x v="19"/>
    <n v="1.5"/>
    <n v="4.9000000000000004"/>
    <n v="5.0999999999999996"/>
    <s v="Recession"/>
  </r>
  <r>
    <s v="T308"/>
    <x v="15"/>
    <x v="2"/>
    <x v="1"/>
    <x v="1"/>
    <s v="Nov"/>
    <x v="1"/>
    <x v="305"/>
    <n v="15.8"/>
    <x v="4"/>
    <n v="7.5"/>
    <x v="5"/>
    <n v="1115"/>
    <x v="1"/>
    <n v="34.700000000000003"/>
    <s v="Data Scientist"/>
    <n v="-21.7"/>
    <n v="10.1"/>
    <x v="27"/>
    <n v="7.6"/>
    <n v="5.9"/>
    <n v="5.7"/>
    <s v="Recession"/>
  </r>
  <r>
    <s v="T309"/>
    <x v="11"/>
    <x v="6"/>
    <x v="2"/>
    <x v="1"/>
    <s v="Feb"/>
    <x v="0"/>
    <x v="306"/>
    <n v="19.899999999999999"/>
    <x v="3"/>
    <n v="8"/>
    <x v="5"/>
    <n v="597"/>
    <x v="1"/>
    <n v="68.3"/>
    <s v="Frontend Developer"/>
    <n v="45.4"/>
    <n v="-3.1"/>
    <x v="220"/>
    <n v="6.9"/>
    <n v="6.2"/>
    <n v="4"/>
    <s v="Recession"/>
  </r>
  <r>
    <s v="T310"/>
    <x v="15"/>
    <x v="2"/>
    <x v="0"/>
    <x v="1"/>
    <s v="Jun"/>
    <x v="2"/>
    <x v="307"/>
    <n v="14.3"/>
    <x v="1"/>
    <n v="4.4000000000000004"/>
    <x v="5"/>
    <n v="5471"/>
    <x v="1"/>
    <n v="31.7"/>
    <s v="ML Engineer"/>
    <n v="-24.8"/>
    <n v="41.5"/>
    <x v="221"/>
    <n v="6.5"/>
    <n v="6.6"/>
    <n v="5.5"/>
    <s v="Stable"/>
  </r>
  <r>
    <s v="T311"/>
    <x v="2"/>
    <x v="2"/>
    <x v="4"/>
    <x v="3"/>
    <s v="Sep"/>
    <x v="1"/>
    <x v="308"/>
    <n v="9.1999999999999993"/>
    <x v="2"/>
    <n v="6.8"/>
    <x v="5"/>
    <n v="2275"/>
    <x v="1"/>
    <n v="42"/>
    <s v="Data Scientist"/>
    <n v="58.7"/>
    <n v="-10.7"/>
    <x v="222"/>
    <n v="8.6999999999999993"/>
    <n v="7.3"/>
    <n v="4.9000000000000004"/>
    <s v="Stable"/>
  </r>
  <r>
    <s v="T312"/>
    <x v="1"/>
    <x v="1"/>
    <x v="1"/>
    <x v="3"/>
    <s v="Sep"/>
    <x v="2"/>
    <x v="81"/>
    <n v="6.4"/>
    <x v="0"/>
    <n v="14.4"/>
    <x v="5"/>
    <n v="5799"/>
    <x v="0"/>
    <n v="28.6"/>
    <s v="Cloud Engineer"/>
    <n v="-16"/>
    <n v="28.6"/>
    <x v="131"/>
    <n v="9.9"/>
    <n v="6.1"/>
    <n v="6.2"/>
    <s v="Bull Market"/>
  </r>
  <r>
    <s v="T313"/>
    <x v="7"/>
    <x v="4"/>
    <x v="3"/>
    <x v="0"/>
    <s v="Jul"/>
    <x v="1"/>
    <x v="309"/>
    <n v="4.7"/>
    <x v="2"/>
    <n v="2.1"/>
    <x v="81"/>
    <n v="1538"/>
    <x v="1"/>
    <n v="24.6"/>
    <s v="Cybersecurity Analyst"/>
    <n v="37.6"/>
    <n v="-8.6"/>
    <x v="223"/>
    <n v="1.8"/>
    <n v="7.1"/>
    <n v="7.2"/>
    <s v="Stable"/>
  </r>
  <r>
    <s v="T314"/>
    <x v="6"/>
    <x v="2"/>
    <x v="0"/>
    <x v="3"/>
    <s v="May"/>
    <x v="2"/>
    <x v="310"/>
    <n v="2.6"/>
    <x v="1"/>
    <n v="2.4"/>
    <x v="46"/>
    <n v="3900"/>
    <x v="0"/>
    <n v="78"/>
    <s v="DevOps Engineer"/>
    <n v="55.6"/>
    <n v="28.8"/>
    <x v="158"/>
    <n v="2.9"/>
    <n v="8.9"/>
    <n v="8.1999999999999993"/>
    <s v="Stable"/>
  </r>
  <r>
    <s v="T315"/>
    <x v="12"/>
    <x v="0"/>
    <x v="2"/>
    <x v="1"/>
    <s v="Jan"/>
    <x v="0"/>
    <x v="311"/>
    <n v="6.1"/>
    <x v="4"/>
    <n v="10.3"/>
    <x v="82"/>
    <n v="8379"/>
    <x v="3"/>
    <n v="59.5"/>
    <s v="Data Scientist"/>
    <n v="36.9"/>
    <n v="27.6"/>
    <x v="137"/>
    <n v="8.8000000000000007"/>
    <n v="6"/>
    <n v="6.6"/>
    <s v="Bull Market"/>
  </r>
  <r>
    <s v="T316"/>
    <x v="9"/>
    <x v="0"/>
    <x v="5"/>
    <x v="3"/>
    <s v="Jun"/>
    <x v="2"/>
    <x v="312"/>
    <n v="23.2"/>
    <x v="3"/>
    <n v="6.1"/>
    <x v="5"/>
    <n v="9762"/>
    <x v="0"/>
    <n v="13.2"/>
    <s v="ML Engineer"/>
    <n v="21.8"/>
    <n v="4.5"/>
    <x v="73"/>
    <n v="6.6"/>
    <n v="6.7"/>
    <n v="3.2"/>
    <s v="Recession"/>
  </r>
  <r>
    <s v="T317"/>
    <x v="1"/>
    <x v="0"/>
    <x v="4"/>
    <x v="3"/>
    <s v="Apr"/>
    <x v="0"/>
    <x v="313"/>
    <n v="2.1"/>
    <x v="1"/>
    <n v="8.5"/>
    <x v="35"/>
    <n v="6515"/>
    <x v="0"/>
    <n v="79.3"/>
    <s v="ML Engineer"/>
    <n v="6.5"/>
    <n v="54.3"/>
    <x v="224"/>
    <n v="7"/>
    <n v="10"/>
    <n v="8.4"/>
    <s v="Bull Market"/>
  </r>
  <r>
    <s v="T318"/>
    <x v="0"/>
    <x v="0"/>
    <x v="1"/>
    <x v="0"/>
    <s v="Apr"/>
    <x v="0"/>
    <x v="314"/>
    <n v="9.6999999999999993"/>
    <x v="4"/>
    <n v="8.4"/>
    <x v="33"/>
    <n v="2027"/>
    <x v="0"/>
    <n v="66.599999999999994"/>
    <s v="Data Scientist"/>
    <n v="-6.5"/>
    <n v="0.3"/>
    <x v="74"/>
    <n v="6.5"/>
    <n v="4.3"/>
    <n v="5.8"/>
    <s v="Stable"/>
  </r>
  <r>
    <s v="T319"/>
    <x v="18"/>
    <x v="0"/>
    <x v="4"/>
    <x v="2"/>
    <s v="Sep"/>
    <x v="2"/>
    <x v="315"/>
    <n v="22"/>
    <x v="1"/>
    <n v="5.2"/>
    <x v="5"/>
    <n v="4005"/>
    <x v="0"/>
    <n v="64.099999999999994"/>
    <s v="Data Scientist"/>
    <n v="-42.7"/>
    <n v="19.7"/>
    <x v="8"/>
    <n v="7.7"/>
    <n v="4"/>
    <n v="5.3"/>
    <s v="Recession"/>
  </r>
  <r>
    <s v="T320"/>
    <x v="2"/>
    <x v="5"/>
    <x v="1"/>
    <x v="2"/>
    <s v="May"/>
    <x v="1"/>
    <x v="316"/>
    <n v="31.2"/>
    <x v="3"/>
    <n v="10.4"/>
    <x v="5"/>
    <n v="517"/>
    <x v="2"/>
    <n v="10.5"/>
    <s v="Cloud Engineer"/>
    <n v="3.7"/>
    <n v="22.2"/>
    <x v="225"/>
    <n v="6.5"/>
    <n v="4.2"/>
    <n v="2.9"/>
    <s v="Recession"/>
  </r>
  <r>
    <s v="T321"/>
    <x v="17"/>
    <x v="3"/>
    <x v="4"/>
    <x v="0"/>
    <s v="Jan"/>
    <x v="0"/>
    <x v="317"/>
    <n v="2.1"/>
    <x v="4"/>
    <n v="10.6"/>
    <x v="23"/>
    <n v="3265"/>
    <x v="0"/>
    <n v="74.099999999999994"/>
    <s v="Cloud Engineer"/>
    <n v="49.5"/>
    <n v="56.5"/>
    <x v="226"/>
    <n v="6.5"/>
    <n v="9.1"/>
    <n v="8.9"/>
    <s v="Bull Market"/>
  </r>
  <r>
    <s v="T322"/>
    <x v="6"/>
    <x v="1"/>
    <x v="3"/>
    <x v="2"/>
    <s v="Dec"/>
    <x v="1"/>
    <x v="318"/>
    <n v="3.8"/>
    <x v="2"/>
    <n v="11"/>
    <x v="5"/>
    <n v="5073"/>
    <x v="3"/>
    <n v="40.9"/>
    <s v="ML Engineer"/>
    <n v="-21.1"/>
    <n v="-0.2"/>
    <x v="47"/>
    <n v="9.6999999999999993"/>
    <n v="6"/>
    <n v="5.5"/>
    <s v="Bull Market"/>
  </r>
  <r>
    <s v="T323"/>
    <x v="9"/>
    <x v="1"/>
    <x v="0"/>
    <x v="2"/>
    <s v="Aug"/>
    <x v="1"/>
    <x v="319"/>
    <n v="31.1"/>
    <x v="0"/>
    <n v="7.1"/>
    <x v="15"/>
    <n v="1463"/>
    <x v="2"/>
    <n v="32.4"/>
    <s v="Data Scientist"/>
    <n v="63.7"/>
    <n v="29.2"/>
    <x v="227"/>
    <n v="5.4"/>
    <n v="4.3"/>
    <n v="4.8"/>
    <s v="Recession"/>
  </r>
  <r>
    <s v="T324"/>
    <x v="14"/>
    <x v="1"/>
    <x v="3"/>
    <x v="2"/>
    <s v="Feb"/>
    <x v="1"/>
    <x v="320"/>
    <n v="37.5"/>
    <x v="2"/>
    <n v="4.5999999999999996"/>
    <x v="5"/>
    <n v="274"/>
    <x v="2"/>
    <n v="35.4"/>
    <s v="DevOps Engineer"/>
    <n v="-26.7"/>
    <n v="35.1"/>
    <x v="68"/>
    <n v="5.8"/>
    <n v="6.1"/>
    <n v="3.4"/>
    <s v="Recession"/>
  </r>
  <r>
    <s v="T325"/>
    <x v="13"/>
    <x v="5"/>
    <x v="0"/>
    <x v="1"/>
    <s v="Sep"/>
    <x v="2"/>
    <x v="321"/>
    <n v="3.5"/>
    <x v="2"/>
    <n v="3.2"/>
    <x v="34"/>
    <n v="923"/>
    <x v="1"/>
    <n v="66.900000000000006"/>
    <s v="Frontend Developer"/>
    <n v="84.8"/>
    <n v="2.7"/>
    <x v="8"/>
    <n v="3.7"/>
    <n v="5.6"/>
    <n v="6.3"/>
    <s v="Stable"/>
  </r>
  <r>
    <s v="T326"/>
    <x v="1"/>
    <x v="4"/>
    <x v="1"/>
    <x v="1"/>
    <s v="Jun"/>
    <x v="1"/>
    <x v="13"/>
    <n v="0.4"/>
    <x v="0"/>
    <n v="5"/>
    <x v="38"/>
    <n v="1175"/>
    <x v="1"/>
    <n v="59.4"/>
    <s v="ML Engineer"/>
    <n v="-33.1"/>
    <n v="37"/>
    <x v="107"/>
    <n v="3.3"/>
    <n v="8.6999999999999993"/>
    <n v="9.1"/>
    <s v="Bull Market"/>
  </r>
  <r>
    <s v="T327"/>
    <x v="9"/>
    <x v="0"/>
    <x v="4"/>
    <x v="3"/>
    <s v="Oct"/>
    <x v="1"/>
    <x v="322"/>
    <n v="34.1"/>
    <x v="2"/>
    <n v="3.9"/>
    <x v="33"/>
    <n v="9209"/>
    <x v="1"/>
    <n v="72.8"/>
    <s v="ML Engineer"/>
    <n v="54.6"/>
    <n v="13.7"/>
    <x v="228"/>
    <n v="2.6"/>
    <n v="5"/>
    <n v="3.5"/>
    <s v="Recession"/>
  </r>
  <r>
    <s v="T328"/>
    <x v="16"/>
    <x v="2"/>
    <x v="5"/>
    <x v="2"/>
    <s v="Nov"/>
    <x v="0"/>
    <x v="323"/>
    <n v="13.3"/>
    <x v="1"/>
    <n v="2.8"/>
    <x v="83"/>
    <n v="621"/>
    <x v="2"/>
    <n v="83.5"/>
    <s v="Cybersecurity Analyst"/>
    <n v="78.400000000000006"/>
    <n v="16.7"/>
    <x v="229"/>
    <n v="3.7"/>
    <n v="8.3000000000000007"/>
    <n v="7"/>
    <s v="Stable"/>
  </r>
  <r>
    <s v="T329"/>
    <x v="0"/>
    <x v="0"/>
    <x v="2"/>
    <x v="0"/>
    <s v="May"/>
    <x v="1"/>
    <x v="324"/>
    <n v="4.7"/>
    <x v="2"/>
    <n v="4.7"/>
    <x v="8"/>
    <n v="2363"/>
    <x v="0"/>
    <n v="86"/>
    <s v="ML Engineer"/>
    <n v="23.8"/>
    <n v="-9.5"/>
    <x v="230"/>
    <n v="5.4"/>
    <n v="4.5999999999999996"/>
    <n v="4.9000000000000004"/>
    <s v="Bull Market"/>
  </r>
  <r>
    <s v="T330"/>
    <x v="0"/>
    <x v="0"/>
    <x v="4"/>
    <x v="3"/>
    <s v="Sep"/>
    <x v="1"/>
    <x v="79"/>
    <n v="2.1"/>
    <x v="0"/>
    <n v="11.2"/>
    <x v="30"/>
    <n v="8127"/>
    <x v="3"/>
    <n v="80"/>
    <s v="ML Engineer"/>
    <n v="-29.9"/>
    <n v="7.4"/>
    <x v="119"/>
    <n v="8.9"/>
    <n v="6.7"/>
    <n v="7.5"/>
    <s v="Stable"/>
  </r>
  <r>
    <s v="T331"/>
    <x v="1"/>
    <x v="6"/>
    <x v="5"/>
    <x v="0"/>
    <s v="Sep"/>
    <x v="1"/>
    <x v="325"/>
    <n v="6.2"/>
    <x v="3"/>
    <n v="1.5"/>
    <x v="1"/>
    <n v="5806"/>
    <x v="0"/>
    <n v="51.1"/>
    <s v="Frontend Developer"/>
    <n v="41.6"/>
    <n v="-10"/>
    <x v="93"/>
    <n v="1.9"/>
    <n v="5.9"/>
    <n v="5.3"/>
    <s v="Stable"/>
  </r>
  <r>
    <s v="T332"/>
    <x v="0"/>
    <x v="2"/>
    <x v="4"/>
    <x v="3"/>
    <s v="Aug"/>
    <x v="0"/>
    <x v="326"/>
    <n v="16.399999999999999"/>
    <x v="0"/>
    <n v="7"/>
    <x v="5"/>
    <n v="1645"/>
    <x v="1"/>
    <n v="78.5"/>
    <s v="Frontend Developer"/>
    <n v="-4.4000000000000004"/>
    <n v="16.100000000000001"/>
    <x v="35"/>
    <n v="9.5"/>
    <n v="5.7"/>
    <n v="5.0999999999999996"/>
    <s v="Recession"/>
  </r>
  <r>
    <s v="T333"/>
    <x v="9"/>
    <x v="1"/>
    <x v="4"/>
    <x v="2"/>
    <s v="Dec"/>
    <x v="1"/>
    <x v="327"/>
    <n v="3.5"/>
    <x v="4"/>
    <n v="1.4"/>
    <x v="19"/>
    <n v="3661"/>
    <x v="1"/>
    <n v="86.1"/>
    <s v="Data Scientist"/>
    <n v="78.599999999999994"/>
    <n v="-3"/>
    <x v="115"/>
    <n v="1.1000000000000001"/>
    <n v="6.4"/>
    <n v="7.6"/>
    <s v="Bull Market"/>
  </r>
  <r>
    <s v="T334"/>
    <x v="13"/>
    <x v="5"/>
    <x v="0"/>
    <x v="1"/>
    <s v="Aug"/>
    <x v="1"/>
    <x v="328"/>
    <n v="31"/>
    <x v="3"/>
    <n v="4.7"/>
    <x v="30"/>
    <n v="1086"/>
    <x v="2"/>
    <n v="52.4"/>
    <s v="Cybersecurity Analyst"/>
    <n v="2.2999999999999998"/>
    <n v="59.5"/>
    <x v="221"/>
    <n v="3.1"/>
    <n v="7.6"/>
    <n v="5.7"/>
    <s v="Recession"/>
  </r>
  <r>
    <s v="T335"/>
    <x v="4"/>
    <x v="0"/>
    <x v="4"/>
    <x v="2"/>
    <s v="Mar"/>
    <x v="2"/>
    <x v="160"/>
    <n v="6.3"/>
    <x v="2"/>
    <n v="4.4000000000000004"/>
    <x v="16"/>
    <n v="5685"/>
    <x v="0"/>
    <n v="66.599999999999994"/>
    <s v="ML Engineer"/>
    <n v="-8.9"/>
    <n v="49.7"/>
    <x v="231"/>
    <n v="6"/>
    <n v="6.2"/>
    <n v="6.8"/>
    <s v="Bull Market"/>
  </r>
  <r>
    <s v="T336"/>
    <x v="1"/>
    <x v="4"/>
    <x v="5"/>
    <x v="2"/>
    <s v="May"/>
    <x v="1"/>
    <x v="329"/>
    <n v="1.5"/>
    <x v="0"/>
    <n v="7.1"/>
    <x v="33"/>
    <n v="5488"/>
    <x v="0"/>
    <n v="75.400000000000006"/>
    <s v="ML Engineer"/>
    <n v="46.4"/>
    <n v="11.6"/>
    <x v="40"/>
    <n v="6.5"/>
    <n v="8.1"/>
    <n v="5.8"/>
    <s v="Stable"/>
  </r>
  <r>
    <s v="T337"/>
    <x v="13"/>
    <x v="5"/>
    <x v="5"/>
    <x v="0"/>
    <s v="Oct"/>
    <x v="2"/>
    <x v="330"/>
    <n v="12.6"/>
    <x v="0"/>
    <n v="6.8"/>
    <x v="5"/>
    <n v="5649"/>
    <x v="0"/>
    <n v="57"/>
    <s v="ML Engineer"/>
    <n v="51.7"/>
    <n v="50"/>
    <x v="17"/>
    <n v="9.5"/>
    <n v="6.8"/>
    <n v="6"/>
    <s v="Stable"/>
  </r>
  <r>
    <s v="T338"/>
    <x v="7"/>
    <x v="4"/>
    <x v="3"/>
    <x v="3"/>
    <s v="Aug"/>
    <x v="0"/>
    <x v="331"/>
    <n v="10.8"/>
    <x v="2"/>
    <n v="10.199999999999999"/>
    <x v="23"/>
    <n v="3451"/>
    <x v="1"/>
    <n v="83.7"/>
    <s v="DevOps Engineer"/>
    <n v="-16.5"/>
    <n v="6.5"/>
    <x v="232"/>
    <n v="9.1999999999999993"/>
    <n v="5.4"/>
    <n v="6.6"/>
    <s v="Stable"/>
  </r>
  <r>
    <s v="T339"/>
    <x v="9"/>
    <x v="1"/>
    <x v="4"/>
    <x v="0"/>
    <s v="Aug"/>
    <x v="0"/>
    <x v="332"/>
    <n v="2.1"/>
    <x v="4"/>
    <n v="4.2"/>
    <x v="47"/>
    <n v="4132"/>
    <x v="0"/>
    <n v="88.3"/>
    <s v="DevOps Engineer"/>
    <n v="80.8"/>
    <n v="46"/>
    <x v="233"/>
    <n v="3.7"/>
    <n v="8.9"/>
    <n v="8.6"/>
    <s v="Stable"/>
  </r>
  <r>
    <s v="T340"/>
    <x v="4"/>
    <x v="1"/>
    <x v="2"/>
    <x v="0"/>
    <s v="Aug"/>
    <x v="1"/>
    <x v="333"/>
    <n v="6.7"/>
    <x v="1"/>
    <n v="15.2"/>
    <x v="25"/>
    <n v="3133"/>
    <x v="0"/>
    <n v="82.9"/>
    <s v="ML Engineer"/>
    <n v="19.899999999999999"/>
    <n v="-15.9"/>
    <x v="109"/>
    <n v="9.9"/>
    <n v="7"/>
    <n v="4.8"/>
    <s v="Bull Market"/>
  </r>
  <r>
    <s v="T341"/>
    <x v="2"/>
    <x v="2"/>
    <x v="0"/>
    <x v="3"/>
    <s v="Jan"/>
    <x v="0"/>
    <x v="334"/>
    <n v="25.6"/>
    <x v="4"/>
    <n v="3.4"/>
    <x v="7"/>
    <n v="1019"/>
    <x v="2"/>
    <n v="43.6"/>
    <s v="Frontend Developer"/>
    <n v="23"/>
    <n v="36.799999999999997"/>
    <x v="234"/>
    <n v="2.2999999999999998"/>
    <n v="5.2"/>
    <n v="4.9000000000000004"/>
    <s v="Recession"/>
  </r>
  <r>
    <s v="T342"/>
    <x v="2"/>
    <x v="3"/>
    <x v="1"/>
    <x v="3"/>
    <s v="Oct"/>
    <x v="1"/>
    <x v="335"/>
    <n v="8.1"/>
    <x v="0"/>
    <n v="6.4"/>
    <x v="69"/>
    <n v="2069"/>
    <x v="0"/>
    <n v="34"/>
    <s v="DevOps Engineer"/>
    <n v="45.9"/>
    <n v="12.1"/>
    <x v="179"/>
    <n v="6.5"/>
    <n v="5"/>
    <n v="5.3"/>
    <s v="Bull Market"/>
  </r>
  <r>
    <s v="T343"/>
    <x v="12"/>
    <x v="0"/>
    <x v="3"/>
    <x v="3"/>
    <s v="Aug"/>
    <x v="0"/>
    <x v="336"/>
    <n v="3.6"/>
    <x v="0"/>
    <n v="2.6"/>
    <x v="24"/>
    <n v="8595"/>
    <x v="3"/>
    <n v="26.6"/>
    <s v="ML Engineer"/>
    <n v="67.2"/>
    <n v="25.1"/>
    <x v="231"/>
    <n v="3.9"/>
    <n v="8.1"/>
    <n v="6.4"/>
    <s v="Stable"/>
  </r>
  <r>
    <s v="T344"/>
    <x v="2"/>
    <x v="1"/>
    <x v="0"/>
    <x v="3"/>
    <s v="Jun"/>
    <x v="2"/>
    <x v="337"/>
    <n v="2.6"/>
    <x v="2"/>
    <n v="1.9"/>
    <x v="70"/>
    <n v="5039"/>
    <x v="0"/>
    <n v="73.8"/>
    <s v="Cybersecurity Analyst"/>
    <n v="88.1"/>
    <n v="25.1"/>
    <x v="32"/>
    <n v="2"/>
    <n v="5.7"/>
    <n v="8.6"/>
    <s v="Bull Market"/>
  </r>
  <r>
    <s v="T345"/>
    <x v="2"/>
    <x v="2"/>
    <x v="5"/>
    <x v="1"/>
    <s v="Feb"/>
    <x v="1"/>
    <x v="338"/>
    <n v="6.2"/>
    <x v="0"/>
    <n v="9.6"/>
    <x v="52"/>
    <n v="1508"/>
    <x v="1"/>
    <n v="44.7"/>
    <s v="Cybersecurity Analyst"/>
    <n v="53.1"/>
    <n v="3.6"/>
    <x v="235"/>
    <n v="6.1"/>
    <n v="5.3"/>
    <n v="6.1"/>
    <s v="Bull Market"/>
  </r>
  <r>
    <s v="T346"/>
    <x v="14"/>
    <x v="1"/>
    <x v="4"/>
    <x v="3"/>
    <s v="May"/>
    <x v="2"/>
    <x v="339"/>
    <n v="8.3000000000000007"/>
    <x v="1"/>
    <n v="5.6"/>
    <x v="67"/>
    <n v="364"/>
    <x v="1"/>
    <n v="31.6"/>
    <s v="ML Engineer"/>
    <n v="-20.2"/>
    <n v="32.299999999999997"/>
    <x v="236"/>
    <n v="5.6"/>
    <n v="6.6"/>
    <n v="7.4"/>
    <s v="Recession"/>
  </r>
  <r>
    <s v="T347"/>
    <x v="8"/>
    <x v="6"/>
    <x v="4"/>
    <x v="1"/>
    <s v="Jul"/>
    <x v="1"/>
    <x v="340"/>
    <n v="20.2"/>
    <x v="2"/>
    <n v="12"/>
    <x v="15"/>
    <n v="1926"/>
    <x v="1"/>
    <n v="55.5"/>
    <s v="Cloud Engineer"/>
    <n v="5.3"/>
    <n v="-4.4000000000000004"/>
    <x v="237"/>
    <n v="7.2"/>
    <n v="6.6"/>
    <n v="4"/>
    <s v="Recession"/>
  </r>
  <r>
    <s v="T348"/>
    <x v="11"/>
    <x v="6"/>
    <x v="4"/>
    <x v="1"/>
    <s v="Jul"/>
    <x v="2"/>
    <x v="341"/>
    <n v="12.9"/>
    <x v="1"/>
    <n v="8.1999999999999993"/>
    <x v="2"/>
    <n v="101"/>
    <x v="1"/>
    <n v="56.1"/>
    <s v="DevOps Engineer"/>
    <n v="88.7"/>
    <n v="50"/>
    <x v="238"/>
    <n v="4.9000000000000004"/>
    <n v="7.6"/>
    <n v="6.7"/>
    <s v="Recession"/>
  </r>
  <r>
    <s v="T349"/>
    <x v="14"/>
    <x v="1"/>
    <x v="3"/>
    <x v="0"/>
    <s v="Jul"/>
    <x v="2"/>
    <x v="342"/>
    <n v="3.6"/>
    <x v="2"/>
    <n v="3"/>
    <x v="62"/>
    <n v="4134"/>
    <x v="0"/>
    <n v="29.5"/>
    <s v="Data Scientist"/>
    <n v="53"/>
    <n v="37.9"/>
    <x v="198"/>
    <n v="1.8"/>
    <n v="7.9"/>
    <n v="9"/>
    <s v="Bull Market"/>
  </r>
  <r>
    <s v="T350"/>
    <x v="2"/>
    <x v="1"/>
    <x v="5"/>
    <x v="3"/>
    <s v="Jun"/>
    <x v="0"/>
    <x v="343"/>
    <n v="5.0999999999999996"/>
    <x v="1"/>
    <n v="5.8"/>
    <x v="17"/>
    <n v="4084"/>
    <x v="0"/>
    <n v="69.099999999999994"/>
    <s v="Data Scientist"/>
    <n v="77"/>
    <n v="-0.9"/>
    <x v="7"/>
    <n v="3.5"/>
    <n v="7.6"/>
    <n v="7.1"/>
    <s v="Bull Market"/>
  </r>
  <r>
    <s v="T351"/>
    <x v="0"/>
    <x v="1"/>
    <x v="2"/>
    <x v="1"/>
    <s v="Nov"/>
    <x v="2"/>
    <x v="344"/>
    <n v="15"/>
    <x v="0"/>
    <n v="1.5"/>
    <x v="10"/>
    <n v="101"/>
    <x v="2"/>
    <n v="68.099999999999994"/>
    <s v="Frontend Developer"/>
    <n v="83.7"/>
    <n v="-19.2"/>
    <x v="239"/>
    <n v="1.3"/>
    <n v="6.3"/>
    <n v="4.5999999999999996"/>
    <s v="Recession"/>
  </r>
  <r>
    <s v="T352"/>
    <x v="0"/>
    <x v="1"/>
    <x v="4"/>
    <x v="0"/>
    <s v="Oct"/>
    <x v="0"/>
    <x v="345"/>
    <n v="17.3"/>
    <x v="4"/>
    <n v="1.1000000000000001"/>
    <x v="66"/>
    <n v="3138"/>
    <x v="1"/>
    <n v="22.9"/>
    <s v="DevOps Engineer"/>
    <n v="80"/>
    <n v="-13"/>
    <x v="4"/>
    <n v="1.3"/>
    <n v="5.2"/>
    <n v="5"/>
    <s v="Stable"/>
  </r>
  <r>
    <s v="T353"/>
    <x v="0"/>
    <x v="1"/>
    <x v="3"/>
    <x v="3"/>
    <s v="Apr"/>
    <x v="1"/>
    <x v="346"/>
    <n v="38.299999999999997"/>
    <x v="1"/>
    <n v="6.6"/>
    <x v="5"/>
    <n v="1118"/>
    <x v="2"/>
    <n v="25"/>
    <s v="Data Scientist"/>
    <n v="-43.8"/>
    <n v="39.799999999999997"/>
    <x v="240"/>
    <n v="7.5"/>
    <n v="6.7"/>
    <n v="2.4"/>
    <s v="Recession"/>
  </r>
  <r>
    <s v="T354"/>
    <x v="6"/>
    <x v="1"/>
    <x v="2"/>
    <x v="1"/>
    <s v="Oct"/>
    <x v="2"/>
    <x v="347"/>
    <n v="15.8"/>
    <x v="2"/>
    <n v="4.4000000000000004"/>
    <x v="17"/>
    <n v="4902"/>
    <x v="1"/>
    <n v="61.6"/>
    <s v="ML Engineer"/>
    <n v="-29.6"/>
    <n v="15.5"/>
    <x v="79"/>
    <n v="3.8"/>
    <n v="6.2"/>
    <n v="6.4"/>
    <s v="Stable"/>
  </r>
  <r>
    <s v="T355"/>
    <x v="2"/>
    <x v="0"/>
    <x v="4"/>
    <x v="2"/>
    <s v="Dec"/>
    <x v="1"/>
    <x v="348"/>
    <n v="19"/>
    <x v="4"/>
    <n v="6.9"/>
    <x v="5"/>
    <n v="1741"/>
    <x v="1"/>
    <n v="28.2"/>
    <s v="Data Scientist"/>
    <n v="-41.7"/>
    <n v="53.1"/>
    <x v="241"/>
    <n v="4.5"/>
    <n v="9"/>
    <n v="6.2"/>
    <s v="Recession"/>
  </r>
  <r>
    <s v="T356"/>
    <x v="2"/>
    <x v="2"/>
    <x v="0"/>
    <x v="0"/>
    <s v="Mar"/>
    <x v="1"/>
    <x v="349"/>
    <n v="2.9"/>
    <x v="0"/>
    <n v="1"/>
    <x v="77"/>
    <n v="1858"/>
    <x v="0"/>
    <n v="18.3"/>
    <s v="ML Engineer"/>
    <n v="34"/>
    <n v="54.4"/>
    <x v="242"/>
    <n v="1.7"/>
    <n v="9.1"/>
    <n v="8.5"/>
    <s v="Bull Market"/>
  </r>
  <r>
    <s v="T357"/>
    <x v="10"/>
    <x v="3"/>
    <x v="3"/>
    <x v="0"/>
    <s v="Jan"/>
    <x v="2"/>
    <x v="350"/>
    <n v="17.399999999999999"/>
    <x v="3"/>
    <n v="6.5"/>
    <x v="5"/>
    <n v="5176"/>
    <x v="0"/>
    <n v="26.2"/>
    <s v="DevOps Engineer"/>
    <n v="10.199999999999999"/>
    <n v="2"/>
    <x v="70"/>
    <n v="7.4"/>
    <n v="3.7"/>
    <n v="5.3"/>
    <s v="Stable"/>
  </r>
  <r>
    <s v="T358"/>
    <x v="0"/>
    <x v="0"/>
    <x v="3"/>
    <x v="0"/>
    <s v="Jun"/>
    <x v="0"/>
    <x v="351"/>
    <n v="2.2000000000000002"/>
    <x v="0"/>
    <n v="6.4"/>
    <x v="76"/>
    <n v="3962"/>
    <x v="3"/>
    <n v="61.1"/>
    <s v="Data Scientist"/>
    <n v="-38.4"/>
    <n v="42.4"/>
    <x v="154"/>
    <n v="6.8"/>
    <n v="7.1"/>
    <n v="8.8000000000000007"/>
    <s v="Bull Market"/>
  </r>
  <r>
    <s v="T359"/>
    <x v="6"/>
    <x v="1"/>
    <x v="0"/>
    <x v="3"/>
    <s v="Dec"/>
    <x v="0"/>
    <x v="352"/>
    <n v="7.1"/>
    <x v="4"/>
    <n v="8"/>
    <x v="72"/>
    <n v="3722"/>
    <x v="0"/>
    <n v="52.1"/>
    <s v="ML Engineer"/>
    <n v="-9.6"/>
    <n v="-10.4"/>
    <x v="243"/>
    <n v="5.5"/>
    <n v="4.5"/>
    <n v="5.4"/>
    <s v="Bull Market"/>
  </r>
  <r>
    <s v="T360"/>
    <x v="12"/>
    <x v="0"/>
    <x v="1"/>
    <x v="0"/>
    <s v="Jan"/>
    <x v="2"/>
    <x v="353"/>
    <n v="9.8000000000000007"/>
    <x v="4"/>
    <n v="11"/>
    <x v="17"/>
    <n v="1039"/>
    <x v="0"/>
    <n v="71.8"/>
    <s v="Data Scientist"/>
    <n v="37.5"/>
    <n v="47.5"/>
    <x v="244"/>
    <n v="7.1"/>
    <n v="9.1999999999999993"/>
    <n v="6.9"/>
    <s v="Bull Market"/>
  </r>
  <r>
    <s v="T361"/>
    <x v="8"/>
    <x v="6"/>
    <x v="0"/>
    <x v="2"/>
    <s v="Mar"/>
    <x v="0"/>
    <x v="354"/>
    <n v="39.9"/>
    <x v="4"/>
    <n v="6.1"/>
    <x v="5"/>
    <n v="158"/>
    <x v="2"/>
    <n v="20.8"/>
    <s v="Data Scientist"/>
    <n v="63.5"/>
    <n v="11.8"/>
    <x v="102"/>
    <n v="7.1"/>
    <n v="5.8"/>
    <n v="2.5"/>
    <s v="Recession"/>
  </r>
  <r>
    <s v="T362"/>
    <x v="12"/>
    <x v="0"/>
    <x v="0"/>
    <x v="2"/>
    <s v="Oct"/>
    <x v="0"/>
    <x v="355"/>
    <n v="3"/>
    <x v="4"/>
    <n v="7"/>
    <x v="29"/>
    <n v="7817"/>
    <x v="3"/>
    <n v="64.5"/>
    <s v="Data Scientist"/>
    <n v="69.099999999999994"/>
    <n v="-24.2"/>
    <x v="245"/>
    <n v="7.4"/>
    <n v="6.7"/>
    <n v="6.5"/>
    <s v="Stable"/>
  </r>
  <r>
    <s v="T363"/>
    <x v="0"/>
    <x v="1"/>
    <x v="0"/>
    <x v="2"/>
    <s v="Jan"/>
    <x v="0"/>
    <x v="356"/>
    <n v="16.100000000000001"/>
    <x v="3"/>
    <n v="6.4"/>
    <x v="23"/>
    <n v="3659"/>
    <x v="1"/>
    <n v="49"/>
    <s v="Data Scientist"/>
    <n v="85.9"/>
    <n v="48.3"/>
    <x v="36"/>
    <n v="4.2"/>
    <n v="8"/>
    <n v="6.1"/>
    <s v="Stable"/>
  </r>
  <r>
    <s v="T364"/>
    <x v="0"/>
    <x v="0"/>
    <x v="0"/>
    <x v="3"/>
    <s v="Oct"/>
    <x v="0"/>
    <x v="357"/>
    <n v="4.3"/>
    <x v="0"/>
    <n v="8.8000000000000007"/>
    <x v="54"/>
    <n v="7795"/>
    <x v="0"/>
    <n v="78.7"/>
    <s v="Data Scientist"/>
    <n v="-33"/>
    <n v="-4.7"/>
    <x v="246"/>
    <n v="7.2"/>
    <n v="5.8"/>
    <n v="5.9"/>
    <s v="Stable"/>
  </r>
  <r>
    <s v="T365"/>
    <x v="14"/>
    <x v="1"/>
    <x v="0"/>
    <x v="2"/>
    <s v="Oct"/>
    <x v="2"/>
    <x v="358"/>
    <n v="1"/>
    <x v="2"/>
    <n v="4.7"/>
    <x v="34"/>
    <n v="2162"/>
    <x v="0"/>
    <n v="19"/>
    <s v="Product Manager"/>
    <n v="33.799999999999997"/>
    <n v="-12.6"/>
    <x v="247"/>
    <n v="3"/>
    <n v="6.5"/>
    <n v="7.3"/>
    <s v="Bull Market"/>
  </r>
  <r>
    <s v="T366"/>
    <x v="2"/>
    <x v="0"/>
    <x v="2"/>
    <x v="2"/>
    <s v="Jun"/>
    <x v="1"/>
    <x v="359"/>
    <n v="12.7"/>
    <x v="4"/>
    <n v="2.8"/>
    <x v="31"/>
    <n v="5969"/>
    <x v="1"/>
    <n v="20.100000000000001"/>
    <s v="ML Engineer"/>
    <n v="58.6"/>
    <n v="31.6"/>
    <x v="248"/>
    <n v="2.9"/>
    <n v="6.8"/>
    <n v="6.4"/>
    <s v="Stable"/>
  </r>
  <r>
    <s v="T367"/>
    <x v="17"/>
    <x v="0"/>
    <x v="4"/>
    <x v="2"/>
    <s v="Sep"/>
    <x v="2"/>
    <x v="360"/>
    <n v="22.4"/>
    <x v="0"/>
    <n v="2.5"/>
    <x v="66"/>
    <n v="3513"/>
    <x v="1"/>
    <n v="58.5"/>
    <s v="ML Engineer"/>
    <n v="56.1"/>
    <n v="-7.7"/>
    <x v="249"/>
    <n v="1.7"/>
    <n v="4.3"/>
    <n v="5.6"/>
    <s v="Recession"/>
  </r>
  <r>
    <s v="T368"/>
    <x v="12"/>
    <x v="5"/>
    <x v="3"/>
    <x v="1"/>
    <s v="Sep"/>
    <x v="1"/>
    <x v="361"/>
    <n v="9.6"/>
    <x v="0"/>
    <n v="1.4"/>
    <x v="12"/>
    <n v="1104"/>
    <x v="1"/>
    <n v="11.4"/>
    <s v="Frontend Developer"/>
    <n v="21.3"/>
    <n v="-8.3000000000000007"/>
    <x v="83"/>
    <n v="1.6"/>
    <n v="7.6"/>
    <n v="5.8"/>
    <s v="Stable"/>
  </r>
  <r>
    <s v="T369"/>
    <x v="8"/>
    <x v="4"/>
    <x v="0"/>
    <x v="0"/>
    <s v="Dec"/>
    <x v="2"/>
    <x v="362"/>
    <n v="9.8000000000000007"/>
    <x v="3"/>
    <n v="9.1"/>
    <x v="5"/>
    <n v="724"/>
    <x v="1"/>
    <n v="62.9"/>
    <s v="DevOps Engineer"/>
    <n v="63.1"/>
    <n v="45.5"/>
    <x v="250"/>
    <n v="6.4"/>
    <n v="6.3"/>
    <n v="5.6"/>
    <s v="Bull Market"/>
  </r>
  <r>
    <s v="T370"/>
    <x v="18"/>
    <x v="0"/>
    <x v="5"/>
    <x v="0"/>
    <s v="May"/>
    <x v="1"/>
    <x v="363"/>
    <n v="13.1"/>
    <x v="4"/>
    <n v="9.8000000000000007"/>
    <x v="84"/>
    <n v="8041"/>
    <x v="3"/>
    <n v="50.7"/>
    <s v="Data Scientist"/>
    <n v="-21.5"/>
    <n v="-10.1"/>
    <x v="141"/>
    <n v="9.8000000000000007"/>
    <n v="5.2"/>
    <n v="3.6"/>
    <s v="Stable"/>
  </r>
  <r>
    <s v="T371"/>
    <x v="13"/>
    <x v="5"/>
    <x v="1"/>
    <x v="1"/>
    <s v="Feb"/>
    <x v="2"/>
    <x v="364"/>
    <n v="11.1"/>
    <x v="4"/>
    <n v="15.3"/>
    <x v="5"/>
    <n v="5252"/>
    <x v="0"/>
    <n v="31.5"/>
    <s v="Product Manager"/>
    <n v="-12.8"/>
    <n v="37.700000000000003"/>
    <x v="251"/>
    <n v="9.3000000000000007"/>
    <n v="6.2"/>
    <n v="6.5"/>
    <s v="Stable"/>
  </r>
  <r>
    <s v="T372"/>
    <x v="4"/>
    <x v="0"/>
    <x v="5"/>
    <x v="0"/>
    <s v="May"/>
    <x v="1"/>
    <x v="365"/>
    <n v="32.799999999999997"/>
    <x v="1"/>
    <n v="1.9"/>
    <x v="11"/>
    <n v="2198"/>
    <x v="2"/>
    <n v="71.8"/>
    <s v="Data Scientist"/>
    <n v="12.6"/>
    <n v="-0.1"/>
    <x v="252"/>
    <n v="2.2999999999999998"/>
    <n v="4"/>
    <n v="3.4"/>
    <s v="Recession"/>
  </r>
  <r>
    <s v="T373"/>
    <x v="8"/>
    <x v="4"/>
    <x v="5"/>
    <x v="3"/>
    <s v="Feb"/>
    <x v="2"/>
    <x v="366"/>
    <n v="4.4000000000000004"/>
    <x v="4"/>
    <n v="1.1000000000000001"/>
    <x v="81"/>
    <n v="5579"/>
    <x v="0"/>
    <n v="85.5"/>
    <s v="Cybersecurity Analyst"/>
    <n v="-35.5"/>
    <n v="27.2"/>
    <x v="127"/>
    <n v="1.8"/>
    <n v="8.1"/>
    <n v="7.3"/>
    <s v="Stable"/>
  </r>
  <r>
    <s v="T374"/>
    <x v="13"/>
    <x v="5"/>
    <x v="1"/>
    <x v="3"/>
    <s v="Nov"/>
    <x v="1"/>
    <x v="367"/>
    <n v="5"/>
    <x v="4"/>
    <n v="5.0999999999999996"/>
    <x v="20"/>
    <n v="1663"/>
    <x v="1"/>
    <n v="47"/>
    <s v="Data Scientist"/>
    <n v="3.2"/>
    <n v="34.1"/>
    <x v="253"/>
    <n v="3.7"/>
    <n v="9.5"/>
    <n v="7.6"/>
    <s v="Bull Market"/>
  </r>
  <r>
    <s v="T375"/>
    <x v="0"/>
    <x v="0"/>
    <x v="1"/>
    <x v="2"/>
    <s v="Apr"/>
    <x v="1"/>
    <x v="368"/>
    <n v="6.3"/>
    <x v="3"/>
    <n v="4"/>
    <x v="66"/>
    <n v="1852"/>
    <x v="0"/>
    <n v="65.599999999999994"/>
    <s v="ML Engineer"/>
    <n v="78.099999999999994"/>
    <n v="50.2"/>
    <x v="181"/>
    <n v="4.5"/>
    <n v="8.6"/>
    <n v="7.8"/>
    <s v="Bull Market"/>
  </r>
  <r>
    <s v="T376"/>
    <x v="11"/>
    <x v="6"/>
    <x v="0"/>
    <x v="2"/>
    <s v="May"/>
    <x v="1"/>
    <x v="369"/>
    <n v="4.5"/>
    <x v="0"/>
    <n v="8.5"/>
    <x v="67"/>
    <n v="2526"/>
    <x v="0"/>
    <n v="70.7"/>
    <s v="Frontend Developer"/>
    <n v="87"/>
    <n v="-20.100000000000001"/>
    <x v="254"/>
    <n v="5.7"/>
    <n v="6.4"/>
    <n v="4.5"/>
    <s v="Bull Market"/>
  </r>
  <r>
    <s v="T377"/>
    <x v="2"/>
    <x v="1"/>
    <x v="2"/>
    <x v="3"/>
    <s v="Oct"/>
    <x v="1"/>
    <x v="370"/>
    <n v="11.9"/>
    <x v="0"/>
    <n v="7.7"/>
    <x v="14"/>
    <n v="3193"/>
    <x v="0"/>
    <n v="29.4"/>
    <s v="ML Engineer"/>
    <n v="76.900000000000006"/>
    <n v="19.899999999999999"/>
    <x v="255"/>
    <n v="5.8"/>
    <n v="8.3000000000000007"/>
    <n v="5.9"/>
    <s v="Stable"/>
  </r>
  <r>
    <s v="T378"/>
    <x v="4"/>
    <x v="1"/>
    <x v="2"/>
    <x v="0"/>
    <s v="Oct"/>
    <x v="1"/>
    <x v="371"/>
    <n v="7.8"/>
    <x v="4"/>
    <n v="7.8"/>
    <x v="73"/>
    <n v="1922"/>
    <x v="1"/>
    <n v="17.2"/>
    <s v="Frontend Developer"/>
    <n v="12.6"/>
    <n v="10.199999999999999"/>
    <x v="256"/>
    <n v="5.8"/>
    <n v="5.8"/>
    <n v="5.6"/>
    <s v="Bull Market"/>
  </r>
  <r>
    <s v="T379"/>
    <x v="12"/>
    <x v="5"/>
    <x v="0"/>
    <x v="3"/>
    <s v="Oct"/>
    <x v="0"/>
    <x v="372"/>
    <n v="2.4"/>
    <x v="2"/>
    <n v="9.6"/>
    <x v="14"/>
    <n v="5679"/>
    <x v="0"/>
    <n v="41.9"/>
    <s v="Product Manager"/>
    <n v="-19.899999999999999"/>
    <n v="45"/>
    <x v="257"/>
    <n v="6.2"/>
    <n v="7.7"/>
    <n v="6.8"/>
    <s v="Bull Market"/>
  </r>
  <r>
    <s v="T380"/>
    <x v="4"/>
    <x v="1"/>
    <x v="3"/>
    <x v="2"/>
    <s v="Sep"/>
    <x v="1"/>
    <x v="373"/>
    <n v="4.2"/>
    <x v="1"/>
    <n v="3.5"/>
    <x v="0"/>
    <n v="3721"/>
    <x v="1"/>
    <n v="82.9"/>
    <s v="ML Engineer"/>
    <n v="-23.8"/>
    <n v="35.200000000000003"/>
    <x v="258"/>
    <n v="2.2999999999999998"/>
    <n v="9.1"/>
    <n v="6.8"/>
    <s v="Bull Market"/>
  </r>
  <r>
    <s v="T381"/>
    <x v="0"/>
    <x v="1"/>
    <x v="5"/>
    <x v="2"/>
    <s v="Feb"/>
    <x v="1"/>
    <x v="374"/>
    <n v="2.8"/>
    <x v="2"/>
    <n v="3"/>
    <x v="38"/>
    <n v="4766"/>
    <x v="1"/>
    <n v="57.9"/>
    <s v="ML Engineer"/>
    <n v="-25.3"/>
    <n v="-24.6"/>
    <x v="141"/>
    <n v="2.8"/>
    <n v="7.4"/>
    <n v="5.4"/>
    <s v="Bull Market"/>
  </r>
  <r>
    <s v="T382"/>
    <x v="9"/>
    <x v="0"/>
    <x v="2"/>
    <x v="0"/>
    <s v="Dec"/>
    <x v="1"/>
    <x v="375"/>
    <n v="24.4"/>
    <x v="0"/>
    <n v="5.7"/>
    <x v="5"/>
    <n v="2600"/>
    <x v="1"/>
    <n v="31.8"/>
    <s v="ML Engineer"/>
    <n v="0.7"/>
    <n v="13.5"/>
    <x v="218"/>
    <n v="9.4"/>
    <n v="6.2"/>
    <n v="3.1"/>
    <s v="Recession"/>
  </r>
  <r>
    <s v="T383"/>
    <x v="5"/>
    <x v="3"/>
    <x v="1"/>
    <x v="3"/>
    <s v="Oct"/>
    <x v="0"/>
    <x v="254"/>
    <n v="2.2999999999999998"/>
    <x v="3"/>
    <n v="5.5"/>
    <x v="13"/>
    <n v="5335"/>
    <x v="0"/>
    <n v="77.099999999999994"/>
    <s v="Software Engineer"/>
    <n v="54.5"/>
    <n v="4.7"/>
    <x v="259"/>
    <n v="3.5"/>
    <n v="7.8"/>
    <n v="7.1"/>
    <s v="Bull Market"/>
  </r>
  <r>
    <s v="T384"/>
    <x v="1"/>
    <x v="6"/>
    <x v="4"/>
    <x v="0"/>
    <s v="Nov"/>
    <x v="0"/>
    <x v="376"/>
    <n v="8.1"/>
    <x v="2"/>
    <n v="3.1"/>
    <x v="83"/>
    <n v="5014"/>
    <x v="1"/>
    <n v="36.700000000000003"/>
    <s v="DevOps Engineer"/>
    <n v="56.2"/>
    <n v="29.5"/>
    <x v="132"/>
    <n v="3.7"/>
    <n v="9.1"/>
    <n v="6"/>
    <s v="Stable"/>
  </r>
  <r>
    <s v="T385"/>
    <x v="14"/>
    <x v="1"/>
    <x v="1"/>
    <x v="3"/>
    <s v="Apr"/>
    <x v="1"/>
    <x v="377"/>
    <n v="30.9"/>
    <x v="2"/>
    <n v="7.2"/>
    <x v="5"/>
    <n v="1988"/>
    <x v="1"/>
    <n v="58.8"/>
    <s v="Software Engineer"/>
    <n v="46.9"/>
    <n v="3.9"/>
    <x v="135"/>
    <n v="7.2"/>
    <n v="3.9"/>
    <n v="3.5"/>
    <s v="Recession"/>
  </r>
  <r>
    <s v="T386"/>
    <x v="12"/>
    <x v="5"/>
    <x v="4"/>
    <x v="1"/>
    <s v="Mar"/>
    <x v="2"/>
    <x v="378"/>
    <n v="11.1"/>
    <x v="4"/>
    <n v="4.0999999999999996"/>
    <x v="56"/>
    <n v="989"/>
    <x v="1"/>
    <n v="45.5"/>
    <s v="DevOps Engineer"/>
    <n v="87.3"/>
    <n v="-13.2"/>
    <x v="142"/>
    <n v="2.5"/>
    <n v="5.3"/>
    <n v="5.3"/>
    <s v="Stable"/>
  </r>
  <r>
    <s v="T387"/>
    <x v="8"/>
    <x v="6"/>
    <x v="1"/>
    <x v="1"/>
    <s v="Dec"/>
    <x v="1"/>
    <x v="379"/>
    <n v="4.7"/>
    <x v="3"/>
    <n v="6.3"/>
    <x v="76"/>
    <n v="1919"/>
    <x v="1"/>
    <n v="76.099999999999994"/>
    <s v="Frontend Developer"/>
    <n v="19.3"/>
    <n v="30.2"/>
    <x v="240"/>
    <n v="4.4000000000000004"/>
    <n v="5.7"/>
    <n v="7.5"/>
    <s v="Bull Market"/>
  </r>
  <r>
    <s v="T388"/>
    <x v="18"/>
    <x v="0"/>
    <x v="1"/>
    <x v="2"/>
    <s v="Mar"/>
    <x v="2"/>
    <x v="380"/>
    <n v="4.7"/>
    <x v="3"/>
    <n v="8.6"/>
    <x v="78"/>
    <n v="4768"/>
    <x v="0"/>
    <n v="57.1"/>
    <s v="ML Engineer"/>
    <n v="46.8"/>
    <n v="16.7"/>
    <x v="260"/>
    <n v="5.5"/>
    <n v="8.8000000000000007"/>
    <n v="7.4"/>
    <s v="Stable"/>
  </r>
  <r>
    <s v="T389"/>
    <x v="2"/>
    <x v="1"/>
    <x v="0"/>
    <x v="1"/>
    <s v="Dec"/>
    <x v="1"/>
    <x v="381"/>
    <n v="8.9"/>
    <x v="1"/>
    <n v="3.6"/>
    <x v="29"/>
    <n v="340"/>
    <x v="1"/>
    <n v="49.6"/>
    <s v="Cloud Engineer"/>
    <n v="2.2000000000000002"/>
    <n v="42.1"/>
    <x v="261"/>
    <n v="5.9"/>
    <n v="6.4"/>
    <n v="6.1"/>
    <s v="Bull Market"/>
  </r>
  <r>
    <s v="T390"/>
    <x v="2"/>
    <x v="0"/>
    <x v="0"/>
    <x v="1"/>
    <s v="Apr"/>
    <x v="0"/>
    <x v="382"/>
    <n v="2.9"/>
    <x v="3"/>
    <n v="14.8"/>
    <x v="44"/>
    <n v="9240"/>
    <x v="3"/>
    <n v="42.4"/>
    <s v="Data Scientist"/>
    <n v="1.4"/>
    <n v="39.6"/>
    <x v="236"/>
    <n v="9.6999999999999993"/>
    <n v="6.1"/>
    <n v="8.6999999999999993"/>
    <s v="Bull Market"/>
  </r>
  <r>
    <s v="T391"/>
    <x v="10"/>
    <x v="3"/>
    <x v="1"/>
    <x v="2"/>
    <s v="Jul"/>
    <x v="1"/>
    <x v="383"/>
    <n v="16.8"/>
    <x v="4"/>
    <n v="4.7"/>
    <x v="33"/>
    <n v="4803"/>
    <x v="1"/>
    <n v="45.7"/>
    <s v="Cloud Engineer"/>
    <n v="84.5"/>
    <n v="-10.1"/>
    <x v="262"/>
    <n v="4.4000000000000004"/>
    <n v="6.9"/>
    <n v="5"/>
    <s v="Stable"/>
  </r>
  <r>
    <s v="T392"/>
    <x v="6"/>
    <x v="2"/>
    <x v="2"/>
    <x v="2"/>
    <s v="Jul"/>
    <x v="1"/>
    <x v="384"/>
    <n v="12.5"/>
    <x v="1"/>
    <n v="7.4"/>
    <x v="43"/>
    <n v="5210"/>
    <x v="0"/>
    <n v="36"/>
    <s v="Product Manager"/>
    <n v="-4"/>
    <n v="54.9"/>
    <x v="263"/>
    <n v="8.8000000000000007"/>
    <n v="6.9"/>
    <n v="6.8"/>
    <s v="Stable"/>
  </r>
  <r>
    <s v="T393"/>
    <x v="7"/>
    <x v="4"/>
    <x v="2"/>
    <x v="2"/>
    <s v="Nov"/>
    <x v="2"/>
    <x v="385"/>
    <n v="30.2"/>
    <x v="3"/>
    <n v="4.8"/>
    <x v="5"/>
    <n v="824"/>
    <x v="2"/>
    <n v="21.8"/>
    <s v="Data Scientist"/>
    <n v="51"/>
    <n v="48.2"/>
    <x v="61"/>
    <n v="3.2"/>
    <n v="7.2"/>
    <n v="4.7"/>
    <s v="Recession"/>
  </r>
  <r>
    <s v="T394"/>
    <x v="13"/>
    <x v="5"/>
    <x v="0"/>
    <x v="3"/>
    <s v="Apr"/>
    <x v="2"/>
    <x v="386"/>
    <n v="1.8"/>
    <x v="2"/>
    <n v="5.4"/>
    <x v="76"/>
    <n v="433"/>
    <x v="1"/>
    <n v="49.7"/>
    <s v="ML Engineer"/>
    <n v="48.1"/>
    <n v="36.200000000000003"/>
    <x v="263"/>
    <n v="4.9000000000000004"/>
    <n v="6.8"/>
    <n v="9.1"/>
    <s v="Bull Market"/>
  </r>
  <r>
    <s v="T395"/>
    <x v="13"/>
    <x v="5"/>
    <x v="5"/>
    <x v="1"/>
    <s v="Mar"/>
    <x v="1"/>
    <x v="387"/>
    <n v="27.3"/>
    <x v="1"/>
    <n v="9.1999999999999993"/>
    <x v="5"/>
    <n v="1054"/>
    <x v="2"/>
    <n v="46.4"/>
    <s v="Data Scientist"/>
    <n v="66.2"/>
    <n v="1.7"/>
    <x v="264"/>
    <n v="7"/>
    <n v="4.5999999999999996"/>
    <n v="3.9"/>
    <s v="Recession"/>
  </r>
  <r>
    <s v="T396"/>
    <x v="0"/>
    <x v="0"/>
    <x v="3"/>
    <x v="2"/>
    <s v="Mar"/>
    <x v="0"/>
    <x v="388"/>
    <n v="0.7"/>
    <x v="2"/>
    <n v="4.3"/>
    <x v="18"/>
    <n v="6255"/>
    <x v="0"/>
    <n v="37"/>
    <s v="Data Scientist"/>
    <n v="77.3"/>
    <n v="-3.3"/>
    <x v="227"/>
    <n v="5.3"/>
    <n v="7.7"/>
    <n v="5.7"/>
    <s v="Bull Market"/>
  </r>
  <r>
    <s v="T397"/>
    <x v="0"/>
    <x v="2"/>
    <x v="3"/>
    <x v="0"/>
    <s v="Oct"/>
    <x v="2"/>
    <x v="389"/>
    <n v="1.6"/>
    <x v="2"/>
    <n v="2.5"/>
    <x v="68"/>
    <n v="1828"/>
    <x v="1"/>
    <n v="63.7"/>
    <s v="Software Engineer"/>
    <n v="-18"/>
    <n v="14.9"/>
    <x v="265"/>
    <n v="4"/>
    <n v="5.4"/>
    <n v="7.6"/>
    <s v="Bull Market"/>
  </r>
  <r>
    <s v="T398"/>
    <x v="6"/>
    <x v="2"/>
    <x v="0"/>
    <x v="0"/>
    <s v="May"/>
    <x v="0"/>
    <x v="390"/>
    <n v="11.9"/>
    <x v="2"/>
    <n v="5.0999999999999996"/>
    <x v="1"/>
    <n v="2914"/>
    <x v="1"/>
    <n v="59.4"/>
    <s v="Frontend Developer"/>
    <n v="-40"/>
    <n v="42.9"/>
    <x v="266"/>
    <n v="7.5"/>
    <n v="6.6"/>
    <n v="6.3"/>
    <s v="Stable"/>
  </r>
  <r>
    <s v="T399"/>
    <x v="12"/>
    <x v="5"/>
    <x v="3"/>
    <x v="2"/>
    <s v="Sep"/>
    <x v="2"/>
    <x v="391"/>
    <n v="11.3"/>
    <x v="2"/>
    <n v="8.6"/>
    <x v="72"/>
    <n v="1650"/>
    <x v="1"/>
    <n v="67.8"/>
    <s v="Cloud Engineer"/>
    <n v="-42.1"/>
    <n v="25.5"/>
    <x v="66"/>
    <n v="5.3"/>
    <n v="7.2"/>
    <n v="6.2"/>
    <s v="Stable"/>
  </r>
  <r>
    <s v="T400"/>
    <x v="17"/>
    <x v="3"/>
    <x v="0"/>
    <x v="0"/>
    <s v="Oct"/>
    <x v="1"/>
    <x v="392"/>
    <n v="14.3"/>
    <x v="1"/>
    <n v="3.7"/>
    <x v="41"/>
    <n v="982"/>
    <x v="2"/>
    <n v="37"/>
    <s v="Software Engineer"/>
    <n v="0.4"/>
    <n v="24.8"/>
    <x v="255"/>
    <n v="3.7"/>
    <n v="5.9"/>
    <n v="6.6"/>
    <s v="Stable"/>
  </r>
  <r>
    <s v="T401"/>
    <x v="0"/>
    <x v="0"/>
    <x v="2"/>
    <x v="3"/>
    <s v="Dec"/>
    <x v="0"/>
    <x v="393"/>
    <n v="23.6"/>
    <x v="4"/>
    <n v="13.2"/>
    <x v="5"/>
    <n v="9493"/>
    <x v="3"/>
    <n v="23.4"/>
    <s v="ML Engineer"/>
    <n v="1.6"/>
    <n v="-13.5"/>
    <x v="93"/>
    <n v="8.9"/>
    <n v="4.0999999999999996"/>
    <n v="4.2"/>
    <s v="Recession"/>
  </r>
  <r>
    <s v="T402"/>
    <x v="17"/>
    <x v="0"/>
    <x v="4"/>
    <x v="1"/>
    <s v="Feb"/>
    <x v="1"/>
    <x v="394"/>
    <n v="25.5"/>
    <x v="1"/>
    <n v="7.4"/>
    <x v="5"/>
    <n v="5648"/>
    <x v="1"/>
    <n v="31.5"/>
    <s v="Data Scientist"/>
    <n v="71.5"/>
    <n v="-0.9"/>
    <x v="21"/>
    <n v="5.0999999999999996"/>
    <n v="4.8"/>
    <n v="3.7"/>
    <s v="Recession"/>
  </r>
  <r>
    <s v="T403"/>
    <x v="9"/>
    <x v="0"/>
    <x v="3"/>
    <x v="0"/>
    <s v="Mar"/>
    <x v="0"/>
    <x v="395"/>
    <n v="9"/>
    <x v="3"/>
    <n v="6.8"/>
    <x v="5"/>
    <n v="3796"/>
    <x v="0"/>
    <n v="53"/>
    <s v="Data Scientist"/>
    <n v="-10.3"/>
    <n v="-14.4"/>
    <x v="50"/>
    <n v="9.6999999999999993"/>
    <n v="5.3"/>
    <n v="4.0999999999999996"/>
    <s v="Bull Market"/>
  </r>
  <r>
    <s v="T404"/>
    <x v="6"/>
    <x v="1"/>
    <x v="4"/>
    <x v="0"/>
    <s v="May"/>
    <x v="2"/>
    <x v="396"/>
    <n v="7.5"/>
    <x v="1"/>
    <n v="7.8"/>
    <x v="43"/>
    <n v="4568"/>
    <x v="0"/>
    <n v="78"/>
    <s v="ML Engineer"/>
    <n v="-21.3"/>
    <n v="47.2"/>
    <x v="267"/>
    <n v="5.6"/>
    <n v="8.8000000000000007"/>
    <n v="6.5"/>
    <s v="Bull Market"/>
  </r>
  <r>
    <s v="T405"/>
    <x v="15"/>
    <x v="2"/>
    <x v="3"/>
    <x v="3"/>
    <s v="Nov"/>
    <x v="2"/>
    <x v="397"/>
    <n v="17.8"/>
    <x v="0"/>
    <n v="1.7"/>
    <x v="85"/>
    <n v="3974"/>
    <x v="1"/>
    <n v="82.8"/>
    <s v="Data Scientist"/>
    <n v="50.6"/>
    <n v="44.5"/>
    <x v="257"/>
    <n v="1.4"/>
    <n v="7.6"/>
    <n v="6.7"/>
    <s v="Stable"/>
  </r>
  <r>
    <s v="T406"/>
    <x v="17"/>
    <x v="0"/>
    <x v="2"/>
    <x v="1"/>
    <s v="Jul"/>
    <x v="1"/>
    <x v="398"/>
    <n v="10.9"/>
    <x v="1"/>
    <n v="9.6999999999999993"/>
    <x v="5"/>
    <n v="8320"/>
    <x v="3"/>
    <n v="22.7"/>
    <s v="Data Scientist"/>
    <n v="-12.6"/>
    <n v="57.5"/>
    <x v="268"/>
    <n v="7.6"/>
    <n v="6.8"/>
    <n v="6.6"/>
    <s v="Stable"/>
  </r>
  <r>
    <s v="T407"/>
    <x v="2"/>
    <x v="3"/>
    <x v="4"/>
    <x v="1"/>
    <s v="May"/>
    <x v="1"/>
    <x v="399"/>
    <n v="3.9"/>
    <x v="4"/>
    <n v="2.2999999999999998"/>
    <x v="32"/>
    <n v="4297"/>
    <x v="0"/>
    <n v="48.1"/>
    <s v="Cloud Engineer"/>
    <n v="33.799999999999997"/>
    <n v="6.8"/>
    <x v="36"/>
    <n v="3"/>
    <n v="7.6"/>
    <n v="6.3"/>
    <s v="Bull Market"/>
  </r>
  <r>
    <s v="T408"/>
    <x v="8"/>
    <x v="4"/>
    <x v="0"/>
    <x v="2"/>
    <s v="Feb"/>
    <x v="2"/>
    <x v="400"/>
    <n v="6.8"/>
    <x v="4"/>
    <n v="3.1"/>
    <x v="30"/>
    <n v="2736"/>
    <x v="0"/>
    <n v="24.2"/>
    <s v="Product Manager"/>
    <n v="66.2"/>
    <n v="4.2"/>
    <x v="269"/>
    <n v="3.6"/>
    <n v="5.6"/>
    <n v="6.5"/>
    <s v="Stable"/>
  </r>
  <r>
    <s v="T409"/>
    <x v="2"/>
    <x v="1"/>
    <x v="1"/>
    <x v="1"/>
    <s v="Jun"/>
    <x v="2"/>
    <x v="401"/>
    <n v="2.9"/>
    <x v="2"/>
    <n v="6.7"/>
    <x v="76"/>
    <n v="4189"/>
    <x v="0"/>
    <n v="77.099999999999994"/>
    <s v="Cybersecurity Analyst"/>
    <n v="18.8"/>
    <n v="57.4"/>
    <x v="270"/>
    <n v="4.5999999999999996"/>
    <n v="8.3000000000000007"/>
    <n v="8.4"/>
    <s v="Bull Market"/>
  </r>
  <r>
    <s v="T410"/>
    <x v="2"/>
    <x v="2"/>
    <x v="1"/>
    <x v="2"/>
    <s v="Mar"/>
    <x v="2"/>
    <x v="402"/>
    <n v="6.9"/>
    <x v="4"/>
    <n v="7.2"/>
    <x v="1"/>
    <n v="4381"/>
    <x v="0"/>
    <n v="54.2"/>
    <s v="Product Manager"/>
    <n v="87.8"/>
    <n v="-0.2"/>
    <x v="143"/>
    <n v="6.9"/>
    <n v="4.9000000000000004"/>
    <n v="5.9"/>
    <s v="Bull Market"/>
  </r>
  <r>
    <s v="T411"/>
    <x v="6"/>
    <x v="1"/>
    <x v="2"/>
    <x v="0"/>
    <s v="Jan"/>
    <x v="2"/>
    <x v="403"/>
    <n v="9.6"/>
    <x v="1"/>
    <n v="4.7"/>
    <x v="83"/>
    <n v="4051"/>
    <x v="0"/>
    <n v="38.5"/>
    <s v="DevOps Engineer"/>
    <n v="50.5"/>
    <n v="13.2"/>
    <x v="110"/>
    <n v="4.2"/>
    <n v="6.7"/>
    <n v="7.3"/>
    <s v="Stable"/>
  </r>
  <r>
    <s v="T412"/>
    <x v="12"/>
    <x v="5"/>
    <x v="5"/>
    <x v="1"/>
    <s v="Oct"/>
    <x v="0"/>
    <x v="404"/>
    <n v="14"/>
    <x v="1"/>
    <n v="7.2"/>
    <x v="65"/>
    <n v="2460"/>
    <x v="0"/>
    <n v="12.5"/>
    <s v="ML Engineer"/>
    <n v="49.8"/>
    <n v="10.199999999999999"/>
    <x v="271"/>
    <n v="7"/>
    <n v="5.9"/>
    <n v="5.2"/>
    <s v="Stable"/>
  </r>
  <r>
    <s v="T413"/>
    <x v="0"/>
    <x v="2"/>
    <x v="3"/>
    <x v="0"/>
    <s v="Sep"/>
    <x v="2"/>
    <x v="405"/>
    <n v="9.1"/>
    <x v="0"/>
    <n v="1.2"/>
    <x v="13"/>
    <n v="4103"/>
    <x v="1"/>
    <n v="38.299999999999997"/>
    <s v="Cybersecurity Analyst"/>
    <n v="-5"/>
    <n v="2.2999999999999998"/>
    <x v="4"/>
    <n v="1.9"/>
    <n v="7"/>
    <n v="7"/>
    <s v="Stable"/>
  </r>
  <r>
    <s v="T414"/>
    <x v="11"/>
    <x v="6"/>
    <x v="4"/>
    <x v="2"/>
    <s v="Aug"/>
    <x v="2"/>
    <x v="406"/>
    <n v="14.5"/>
    <x v="0"/>
    <n v="7.6"/>
    <x v="58"/>
    <n v="4435"/>
    <x v="0"/>
    <n v="14.7"/>
    <s v="Software Engineer"/>
    <n v="-38.9"/>
    <n v="-22.5"/>
    <x v="272"/>
    <n v="5.2"/>
    <n v="4.4000000000000004"/>
    <n v="5.3"/>
    <s v="Stable"/>
  </r>
  <r>
    <s v="T415"/>
    <x v="0"/>
    <x v="5"/>
    <x v="3"/>
    <x v="2"/>
    <s v="Oct"/>
    <x v="0"/>
    <x v="407"/>
    <n v="11.9"/>
    <x v="3"/>
    <n v="8.1999999999999993"/>
    <x v="73"/>
    <n v="3551"/>
    <x v="0"/>
    <n v="58.8"/>
    <s v="Software Engineer"/>
    <n v="80.099999999999994"/>
    <n v="19.3"/>
    <x v="177"/>
    <n v="9.1"/>
    <n v="6.7"/>
    <n v="5.3"/>
    <s v="Stable"/>
  </r>
  <r>
    <s v="T416"/>
    <x v="0"/>
    <x v="1"/>
    <x v="4"/>
    <x v="3"/>
    <s v="Apr"/>
    <x v="1"/>
    <x v="408"/>
    <n v="33.5"/>
    <x v="2"/>
    <n v="7.5"/>
    <x v="5"/>
    <n v="1248"/>
    <x v="1"/>
    <n v="32.799999999999997"/>
    <s v="Cybersecurity Analyst"/>
    <n v="32.6"/>
    <n v="34.6"/>
    <x v="106"/>
    <n v="6.9"/>
    <n v="4.5"/>
    <n v="3.8"/>
    <s v="Recession"/>
  </r>
  <r>
    <s v="T417"/>
    <x v="12"/>
    <x v="0"/>
    <x v="0"/>
    <x v="3"/>
    <s v="Sep"/>
    <x v="2"/>
    <x v="409"/>
    <n v="13.2"/>
    <x v="0"/>
    <n v="8.1"/>
    <x v="5"/>
    <n v="4856"/>
    <x v="0"/>
    <n v="67.5"/>
    <s v="Data Scientist"/>
    <n v="6.1"/>
    <n v="-17.7"/>
    <x v="79"/>
    <n v="8.6999999999999993"/>
    <n v="5.9"/>
    <n v="5.0999999999999996"/>
    <s v="Recession"/>
  </r>
  <r>
    <s v="T418"/>
    <x v="2"/>
    <x v="1"/>
    <x v="1"/>
    <x v="1"/>
    <s v="Oct"/>
    <x v="2"/>
    <x v="410"/>
    <n v="27.1"/>
    <x v="1"/>
    <n v="4.3"/>
    <x v="5"/>
    <n v="389"/>
    <x v="2"/>
    <n v="28.8"/>
    <s v="Cybersecurity Analyst"/>
    <n v="7"/>
    <n v="14.1"/>
    <x v="70"/>
    <n v="3.4"/>
    <n v="4.5"/>
    <n v="4.4000000000000004"/>
    <s v="Recession"/>
  </r>
  <r>
    <s v="T419"/>
    <x v="2"/>
    <x v="5"/>
    <x v="2"/>
    <x v="2"/>
    <s v="Sep"/>
    <x v="1"/>
    <x v="411"/>
    <n v="5"/>
    <x v="1"/>
    <n v="12.6"/>
    <x v="5"/>
    <n v="2419"/>
    <x v="0"/>
    <n v="74.2"/>
    <s v="Frontend Developer"/>
    <n v="86.5"/>
    <n v="51.4"/>
    <x v="133"/>
    <n v="9.1"/>
    <n v="10"/>
    <n v="7.7"/>
    <s v="Bull Market"/>
  </r>
  <r>
    <s v="T420"/>
    <x v="9"/>
    <x v="1"/>
    <x v="4"/>
    <x v="2"/>
    <s v="Jun"/>
    <x v="1"/>
    <x v="412"/>
    <n v="8.3000000000000007"/>
    <x v="1"/>
    <n v="6.1"/>
    <x v="73"/>
    <n v="204"/>
    <x v="1"/>
    <n v="76.400000000000006"/>
    <s v="Frontend Developer"/>
    <n v="2.1"/>
    <n v="-0.3"/>
    <x v="273"/>
    <n v="4.4000000000000004"/>
    <n v="7.4"/>
    <n v="5.7"/>
    <s v="Recession"/>
  </r>
  <r>
    <s v="T421"/>
    <x v="3"/>
    <x v="1"/>
    <x v="4"/>
    <x v="2"/>
    <s v="Sep"/>
    <x v="2"/>
    <x v="413"/>
    <n v="6.6"/>
    <x v="1"/>
    <n v="2.1"/>
    <x v="55"/>
    <n v="5058"/>
    <x v="0"/>
    <n v="66.900000000000006"/>
    <s v="Software Engineer"/>
    <n v="-11.1"/>
    <n v="54.2"/>
    <x v="274"/>
    <n v="1.4"/>
    <n v="9.3000000000000007"/>
    <n v="8.3000000000000007"/>
    <s v="Stable"/>
  </r>
  <r>
    <s v="T422"/>
    <x v="5"/>
    <x v="3"/>
    <x v="5"/>
    <x v="2"/>
    <s v="Jul"/>
    <x v="2"/>
    <x v="414"/>
    <n v="15.4"/>
    <x v="4"/>
    <n v="2.2999999999999998"/>
    <x v="61"/>
    <n v="436"/>
    <x v="2"/>
    <n v="42"/>
    <s v="Frontend Developer"/>
    <n v="14.7"/>
    <n v="48.8"/>
    <x v="107"/>
    <n v="2.6"/>
    <n v="5.3"/>
    <n v="6.8"/>
    <s v="Recession"/>
  </r>
  <r>
    <s v="T423"/>
    <x v="2"/>
    <x v="2"/>
    <x v="4"/>
    <x v="1"/>
    <s v="Oct"/>
    <x v="0"/>
    <x v="415"/>
    <n v="10.1"/>
    <x v="1"/>
    <n v="8.1"/>
    <x v="51"/>
    <n v="1167"/>
    <x v="1"/>
    <n v="70"/>
    <s v="Data Scientist"/>
    <n v="60.2"/>
    <n v="2.4"/>
    <x v="79"/>
    <n v="7.9"/>
    <n v="6.2"/>
    <n v="6.2"/>
    <s v="Recession"/>
  </r>
  <r>
    <s v="T424"/>
    <x v="2"/>
    <x v="3"/>
    <x v="1"/>
    <x v="2"/>
    <s v="Mar"/>
    <x v="2"/>
    <x v="416"/>
    <n v="30.9"/>
    <x v="3"/>
    <n v="9.9"/>
    <x v="69"/>
    <n v="402"/>
    <x v="1"/>
    <n v="83"/>
    <s v="Product Manager"/>
    <n v="-21.2"/>
    <n v="44.5"/>
    <x v="121"/>
    <n v="6.9"/>
    <n v="7.6"/>
    <n v="4.8"/>
    <s v="Recession"/>
  </r>
  <r>
    <s v="T425"/>
    <x v="2"/>
    <x v="3"/>
    <x v="5"/>
    <x v="2"/>
    <s v="Jul"/>
    <x v="1"/>
    <x v="417"/>
    <n v="35.799999999999997"/>
    <x v="1"/>
    <n v="8.9"/>
    <x v="5"/>
    <n v="1906"/>
    <x v="2"/>
    <n v="20.2"/>
    <s v="DevOps Engineer"/>
    <n v="-23.5"/>
    <n v="38.799999999999997"/>
    <x v="52"/>
    <n v="8.6"/>
    <n v="4.0999999999999996"/>
    <n v="4.3"/>
    <s v="Recession"/>
  </r>
  <r>
    <s v="T426"/>
    <x v="10"/>
    <x v="3"/>
    <x v="1"/>
    <x v="3"/>
    <s v="Aug"/>
    <x v="2"/>
    <x v="418"/>
    <n v="18.5"/>
    <x v="0"/>
    <n v="3.5"/>
    <x v="68"/>
    <n v="688"/>
    <x v="2"/>
    <n v="77.3"/>
    <s v="Software Engineer"/>
    <n v="86.6"/>
    <n v="30.1"/>
    <x v="100"/>
    <n v="3.5"/>
    <n v="6.9"/>
    <n v="5"/>
    <s v="Recession"/>
  </r>
  <r>
    <s v="T427"/>
    <x v="11"/>
    <x v="6"/>
    <x v="0"/>
    <x v="0"/>
    <s v="Oct"/>
    <x v="0"/>
    <x v="419"/>
    <n v="16.100000000000001"/>
    <x v="3"/>
    <n v="1.6"/>
    <x v="67"/>
    <n v="5901"/>
    <x v="0"/>
    <n v="32.9"/>
    <s v="ML Engineer"/>
    <n v="78.599999999999994"/>
    <n v="9.5"/>
    <x v="167"/>
    <n v="2.7"/>
    <n v="4.9000000000000004"/>
    <n v="5.6"/>
    <s v="Stable"/>
  </r>
  <r>
    <s v="T428"/>
    <x v="8"/>
    <x v="6"/>
    <x v="3"/>
    <x v="2"/>
    <s v="Dec"/>
    <x v="0"/>
    <x v="420"/>
    <n v="17.3"/>
    <x v="4"/>
    <n v="14.5"/>
    <x v="5"/>
    <n v="1432"/>
    <x v="1"/>
    <n v="28.5"/>
    <s v="Software Engineer"/>
    <n v="8.1"/>
    <n v="-14.9"/>
    <x v="186"/>
    <n v="9.3000000000000007"/>
    <n v="3.8"/>
    <n v="3.3"/>
    <s v="Recession"/>
  </r>
  <r>
    <s v="T429"/>
    <x v="8"/>
    <x v="6"/>
    <x v="0"/>
    <x v="3"/>
    <s v="Jun"/>
    <x v="0"/>
    <x v="421"/>
    <n v="7.1"/>
    <x v="0"/>
    <n v="10.3"/>
    <x v="5"/>
    <n v="601"/>
    <x v="1"/>
    <n v="34.4"/>
    <s v="Data Scientist"/>
    <n v="4.3"/>
    <n v="58.5"/>
    <x v="275"/>
    <n v="8"/>
    <n v="8.1"/>
    <n v="7.8"/>
    <s v="Stable"/>
  </r>
  <r>
    <s v="T430"/>
    <x v="1"/>
    <x v="1"/>
    <x v="1"/>
    <x v="0"/>
    <s v="Apr"/>
    <x v="1"/>
    <x v="422"/>
    <n v="9.5"/>
    <x v="2"/>
    <n v="4.9000000000000004"/>
    <x v="62"/>
    <n v="1533"/>
    <x v="1"/>
    <n v="70.400000000000006"/>
    <s v="Product Manager"/>
    <n v="-41.3"/>
    <n v="-17.899999999999999"/>
    <x v="276"/>
    <n v="3.5"/>
    <n v="4.5999999999999996"/>
    <n v="7"/>
    <s v="Bull Market"/>
  </r>
  <r>
    <s v="T431"/>
    <x v="8"/>
    <x v="4"/>
    <x v="5"/>
    <x v="2"/>
    <s v="Apr"/>
    <x v="1"/>
    <x v="423"/>
    <n v="1.1000000000000001"/>
    <x v="2"/>
    <n v="5"/>
    <x v="49"/>
    <n v="3181"/>
    <x v="0"/>
    <n v="49.2"/>
    <s v="DevOps Engineer"/>
    <n v="23.5"/>
    <n v="-21.6"/>
    <x v="173"/>
    <n v="7"/>
    <n v="7.5"/>
    <n v="5.8"/>
    <s v="Bull Market"/>
  </r>
  <r>
    <s v="T432"/>
    <x v="16"/>
    <x v="2"/>
    <x v="2"/>
    <x v="3"/>
    <s v="Dec"/>
    <x v="0"/>
    <x v="424"/>
    <n v="5.8"/>
    <x v="3"/>
    <n v="8.9"/>
    <x v="39"/>
    <n v="404"/>
    <x v="1"/>
    <n v="59.7"/>
    <s v="Data Scientist"/>
    <n v="-15.1"/>
    <n v="10.3"/>
    <x v="72"/>
    <n v="5.9"/>
    <n v="4.9000000000000004"/>
    <n v="6.4"/>
    <s v="Bull Market"/>
  </r>
  <r>
    <s v="T433"/>
    <x v="11"/>
    <x v="6"/>
    <x v="0"/>
    <x v="1"/>
    <s v="Apr"/>
    <x v="2"/>
    <x v="425"/>
    <n v="8.8000000000000007"/>
    <x v="4"/>
    <n v="10.1"/>
    <x v="18"/>
    <n v="3242"/>
    <x v="0"/>
    <n v="89.3"/>
    <s v="ML Engineer"/>
    <n v="-6.1"/>
    <n v="42.2"/>
    <x v="26"/>
    <n v="7.6"/>
    <n v="6.6"/>
    <n v="7.5"/>
    <s v="Bull Market"/>
  </r>
  <r>
    <s v="T434"/>
    <x v="0"/>
    <x v="0"/>
    <x v="1"/>
    <x v="3"/>
    <s v="Feb"/>
    <x v="2"/>
    <x v="426"/>
    <n v="6.5"/>
    <x v="3"/>
    <n v="6.9"/>
    <x v="22"/>
    <n v="7122"/>
    <x v="0"/>
    <n v="39.200000000000003"/>
    <s v="Data Scientist"/>
    <n v="0.6"/>
    <n v="55.1"/>
    <x v="277"/>
    <n v="4.9000000000000004"/>
    <n v="8.9"/>
    <n v="8.4"/>
    <s v="Bull Market"/>
  </r>
  <r>
    <s v="T435"/>
    <x v="0"/>
    <x v="1"/>
    <x v="4"/>
    <x v="3"/>
    <s v="Dec"/>
    <x v="2"/>
    <x v="427"/>
    <n v="7.1"/>
    <x v="1"/>
    <n v="7.1"/>
    <x v="5"/>
    <n v="2864"/>
    <x v="1"/>
    <n v="61.3"/>
    <s v="Cybersecurity Analyst"/>
    <n v="61.7"/>
    <n v="-5.9"/>
    <x v="201"/>
    <n v="6.7"/>
    <n v="4.5999999999999996"/>
    <n v="5.2"/>
    <s v="Stable"/>
  </r>
  <r>
    <s v="T436"/>
    <x v="2"/>
    <x v="0"/>
    <x v="3"/>
    <x v="2"/>
    <s v="Jun"/>
    <x v="2"/>
    <x v="428"/>
    <n v="11.9"/>
    <x v="3"/>
    <n v="6.9"/>
    <x v="30"/>
    <n v="2155"/>
    <x v="1"/>
    <n v="66.900000000000006"/>
    <s v="ML Engineer"/>
    <n v="59"/>
    <n v="5.6"/>
    <x v="278"/>
    <n v="5.0999999999999996"/>
    <n v="5"/>
    <n v="4.5999999999999996"/>
    <s v="Stable"/>
  </r>
  <r>
    <s v="T437"/>
    <x v="1"/>
    <x v="4"/>
    <x v="0"/>
    <x v="0"/>
    <s v="Nov"/>
    <x v="0"/>
    <x v="429"/>
    <n v="3.2"/>
    <x v="1"/>
    <n v="5.4"/>
    <x v="86"/>
    <n v="662"/>
    <x v="1"/>
    <n v="62.3"/>
    <s v="Data Scientist"/>
    <n v="80.400000000000006"/>
    <n v="3.6"/>
    <x v="279"/>
    <n v="4.2"/>
    <n v="7.8"/>
    <n v="6.6"/>
    <s v="Bull Market"/>
  </r>
  <r>
    <s v="T438"/>
    <x v="19"/>
    <x v="0"/>
    <x v="2"/>
    <x v="0"/>
    <s v="Apr"/>
    <x v="1"/>
    <x v="430"/>
    <n v="2.6"/>
    <x v="2"/>
    <n v="9.6999999999999993"/>
    <x v="5"/>
    <n v="9970"/>
    <x v="3"/>
    <n v="62.3"/>
    <s v="ML Engineer"/>
    <n v="-38.4"/>
    <n v="2.2000000000000002"/>
    <x v="27"/>
    <n v="9.4"/>
    <n v="5.9"/>
    <n v="4.9000000000000004"/>
    <s v="Bull Market"/>
  </r>
  <r>
    <s v="T439"/>
    <x v="2"/>
    <x v="1"/>
    <x v="1"/>
    <x v="1"/>
    <s v="Jan"/>
    <x v="1"/>
    <x v="431"/>
    <n v="4.3"/>
    <x v="2"/>
    <n v="5.4"/>
    <x v="10"/>
    <n v="499"/>
    <x v="1"/>
    <n v="71.400000000000006"/>
    <s v="DevOps Engineer"/>
    <n v="82.5"/>
    <n v="8.4"/>
    <x v="246"/>
    <n v="3.9"/>
    <n v="5.2"/>
    <n v="7.4"/>
    <s v="Bull Market"/>
  </r>
  <r>
    <s v="T440"/>
    <x v="8"/>
    <x v="6"/>
    <x v="3"/>
    <x v="0"/>
    <s v="Jan"/>
    <x v="1"/>
    <x v="432"/>
    <n v="16.600000000000001"/>
    <x v="3"/>
    <n v="2"/>
    <x v="83"/>
    <n v="1113"/>
    <x v="1"/>
    <n v="68.3"/>
    <s v="Cybersecurity Analyst"/>
    <n v="-34"/>
    <n v="29.2"/>
    <x v="280"/>
    <n v="2.4"/>
    <n v="8.3000000000000007"/>
    <n v="5.7"/>
    <s v="Stable"/>
  </r>
  <r>
    <s v="T441"/>
    <x v="1"/>
    <x v="0"/>
    <x v="3"/>
    <x v="2"/>
    <s v="Mar"/>
    <x v="0"/>
    <x v="433"/>
    <n v="9.5"/>
    <x v="0"/>
    <n v="6.8"/>
    <x v="5"/>
    <n v="9929"/>
    <x v="3"/>
    <n v="79.400000000000006"/>
    <s v="Data Scientist"/>
    <n v="11.7"/>
    <n v="-20.100000000000001"/>
    <x v="67"/>
    <n v="6.8"/>
    <n v="7.4"/>
    <n v="3.5"/>
    <s v="Stable"/>
  </r>
  <r>
    <s v="T442"/>
    <x v="14"/>
    <x v="1"/>
    <x v="2"/>
    <x v="0"/>
    <s v="Nov"/>
    <x v="1"/>
    <x v="434"/>
    <n v="5"/>
    <x v="3"/>
    <n v="3.8"/>
    <x v="44"/>
    <n v="1741"/>
    <x v="1"/>
    <n v="77.400000000000006"/>
    <s v="DevOps Engineer"/>
    <n v="20.3"/>
    <n v="7.6"/>
    <x v="0"/>
    <n v="6.2"/>
    <n v="8.4"/>
    <n v="7.8"/>
    <s v="Stable"/>
  </r>
  <r>
    <s v="T443"/>
    <x v="7"/>
    <x v="4"/>
    <x v="5"/>
    <x v="3"/>
    <s v="Mar"/>
    <x v="2"/>
    <x v="435"/>
    <n v="33.1"/>
    <x v="3"/>
    <n v="8.6999999999999993"/>
    <x v="5"/>
    <n v="523"/>
    <x v="2"/>
    <n v="23.4"/>
    <s v="Cloud Engineer"/>
    <n v="24"/>
    <n v="20.2"/>
    <x v="240"/>
    <n v="9.6999999999999993"/>
    <n v="5"/>
    <n v="2.8"/>
    <s v="Recession"/>
  </r>
  <r>
    <s v="T444"/>
    <x v="13"/>
    <x v="5"/>
    <x v="0"/>
    <x v="1"/>
    <s v="Dec"/>
    <x v="0"/>
    <x v="436"/>
    <n v="0.7"/>
    <x v="3"/>
    <n v="6.5"/>
    <x v="48"/>
    <n v="5194"/>
    <x v="0"/>
    <n v="77.2"/>
    <s v="Product Manager"/>
    <n v="-2"/>
    <n v="34.700000000000003"/>
    <x v="236"/>
    <n v="6.1"/>
    <n v="8.6"/>
    <n v="8.1"/>
    <s v="Bull Market"/>
  </r>
  <r>
    <s v="T445"/>
    <x v="2"/>
    <x v="0"/>
    <x v="2"/>
    <x v="0"/>
    <s v="Jan"/>
    <x v="2"/>
    <x v="437"/>
    <n v="9"/>
    <x v="4"/>
    <n v="2.7"/>
    <x v="82"/>
    <n v="1579"/>
    <x v="1"/>
    <n v="16.399999999999999"/>
    <s v="ML Engineer"/>
    <n v="-38"/>
    <n v="7.5"/>
    <x v="281"/>
    <n v="3.5"/>
    <n v="8.5"/>
    <n v="5.5"/>
    <s v="Bull Market"/>
  </r>
  <r>
    <s v="T446"/>
    <x v="3"/>
    <x v="1"/>
    <x v="5"/>
    <x v="0"/>
    <s v="Jul"/>
    <x v="2"/>
    <x v="438"/>
    <n v="17.399999999999999"/>
    <x v="0"/>
    <n v="8.4"/>
    <x v="5"/>
    <n v="3076"/>
    <x v="1"/>
    <n v="85"/>
    <s v="Software Engineer"/>
    <n v="16.899999999999999"/>
    <n v="30.7"/>
    <x v="112"/>
    <n v="8.1999999999999993"/>
    <n v="5.5"/>
    <n v="4.7"/>
    <s v="Stable"/>
  </r>
  <r>
    <s v="T447"/>
    <x v="0"/>
    <x v="0"/>
    <x v="0"/>
    <x v="0"/>
    <s v="Dec"/>
    <x v="2"/>
    <x v="439"/>
    <n v="3"/>
    <x v="1"/>
    <n v="6.4"/>
    <x v="5"/>
    <n v="7288"/>
    <x v="0"/>
    <n v="17.600000000000001"/>
    <s v="Data Scientist"/>
    <n v="2"/>
    <n v="21"/>
    <x v="282"/>
    <n v="7.3"/>
    <n v="6.5"/>
    <n v="7.1"/>
    <s v="Bull Market"/>
  </r>
  <r>
    <s v="T448"/>
    <x v="17"/>
    <x v="3"/>
    <x v="5"/>
    <x v="0"/>
    <s v="May"/>
    <x v="0"/>
    <x v="440"/>
    <n v="38.5"/>
    <x v="2"/>
    <n v="3"/>
    <x v="5"/>
    <n v="1672"/>
    <x v="2"/>
    <n v="24.8"/>
    <s v="Cloud Engineer"/>
    <n v="-1.6"/>
    <n v="15.3"/>
    <x v="134"/>
    <n v="2.2999999999999998"/>
    <n v="3.7"/>
    <n v="2"/>
    <s v="Recession"/>
  </r>
  <r>
    <s v="T449"/>
    <x v="12"/>
    <x v="5"/>
    <x v="2"/>
    <x v="1"/>
    <s v="Jun"/>
    <x v="2"/>
    <x v="441"/>
    <n v="14.5"/>
    <x v="2"/>
    <n v="2.2000000000000002"/>
    <x v="83"/>
    <n v="1305"/>
    <x v="1"/>
    <n v="48.3"/>
    <s v="Data Scientist"/>
    <n v="66.099999999999994"/>
    <n v="6.8"/>
    <x v="234"/>
    <n v="2.1"/>
    <n v="5.3"/>
    <n v="5.7"/>
    <s v="Stable"/>
  </r>
  <r>
    <s v="T450"/>
    <x v="14"/>
    <x v="1"/>
    <x v="3"/>
    <x v="3"/>
    <s v="Nov"/>
    <x v="2"/>
    <x v="442"/>
    <n v="4.5999999999999996"/>
    <x v="0"/>
    <n v="6.4"/>
    <x v="43"/>
    <n v="4859"/>
    <x v="3"/>
    <n v="28"/>
    <s v="ML Engineer"/>
    <n v="2.1"/>
    <n v="9.4"/>
    <x v="105"/>
    <n v="9.8000000000000007"/>
    <n v="8.8000000000000007"/>
    <n v="5.3"/>
    <s v="Bull Market"/>
  </r>
  <r>
    <s v="T451"/>
    <x v="16"/>
    <x v="2"/>
    <x v="4"/>
    <x v="2"/>
    <s v="Nov"/>
    <x v="0"/>
    <x v="443"/>
    <n v="3.9"/>
    <x v="1"/>
    <n v="8"/>
    <x v="47"/>
    <n v="222"/>
    <x v="0"/>
    <n v="68.099999999999994"/>
    <s v="Frontend Developer"/>
    <n v="38.6"/>
    <n v="27.5"/>
    <x v="98"/>
    <n v="8.6999999999999993"/>
    <n v="7.1"/>
    <n v="8.4"/>
    <s v="Bull Market"/>
  </r>
  <r>
    <s v="T452"/>
    <x v="10"/>
    <x v="3"/>
    <x v="2"/>
    <x v="0"/>
    <s v="Jun"/>
    <x v="1"/>
    <x v="444"/>
    <n v="12.7"/>
    <x v="3"/>
    <n v="2.2999999999999998"/>
    <x v="61"/>
    <n v="3191"/>
    <x v="1"/>
    <n v="75.2"/>
    <s v="Cybersecurity Analyst"/>
    <n v="45.3"/>
    <n v="1.2"/>
    <x v="247"/>
    <n v="2.5"/>
    <n v="5.6"/>
    <n v="5.9"/>
    <s v="Stable"/>
  </r>
  <r>
    <s v="T453"/>
    <x v="0"/>
    <x v="5"/>
    <x v="1"/>
    <x v="2"/>
    <s v="Feb"/>
    <x v="0"/>
    <x v="445"/>
    <n v="13.2"/>
    <x v="4"/>
    <n v="16.100000000000001"/>
    <x v="63"/>
    <n v="1959"/>
    <x v="0"/>
    <n v="53.6"/>
    <s v="Cybersecurity Analyst"/>
    <n v="-14.3"/>
    <n v="35.5"/>
    <x v="283"/>
    <n v="9.6999999999999993"/>
    <n v="5.0999999999999996"/>
    <n v="5.9"/>
    <s v="Recession"/>
  </r>
  <r>
    <s v="T454"/>
    <x v="14"/>
    <x v="1"/>
    <x v="1"/>
    <x v="2"/>
    <s v="Jan"/>
    <x v="0"/>
    <x v="446"/>
    <n v="4.0999999999999996"/>
    <x v="0"/>
    <n v="2.2000000000000002"/>
    <x v="13"/>
    <n v="5930"/>
    <x v="0"/>
    <n v="75.099999999999994"/>
    <s v="Cybersecurity Analyst"/>
    <n v="73.2"/>
    <n v="-14.9"/>
    <x v="76"/>
    <n v="2.7"/>
    <n v="6.8"/>
    <n v="5.9"/>
    <s v="Bull Market"/>
  </r>
  <r>
    <s v="T455"/>
    <x v="15"/>
    <x v="2"/>
    <x v="5"/>
    <x v="3"/>
    <s v="Sep"/>
    <x v="2"/>
    <x v="447"/>
    <n v="39.4"/>
    <x v="4"/>
    <n v="10.5"/>
    <x v="5"/>
    <n v="1170"/>
    <x v="1"/>
    <n v="44.5"/>
    <s v="Data Scientist"/>
    <n v="34.4"/>
    <n v="41.7"/>
    <x v="269"/>
    <n v="9.8000000000000007"/>
    <n v="5.9"/>
    <n v="2.9"/>
    <s v="Recession"/>
  </r>
  <r>
    <s v="T456"/>
    <x v="13"/>
    <x v="5"/>
    <x v="2"/>
    <x v="1"/>
    <s v="Jun"/>
    <x v="1"/>
    <x v="448"/>
    <n v="3.8"/>
    <x v="1"/>
    <n v="10.199999999999999"/>
    <x v="16"/>
    <n v="3669"/>
    <x v="0"/>
    <n v="74.2"/>
    <s v="Cloud Engineer"/>
    <n v="46.3"/>
    <n v="44.5"/>
    <x v="284"/>
    <n v="10"/>
    <n v="7.1"/>
    <n v="6.8"/>
    <s v="Bull Market"/>
  </r>
  <r>
    <s v="T457"/>
    <x v="1"/>
    <x v="6"/>
    <x v="3"/>
    <x v="3"/>
    <s v="Jan"/>
    <x v="0"/>
    <x v="449"/>
    <n v="39"/>
    <x v="0"/>
    <n v="0.8"/>
    <x v="8"/>
    <n v="1492"/>
    <x v="2"/>
    <n v="56.5"/>
    <s v="Cloud Engineer"/>
    <n v="-42.1"/>
    <n v="-11.8"/>
    <x v="285"/>
    <n v="1.1000000000000001"/>
    <n v="1.8"/>
    <n v="2.6"/>
    <s v="Recession"/>
  </r>
  <r>
    <s v="T458"/>
    <x v="15"/>
    <x v="2"/>
    <x v="4"/>
    <x v="2"/>
    <s v="Sep"/>
    <x v="1"/>
    <x v="450"/>
    <n v="24.1"/>
    <x v="1"/>
    <n v="7.2"/>
    <x v="60"/>
    <n v="1047"/>
    <x v="1"/>
    <n v="53.2"/>
    <s v="ML Engineer"/>
    <n v="2.2000000000000002"/>
    <n v="57.1"/>
    <x v="105"/>
    <n v="8"/>
    <n v="7.7"/>
    <n v="4.7"/>
    <s v="Recession"/>
  </r>
  <r>
    <s v="T459"/>
    <x v="2"/>
    <x v="2"/>
    <x v="5"/>
    <x v="3"/>
    <s v="Feb"/>
    <x v="2"/>
    <x v="451"/>
    <n v="11.1"/>
    <x v="4"/>
    <n v="5.0999999999999996"/>
    <x v="29"/>
    <n v="3927"/>
    <x v="1"/>
    <n v="78.2"/>
    <s v="Cloud Engineer"/>
    <n v="-4.7"/>
    <n v="59.7"/>
    <x v="286"/>
    <n v="3.5"/>
    <n v="9.5"/>
    <n v="7"/>
    <s v="Stable"/>
  </r>
  <r>
    <s v="T460"/>
    <x v="14"/>
    <x v="1"/>
    <x v="2"/>
    <x v="1"/>
    <s v="Apr"/>
    <x v="2"/>
    <x v="452"/>
    <n v="4.5999999999999996"/>
    <x v="0"/>
    <n v="14.5"/>
    <x v="5"/>
    <n v="3423"/>
    <x v="0"/>
    <n v="16.5"/>
    <s v="DevOps Engineer"/>
    <n v="89.2"/>
    <n v="-20.9"/>
    <x v="88"/>
    <n v="8.6999999999999993"/>
    <n v="7.4"/>
    <n v="5.2"/>
    <s v="Bull Market"/>
  </r>
  <r>
    <s v="T461"/>
    <x v="1"/>
    <x v="4"/>
    <x v="5"/>
    <x v="2"/>
    <s v="Sep"/>
    <x v="2"/>
    <x v="453"/>
    <n v="1.5"/>
    <x v="2"/>
    <n v="2.4"/>
    <x v="85"/>
    <n v="5812"/>
    <x v="0"/>
    <n v="71.099999999999994"/>
    <s v="Cybersecurity Analyst"/>
    <n v="83.5"/>
    <n v="29.9"/>
    <x v="287"/>
    <n v="2.8"/>
    <n v="7.7"/>
    <n v="7.6"/>
    <s v="Bull Market"/>
  </r>
  <r>
    <s v="T462"/>
    <x v="1"/>
    <x v="6"/>
    <x v="1"/>
    <x v="1"/>
    <s v="Dec"/>
    <x v="1"/>
    <x v="454"/>
    <n v="11.4"/>
    <x v="2"/>
    <n v="2.2000000000000002"/>
    <x v="22"/>
    <n v="1106"/>
    <x v="2"/>
    <n v="40.299999999999997"/>
    <s v="Cybersecurity Analyst"/>
    <n v="54"/>
    <n v="42.3"/>
    <x v="288"/>
    <n v="1.8"/>
    <n v="7"/>
    <n v="8.1"/>
    <s v="Recession"/>
  </r>
  <r>
    <s v="T463"/>
    <x v="2"/>
    <x v="0"/>
    <x v="2"/>
    <x v="2"/>
    <s v="Sep"/>
    <x v="1"/>
    <x v="455"/>
    <n v="4.8"/>
    <x v="1"/>
    <n v="2.1"/>
    <x v="32"/>
    <n v="1906"/>
    <x v="1"/>
    <n v="74.400000000000006"/>
    <s v="Data Scientist"/>
    <n v="67.7"/>
    <n v="20.8"/>
    <x v="249"/>
    <n v="2.7"/>
    <n v="8.8000000000000007"/>
    <n v="6.5"/>
    <s v="Bull Market"/>
  </r>
  <r>
    <s v="T464"/>
    <x v="4"/>
    <x v="0"/>
    <x v="5"/>
    <x v="2"/>
    <s v="May"/>
    <x v="1"/>
    <x v="456"/>
    <n v="2.9"/>
    <x v="4"/>
    <n v="4.4000000000000004"/>
    <x v="1"/>
    <n v="2117"/>
    <x v="0"/>
    <n v="84.8"/>
    <s v="ML Engineer"/>
    <n v="56.2"/>
    <n v="23.5"/>
    <x v="43"/>
    <n v="4.3"/>
    <n v="5.9"/>
    <n v="6.5"/>
    <s v="Bull Market"/>
  </r>
  <r>
    <s v="T465"/>
    <x v="14"/>
    <x v="1"/>
    <x v="3"/>
    <x v="1"/>
    <s v="Jan"/>
    <x v="1"/>
    <x v="457"/>
    <n v="3.1"/>
    <x v="4"/>
    <n v="0.9"/>
    <x v="42"/>
    <n v="4580"/>
    <x v="0"/>
    <n v="72.099999999999994"/>
    <s v="Frontend Developer"/>
    <n v="37.6"/>
    <n v="31.8"/>
    <x v="225"/>
    <n v="1.4"/>
    <n v="7.5"/>
    <n v="8.5"/>
    <s v="Stable"/>
  </r>
  <r>
    <s v="T466"/>
    <x v="4"/>
    <x v="1"/>
    <x v="1"/>
    <x v="0"/>
    <s v="Apr"/>
    <x v="0"/>
    <x v="458"/>
    <n v="16.8"/>
    <x v="3"/>
    <n v="4.8"/>
    <x v="28"/>
    <n v="4972"/>
    <x v="0"/>
    <n v="46.5"/>
    <s v="Cloud Engineer"/>
    <n v="-20.8"/>
    <n v="32.4"/>
    <x v="289"/>
    <n v="6.7"/>
    <n v="5.3"/>
    <n v="4.7"/>
    <s v="Stable"/>
  </r>
  <r>
    <s v="T467"/>
    <x v="14"/>
    <x v="1"/>
    <x v="0"/>
    <x v="0"/>
    <s v="May"/>
    <x v="0"/>
    <x v="459"/>
    <n v="16.7"/>
    <x v="3"/>
    <n v="4.2"/>
    <x v="11"/>
    <n v="904"/>
    <x v="1"/>
    <n v="83.3"/>
    <s v="Frontend Developer"/>
    <n v="-30.5"/>
    <n v="-13.2"/>
    <x v="115"/>
    <n v="7"/>
    <n v="5"/>
    <n v="4.5999999999999996"/>
    <s v="Recession"/>
  </r>
  <r>
    <s v="T468"/>
    <x v="0"/>
    <x v="1"/>
    <x v="5"/>
    <x v="2"/>
    <s v="Dec"/>
    <x v="1"/>
    <x v="460"/>
    <n v="2.8"/>
    <x v="4"/>
    <n v="3.5"/>
    <x v="25"/>
    <n v="4011"/>
    <x v="0"/>
    <n v="76.400000000000006"/>
    <s v="Data Scientist"/>
    <n v="18.8"/>
    <n v="30"/>
    <x v="266"/>
    <n v="5"/>
    <n v="9.3000000000000007"/>
    <n v="6.6"/>
    <s v="Bull Market"/>
  </r>
  <r>
    <s v="T469"/>
    <x v="6"/>
    <x v="2"/>
    <x v="2"/>
    <x v="2"/>
    <s v="Aug"/>
    <x v="0"/>
    <x v="461"/>
    <n v="12.7"/>
    <x v="0"/>
    <n v="3.1"/>
    <x v="30"/>
    <n v="1477"/>
    <x v="1"/>
    <n v="69"/>
    <s v="ML Engineer"/>
    <n v="54.2"/>
    <n v="21.9"/>
    <x v="290"/>
    <n v="4.3"/>
    <n v="7"/>
    <n v="5.7"/>
    <s v="Recession"/>
  </r>
  <r>
    <s v="T470"/>
    <x v="6"/>
    <x v="2"/>
    <x v="1"/>
    <x v="3"/>
    <s v="Dec"/>
    <x v="2"/>
    <x v="462"/>
    <n v="30.7"/>
    <x v="3"/>
    <n v="9.6999999999999993"/>
    <x v="5"/>
    <n v="1848"/>
    <x v="1"/>
    <n v="78.400000000000006"/>
    <s v="ML Engineer"/>
    <n v="44.2"/>
    <n v="-22.9"/>
    <x v="291"/>
    <n v="7.1"/>
    <n v="3.6"/>
    <n v="2.5"/>
    <s v="Recession"/>
  </r>
  <r>
    <s v="T471"/>
    <x v="12"/>
    <x v="5"/>
    <x v="1"/>
    <x v="3"/>
    <s v="Oct"/>
    <x v="0"/>
    <x v="463"/>
    <n v="7.7"/>
    <x v="0"/>
    <n v="8.5"/>
    <x v="86"/>
    <n v="3100"/>
    <x v="0"/>
    <n v="84.7"/>
    <s v="Software Engineer"/>
    <n v="19.8"/>
    <n v="-12.9"/>
    <x v="292"/>
    <n v="7.9"/>
    <n v="7.8"/>
    <n v="6"/>
    <s v="Bull Market"/>
  </r>
  <r>
    <s v="T472"/>
    <x v="2"/>
    <x v="3"/>
    <x v="3"/>
    <x v="2"/>
    <s v="Aug"/>
    <x v="0"/>
    <x v="464"/>
    <n v="7.1"/>
    <x v="4"/>
    <n v="13.1"/>
    <x v="5"/>
    <n v="5330"/>
    <x v="0"/>
    <n v="31.7"/>
    <s v="Frontend Developer"/>
    <n v="14.5"/>
    <n v="27.6"/>
    <x v="103"/>
    <n v="7.8"/>
    <n v="6.6"/>
    <n v="6.8"/>
    <s v="Stable"/>
  </r>
  <r>
    <s v="T473"/>
    <x v="8"/>
    <x v="4"/>
    <x v="4"/>
    <x v="2"/>
    <s v="May"/>
    <x v="0"/>
    <x v="465"/>
    <n v="5.0999999999999996"/>
    <x v="1"/>
    <n v="11.9"/>
    <x v="35"/>
    <n v="2876"/>
    <x v="0"/>
    <n v="87.1"/>
    <s v="DevOps Engineer"/>
    <n v="87.7"/>
    <n v="20.3"/>
    <x v="271"/>
    <n v="9.4"/>
    <n v="7"/>
    <n v="7.5"/>
    <s v="Bull Market"/>
  </r>
  <r>
    <s v="T474"/>
    <x v="6"/>
    <x v="1"/>
    <x v="3"/>
    <x v="3"/>
    <s v="Jul"/>
    <x v="0"/>
    <x v="466"/>
    <n v="33.1"/>
    <x v="4"/>
    <n v="10.4"/>
    <x v="5"/>
    <n v="850"/>
    <x v="2"/>
    <n v="47.4"/>
    <s v="Product Manager"/>
    <n v="68.099999999999994"/>
    <n v="21.2"/>
    <x v="227"/>
    <n v="6.1"/>
    <n v="6.2"/>
    <n v="3.4"/>
    <s v="Recession"/>
  </r>
  <r>
    <s v="T475"/>
    <x v="10"/>
    <x v="3"/>
    <x v="0"/>
    <x v="1"/>
    <s v="Oct"/>
    <x v="1"/>
    <x v="467"/>
    <n v="20.3"/>
    <x v="4"/>
    <n v="3.6"/>
    <x v="5"/>
    <n v="672"/>
    <x v="1"/>
    <n v="12"/>
    <s v="Frontend Developer"/>
    <n v="-35.9"/>
    <n v="57.3"/>
    <x v="293"/>
    <n v="5.8"/>
    <n v="7.5"/>
    <n v="5.5"/>
    <s v="Recession"/>
  </r>
  <r>
    <s v="T476"/>
    <x v="2"/>
    <x v="5"/>
    <x v="5"/>
    <x v="0"/>
    <s v="Jun"/>
    <x v="1"/>
    <x v="468"/>
    <n v="0.7"/>
    <x v="4"/>
    <n v="6.5"/>
    <x v="73"/>
    <n v="2974"/>
    <x v="0"/>
    <n v="83"/>
    <s v="Cybersecurity Analyst"/>
    <n v="1.5"/>
    <n v="-1.2"/>
    <x v="294"/>
    <n v="7.3"/>
    <n v="7.8"/>
    <n v="7.3"/>
    <s v="Bull Market"/>
  </r>
  <r>
    <s v="T477"/>
    <x v="8"/>
    <x v="6"/>
    <x v="5"/>
    <x v="0"/>
    <s v="Oct"/>
    <x v="2"/>
    <x v="469"/>
    <n v="15.9"/>
    <x v="1"/>
    <n v="3.6"/>
    <x v="56"/>
    <n v="371"/>
    <x v="2"/>
    <n v="51.3"/>
    <s v="Cybersecurity Analyst"/>
    <n v="-39"/>
    <n v="34.4"/>
    <x v="53"/>
    <n v="2.6"/>
    <n v="6.6"/>
    <n v="6.6"/>
    <s v="Recession"/>
  </r>
  <r>
    <s v="T478"/>
    <x v="1"/>
    <x v="1"/>
    <x v="4"/>
    <x v="0"/>
    <s v="Mar"/>
    <x v="1"/>
    <x v="470"/>
    <n v="31.6"/>
    <x v="4"/>
    <n v="14.4"/>
    <x v="5"/>
    <n v="1691"/>
    <x v="1"/>
    <n v="18.5"/>
    <s v="Frontend Developer"/>
    <n v="40.6"/>
    <n v="-16.2"/>
    <x v="197"/>
    <n v="9.1"/>
    <n v="4.3"/>
    <n v="2.8"/>
    <s v="Recession"/>
  </r>
  <r>
    <s v="T479"/>
    <x v="6"/>
    <x v="1"/>
    <x v="2"/>
    <x v="0"/>
    <s v="Sep"/>
    <x v="1"/>
    <x v="471"/>
    <n v="0.1"/>
    <x v="1"/>
    <n v="4.3"/>
    <x v="19"/>
    <n v="3456"/>
    <x v="0"/>
    <n v="13.5"/>
    <s v="Cloud Engineer"/>
    <n v="-15.3"/>
    <n v="44.9"/>
    <x v="194"/>
    <n v="3.1"/>
    <n v="8.9"/>
    <n v="8.3000000000000007"/>
    <s v="Bull Market"/>
  </r>
  <r>
    <s v="T480"/>
    <x v="14"/>
    <x v="1"/>
    <x v="5"/>
    <x v="1"/>
    <s v="May"/>
    <x v="2"/>
    <x v="472"/>
    <n v="12.6"/>
    <x v="1"/>
    <n v="7.9"/>
    <x v="56"/>
    <n v="428"/>
    <x v="1"/>
    <n v="43.6"/>
    <s v="Cloud Engineer"/>
    <n v="49.6"/>
    <n v="26.6"/>
    <x v="134"/>
    <n v="6.3"/>
    <n v="5.6"/>
    <n v="6.3"/>
    <s v="Recession"/>
  </r>
  <r>
    <s v="T481"/>
    <x v="13"/>
    <x v="5"/>
    <x v="1"/>
    <x v="3"/>
    <s v="May"/>
    <x v="2"/>
    <x v="473"/>
    <n v="14.3"/>
    <x v="4"/>
    <n v="5.7"/>
    <x v="48"/>
    <n v="795"/>
    <x v="1"/>
    <n v="89.4"/>
    <s v="Software Engineer"/>
    <n v="29.2"/>
    <n v="1.3"/>
    <x v="179"/>
    <n v="8.9"/>
    <n v="6.1"/>
    <n v="4.2"/>
    <s v="Recession"/>
  </r>
  <r>
    <s v="T482"/>
    <x v="2"/>
    <x v="3"/>
    <x v="2"/>
    <x v="3"/>
    <s v="Nov"/>
    <x v="2"/>
    <x v="474"/>
    <n v="1.9"/>
    <x v="0"/>
    <n v="4.4000000000000004"/>
    <x v="77"/>
    <n v="3160"/>
    <x v="0"/>
    <n v="58.3"/>
    <s v="DevOps Engineer"/>
    <n v="22.9"/>
    <n v="-20.6"/>
    <x v="295"/>
    <n v="3.5"/>
    <n v="5.2"/>
    <n v="6.6"/>
    <s v="Bull Market"/>
  </r>
  <r>
    <s v="T483"/>
    <x v="4"/>
    <x v="0"/>
    <x v="5"/>
    <x v="1"/>
    <s v="Mar"/>
    <x v="1"/>
    <x v="475"/>
    <n v="6.7"/>
    <x v="0"/>
    <n v="0.9"/>
    <x v="36"/>
    <n v="6341"/>
    <x v="0"/>
    <n v="57.5"/>
    <s v="ML Engineer"/>
    <n v="81.5"/>
    <n v="-16.7"/>
    <x v="296"/>
    <n v="1.4"/>
    <n v="5.4"/>
    <n v="6.7"/>
    <s v="Bull Market"/>
  </r>
  <r>
    <s v="T484"/>
    <x v="18"/>
    <x v="0"/>
    <x v="0"/>
    <x v="0"/>
    <s v="Feb"/>
    <x v="1"/>
    <x v="476"/>
    <n v="12.7"/>
    <x v="0"/>
    <n v="9"/>
    <x v="5"/>
    <n v="4660"/>
    <x v="0"/>
    <n v="18.8"/>
    <s v="ML Engineer"/>
    <n v="30.1"/>
    <n v="28.7"/>
    <x v="297"/>
    <n v="6.4"/>
    <n v="8.5"/>
    <n v="5.4"/>
    <s v="Stable"/>
  </r>
  <r>
    <s v="T485"/>
    <x v="2"/>
    <x v="3"/>
    <x v="0"/>
    <x v="3"/>
    <s v="Dec"/>
    <x v="0"/>
    <x v="477"/>
    <n v="9.1"/>
    <x v="2"/>
    <n v="5.7"/>
    <x v="10"/>
    <n v="5362"/>
    <x v="1"/>
    <n v="61.7"/>
    <s v="Cybersecurity Analyst"/>
    <n v="81.5"/>
    <n v="-21.1"/>
    <x v="298"/>
    <n v="3.5"/>
    <n v="5.2"/>
    <n v="5.6"/>
    <s v="Stable"/>
  </r>
  <r>
    <s v="T486"/>
    <x v="17"/>
    <x v="3"/>
    <x v="2"/>
    <x v="2"/>
    <s v="Jun"/>
    <x v="2"/>
    <x v="478"/>
    <n v="16.2"/>
    <x v="1"/>
    <n v="13.7"/>
    <x v="5"/>
    <n v="5409"/>
    <x v="0"/>
    <n v="20.399999999999999"/>
    <s v="DevOps Engineer"/>
    <n v="-27.2"/>
    <n v="1.2"/>
    <x v="299"/>
    <n v="9.6"/>
    <n v="6.9"/>
    <n v="3.8"/>
    <s v="Stable"/>
  </r>
  <r>
    <s v="T487"/>
    <x v="4"/>
    <x v="0"/>
    <x v="1"/>
    <x v="1"/>
    <s v="Jun"/>
    <x v="0"/>
    <x v="479"/>
    <n v="39.299999999999997"/>
    <x v="3"/>
    <n v="7.1"/>
    <x v="5"/>
    <n v="7471"/>
    <x v="1"/>
    <n v="26.7"/>
    <s v="Data Scientist"/>
    <n v="44.7"/>
    <n v="22.7"/>
    <x v="300"/>
    <n v="4.7"/>
    <n v="6.1"/>
    <n v="2.2000000000000002"/>
    <s v="Recession"/>
  </r>
  <r>
    <s v="T488"/>
    <x v="1"/>
    <x v="4"/>
    <x v="3"/>
    <x v="1"/>
    <s v="Jun"/>
    <x v="1"/>
    <x v="480"/>
    <n v="14.1"/>
    <x v="1"/>
    <n v="6.5"/>
    <x v="5"/>
    <n v="3221"/>
    <x v="0"/>
    <n v="12.5"/>
    <s v="ML Engineer"/>
    <n v="8.5"/>
    <n v="-2.6"/>
    <x v="301"/>
    <n v="6.3"/>
    <n v="5.5"/>
    <n v="4.8"/>
    <s v="Stable"/>
  </r>
  <r>
    <s v="T489"/>
    <x v="13"/>
    <x v="5"/>
    <x v="2"/>
    <x v="0"/>
    <s v="Oct"/>
    <x v="0"/>
    <x v="481"/>
    <n v="2"/>
    <x v="4"/>
    <n v="9.8000000000000007"/>
    <x v="51"/>
    <n v="1008"/>
    <x v="1"/>
    <n v="51.7"/>
    <s v="Cybersecurity Analyst"/>
    <n v="-2.8"/>
    <n v="-10.9"/>
    <x v="302"/>
    <n v="7.2"/>
    <n v="5.9"/>
    <n v="6.4"/>
    <s v="Stable"/>
  </r>
  <r>
    <s v="T490"/>
    <x v="0"/>
    <x v="2"/>
    <x v="4"/>
    <x v="1"/>
    <s v="Jun"/>
    <x v="2"/>
    <x v="482"/>
    <n v="6.4"/>
    <x v="0"/>
    <n v="1.3"/>
    <x v="79"/>
    <n v="4776"/>
    <x v="0"/>
    <n v="60.9"/>
    <s v="Cybersecurity Analyst"/>
    <n v="43.4"/>
    <n v="24.9"/>
    <x v="303"/>
    <n v="1.3"/>
    <n v="6.1"/>
    <n v="7.2"/>
    <s v="Bull Market"/>
  </r>
  <r>
    <s v="T491"/>
    <x v="2"/>
    <x v="2"/>
    <x v="2"/>
    <x v="2"/>
    <s v="Sep"/>
    <x v="1"/>
    <x v="483"/>
    <n v="9.1"/>
    <x v="0"/>
    <n v="4.5"/>
    <x v="15"/>
    <n v="4089"/>
    <x v="0"/>
    <n v="56.8"/>
    <s v="Frontend Developer"/>
    <n v="56.7"/>
    <n v="-3.1"/>
    <x v="223"/>
    <n v="6.5"/>
    <n v="6.1"/>
    <n v="4.3"/>
    <s v="Bull Market"/>
  </r>
  <r>
    <s v="T492"/>
    <x v="11"/>
    <x v="6"/>
    <x v="1"/>
    <x v="1"/>
    <s v="Mar"/>
    <x v="0"/>
    <x v="484"/>
    <n v="13.6"/>
    <x v="0"/>
    <n v="5.4"/>
    <x v="10"/>
    <n v="230"/>
    <x v="1"/>
    <n v="43.9"/>
    <s v="Product Manager"/>
    <n v="87.6"/>
    <n v="44.1"/>
    <x v="140"/>
    <n v="5.2"/>
    <n v="5.4"/>
    <n v="6"/>
    <s v="Stable"/>
  </r>
  <r>
    <s v="T493"/>
    <x v="4"/>
    <x v="0"/>
    <x v="5"/>
    <x v="3"/>
    <s v="Jan"/>
    <x v="2"/>
    <x v="485"/>
    <n v="13.8"/>
    <x v="0"/>
    <n v="5.0999999999999996"/>
    <x v="86"/>
    <n v="7254"/>
    <x v="0"/>
    <n v="28.6"/>
    <s v="ML Engineer"/>
    <n v="84.3"/>
    <n v="49.7"/>
    <x v="5"/>
    <n v="3.2"/>
    <n v="6.7"/>
    <n v="6.7"/>
    <s v="Recession"/>
  </r>
  <r>
    <s v="T494"/>
    <x v="17"/>
    <x v="0"/>
    <x v="2"/>
    <x v="1"/>
    <s v="Apr"/>
    <x v="1"/>
    <x v="486"/>
    <n v="16.7"/>
    <x v="0"/>
    <n v="4.5999999999999996"/>
    <x v="29"/>
    <n v="9886"/>
    <x v="0"/>
    <n v="59.6"/>
    <s v="Data Scientist"/>
    <n v="50.4"/>
    <n v="2.9"/>
    <x v="73"/>
    <n v="2.9"/>
    <n v="6.3"/>
    <n v="4.5999999999999996"/>
    <s v="Stable"/>
  </r>
  <r>
    <s v="T495"/>
    <x v="12"/>
    <x v="0"/>
    <x v="5"/>
    <x v="2"/>
    <s v="Jul"/>
    <x v="1"/>
    <x v="487"/>
    <n v="10.199999999999999"/>
    <x v="0"/>
    <n v="4.3"/>
    <x v="5"/>
    <n v="7992"/>
    <x v="3"/>
    <n v="45.8"/>
    <s v="Data Scientist"/>
    <n v="-1.5"/>
    <n v="46.8"/>
    <x v="304"/>
    <n v="7.1"/>
    <n v="9.4"/>
    <n v="5.5"/>
    <s v="Stable"/>
  </r>
  <r>
    <s v="T496"/>
    <x v="19"/>
    <x v="0"/>
    <x v="2"/>
    <x v="0"/>
    <s v="Sep"/>
    <x v="0"/>
    <x v="488"/>
    <n v="19.3"/>
    <x v="1"/>
    <n v="13"/>
    <x v="5"/>
    <n v="8692"/>
    <x v="3"/>
    <n v="45.4"/>
    <s v="Data Scientist"/>
    <n v="19.8"/>
    <n v="-18.100000000000001"/>
    <x v="42"/>
    <n v="7.9"/>
    <n v="4.5"/>
    <n v="3.9"/>
    <s v="Recession"/>
  </r>
  <r>
    <s v="T497"/>
    <x v="13"/>
    <x v="5"/>
    <x v="0"/>
    <x v="1"/>
    <s v="Sep"/>
    <x v="1"/>
    <x v="489"/>
    <n v="8.9"/>
    <x v="1"/>
    <n v="4.7"/>
    <x v="44"/>
    <n v="387"/>
    <x v="1"/>
    <n v="27.5"/>
    <s v="Software Engineer"/>
    <n v="85.2"/>
    <n v="48.8"/>
    <x v="305"/>
    <n v="6.7"/>
    <n v="6"/>
    <n v="8.1"/>
    <s v="Recession"/>
  </r>
  <r>
    <s v="T498"/>
    <x v="0"/>
    <x v="5"/>
    <x v="4"/>
    <x v="3"/>
    <s v="May"/>
    <x v="1"/>
    <x v="490"/>
    <n v="9.6"/>
    <x v="4"/>
    <n v="9.5"/>
    <x v="15"/>
    <n v="1184"/>
    <x v="0"/>
    <n v="74.3"/>
    <s v="Software Engineer"/>
    <n v="50.2"/>
    <n v="13.1"/>
    <x v="67"/>
    <n v="5.9"/>
    <n v="8.5"/>
    <n v="5"/>
    <s v="Bull Market"/>
  </r>
  <r>
    <s v="T499"/>
    <x v="8"/>
    <x v="6"/>
    <x v="3"/>
    <x v="2"/>
    <s v="Nov"/>
    <x v="2"/>
    <x v="491"/>
    <n v="11.9"/>
    <x v="0"/>
    <n v="7.2"/>
    <x v="5"/>
    <n v="1806"/>
    <x v="1"/>
    <n v="61.7"/>
    <s v="Software Engineer"/>
    <n v="-0.2"/>
    <n v="-14.6"/>
    <x v="38"/>
    <n v="7.7"/>
    <n v="5.9"/>
    <n v="3.6"/>
    <s v="Recession"/>
  </r>
  <r>
    <s v="T500"/>
    <x v="2"/>
    <x v="3"/>
    <x v="1"/>
    <x v="0"/>
    <s v="Jul"/>
    <x v="2"/>
    <x v="30"/>
    <n v="35.799999999999997"/>
    <x v="0"/>
    <n v="4.5"/>
    <x v="5"/>
    <n v="887"/>
    <x v="2"/>
    <n v="76.3"/>
    <s v="Data Scientist"/>
    <n v="84.7"/>
    <n v="42.2"/>
    <x v="32"/>
    <n v="4.5999999999999996"/>
    <n v="6.4"/>
    <n v="4"/>
    <s v="Recession"/>
  </r>
  <r>
    <s v="T501"/>
    <x v="1"/>
    <x v="1"/>
    <x v="0"/>
    <x v="1"/>
    <s v="Feb"/>
    <x v="2"/>
    <x v="492"/>
    <n v="10.8"/>
    <x v="2"/>
    <n v="2.9"/>
    <x v="39"/>
    <n v="908"/>
    <x v="1"/>
    <n v="24.2"/>
    <s v="ML Engineer"/>
    <n v="-30.5"/>
    <n v="58.8"/>
    <x v="306"/>
    <n v="2"/>
    <n v="7.6"/>
    <n v="8.1999999999999993"/>
    <s v="Recession"/>
  </r>
  <r>
    <s v="T502"/>
    <x v="4"/>
    <x v="0"/>
    <x v="3"/>
    <x v="3"/>
    <s v="Dec"/>
    <x v="1"/>
    <x v="213"/>
    <n v="14.2"/>
    <x v="0"/>
    <n v="9.3000000000000007"/>
    <x v="30"/>
    <n v="5612"/>
    <x v="0"/>
    <n v="17"/>
    <s v="ML Engineer"/>
    <n v="-24.8"/>
    <n v="26.4"/>
    <x v="131"/>
    <n v="5.7"/>
    <n v="4.7"/>
    <n v="6.9"/>
    <s v="Recession"/>
  </r>
  <r>
    <s v="T503"/>
    <x v="14"/>
    <x v="1"/>
    <x v="3"/>
    <x v="1"/>
    <s v="Nov"/>
    <x v="1"/>
    <x v="493"/>
    <n v="2.2999999999999998"/>
    <x v="4"/>
    <n v="11"/>
    <x v="5"/>
    <n v="4895"/>
    <x v="3"/>
    <n v="30.2"/>
    <s v="Cloud Engineer"/>
    <n v="-20.100000000000001"/>
    <n v="14.5"/>
    <x v="18"/>
    <n v="9.1999999999999993"/>
    <n v="8.8000000000000007"/>
    <n v="6.7"/>
    <s v="Bull Market"/>
  </r>
  <r>
    <s v="T504"/>
    <x v="1"/>
    <x v="6"/>
    <x v="5"/>
    <x v="2"/>
    <s v="Jan"/>
    <x v="1"/>
    <x v="494"/>
    <n v="29.2"/>
    <x v="4"/>
    <n v="4.7"/>
    <x v="69"/>
    <n v="1352"/>
    <x v="2"/>
    <n v="25.8"/>
    <s v="Frontend Developer"/>
    <n v="53.4"/>
    <n v="-24.3"/>
    <x v="307"/>
    <n v="3.7"/>
    <n v="3.9"/>
    <n v="2.2999999999999998"/>
    <s v="Recession"/>
  </r>
  <r>
    <s v="T505"/>
    <x v="16"/>
    <x v="2"/>
    <x v="2"/>
    <x v="1"/>
    <s v="Apr"/>
    <x v="1"/>
    <x v="495"/>
    <n v="5.0999999999999996"/>
    <x v="2"/>
    <n v="9"/>
    <x v="5"/>
    <n v="1639"/>
    <x v="0"/>
    <n v="74.900000000000006"/>
    <s v="Frontend Developer"/>
    <n v="-20.5"/>
    <n v="15.5"/>
    <x v="263"/>
    <n v="7.8"/>
    <n v="7.4"/>
    <n v="5.2"/>
    <s v="Bull Market"/>
  </r>
  <r>
    <s v="T506"/>
    <x v="17"/>
    <x v="0"/>
    <x v="5"/>
    <x v="0"/>
    <s v="May"/>
    <x v="2"/>
    <x v="234"/>
    <n v="36.4"/>
    <x v="4"/>
    <n v="10.199999999999999"/>
    <x v="5"/>
    <n v="7581"/>
    <x v="0"/>
    <n v="34.299999999999997"/>
    <s v="Data Scientist"/>
    <n v="29"/>
    <n v="24.2"/>
    <x v="308"/>
    <n v="7.6"/>
    <n v="4"/>
    <n v="3"/>
    <s v="Recession"/>
  </r>
  <r>
    <s v="T507"/>
    <x v="16"/>
    <x v="2"/>
    <x v="2"/>
    <x v="1"/>
    <s v="Apr"/>
    <x v="0"/>
    <x v="496"/>
    <n v="6.7"/>
    <x v="2"/>
    <n v="5.3"/>
    <x v="5"/>
    <n v="3707"/>
    <x v="0"/>
    <n v="62.7"/>
    <s v="Frontend Developer"/>
    <n v="89"/>
    <n v="7.9"/>
    <x v="83"/>
    <n v="8"/>
    <n v="7.9"/>
    <n v="5.7"/>
    <s v="Bull Market"/>
  </r>
  <r>
    <s v="T508"/>
    <x v="2"/>
    <x v="1"/>
    <x v="5"/>
    <x v="0"/>
    <s v="Feb"/>
    <x v="1"/>
    <x v="497"/>
    <n v="1.9"/>
    <x v="1"/>
    <n v="1"/>
    <x v="19"/>
    <n v="2429"/>
    <x v="0"/>
    <n v="58.6"/>
    <s v="Data Scientist"/>
    <n v="56.2"/>
    <n v="-8.3000000000000007"/>
    <x v="243"/>
    <n v="1.3"/>
    <n v="6.1"/>
    <n v="8.1999999999999993"/>
    <s v="Stable"/>
  </r>
  <r>
    <s v="T509"/>
    <x v="0"/>
    <x v="5"/>
    <x v="5"/>
    <x v="2"/>
    <s v="Aug"/>
    <x v="1"/>
    <x v="498"/>
    <n v="25.4"/>
    <x v="1"/>
    <n v="2.1"/>
    <x v="30"/>
    <n v="1070"/>
    <x v="2"/>
    <n v="59.5"/>
    <s v="DevOps Engineer"/>
    <n v="48.3"/>
    <n v="31.1"/>
    <x v="3"/>
    <n v="1.4"/>
    <n v="5.8"/>
    <n v="5.4"/>
    <s v="Recession"/>
  </r>
  <r>
    <s v="T510"/>
    <x v="12"/>
    <x v="5"/>
    <x v="3"/>
    <x v="1"/>
    <s v="Dec"/>
    <x v="1"/>
    <x v="499"/>
    <n v="5.7"/>
    <x v="2"/>
    <n v="2.7"/>
    <x v="11"/>
    <n v="2298"/>
    <x v="0"/>
    <n v="53.4"/>
    <s v="ML Engineer"/>
    <n v="2.2999999999999998"/>
    <n v="11"/>
    <x v="54"/>
    <n v="4"/>
    <n v="7"/>
    <n v="6.7"/>
    <s v="Stable"/>
  </r>
  <r>
    <s v="T511"/>
    <x v="7"/>
    <x v="4"/>
    <x v="4"/>
    <x v="3"/>
    <s v="Mar"/>
    <x v="0"/>
    <x v="500"/>
    <n v="9.8000000000000007"/>
    <x v="2"/>
    <n v="11.9"/>
    <x v="5"/>
    <n v="1478"/>
    <x v="0"/>
    <n v="66.5"/>
    <s v="Product Manager"/>
    <n v="1.8"/>
    <n v="49.7"/>
    <x v="309"/>
    <n v="7.9"/>
    <n v="6.9"/>
    <n v="5.6"/>
    <s v="Recession"/>
  </r>
  <r>
    <s v="T512"/>
    <x v="17"/>
    <x v="0"/>
    <x v="3"/>
    <x v="1"/>
    <s v="Aug"/>
    <x v="0"/>
    <x v="185"/>
    <n v="5.6"/>
    <x v="1"/>
    <n v="10.199999999999999"/>
    <x v="5"/>
    <n v="5739"/>
    <x v="0"/>
    <n v="16.2"/>
    <s v="Data Scientist"/>
    <n v="78.099999999999994"/>
    <n v="26.1"/>
    <x v="100"/>
    <n v="6.9"/>
    <n v="6.6"/>
    <n v="6.5"/>
    <s v="Bull Market"/>
  </r>
  <r>
    <s v="T513"/>
    <x v="13"/>
    <x v="5"/>
    <x v="5"/>
    <x v="1"/>
    <s v="May"/>
    <x v="1"/>
    <x v="501"/>
    <n v="4.0999999999999996"/>
    <x v="2"/>
    <n v="11"/>
    <x v="5"/>
    <n v="5771"/>
    <x v="0"/>
    <n v="19.3"/>
    <s v="Cybersecurity Analyst"/>
    <n v="1.5"/>
    <n v="-9"/>
    <x v="55"/>
    <n v="9.6999999999999993"/>
    <n v="5.3"/>
    <n v="5.4"/>
    <s v="Bull Market"/>
  </r>
  <r>
    <s v="T514"/>
    <x v="2"/>
    <x v="1"/>
    <x v="3"/>
    <x v="1"/>
    <s v="Nov"/>
    <x v="2"/>
    <x v="502"/>
    <n v="7.7"/>
    <x v="1"/>
    <n v="2.9"/>
    <x v="0"/>
    <n v="4852"/>
    <x v="0"/>
    <n v="73.7"/>
    <s v="ML Engineer"/>
    <n v="49.1"/>
    <n v="-0.4"/>
    <x v="162"/>
    <n v="4.2"/>
    <n v="6.4"/>
    <n v="6.1"/>
    <s v="Stable"/>
  </r>
  <r>
    <s v="T515"/>
    <x v="17"/>
    <x v="0"/>
    <x v="2"/>
    <x v="3"/>
    <s v="Jul"/>
    <x v="0"/>
    <x v="503"/>
    <n v="4.0999999999999996"/>
    <x v="4"/>
    <n v="5.4"/>
    <x v="5"/>
    <n v="9269"/>
    <x v="3"/>
    <n v="28.6"/>
    <s v="ML Engineer"/>
    <n v="73"/>
    <n v="19"/>
    <x v="56"/>
    <n v="8.1"/>
    <n v="8.3000000000000007"/>
    <n v="5.6"/>
    <s v="Bull Market"/>
  </r>
  <r>
    <s v="T516"/>
    <x v="5"/>
    <x v="3"/>
    <x v="3"/>
    <x v="3"/>
    <s v="Jun"/>
    <x v="0"/>
    <x v="504"/>
    <n v="0"/>
    <x v="3"/>
    <n v="8.6999999999999993"/>
    <x v="78"/>
    <n v="4538"/>
    <x v="0"/>
    <n v="42.2"/>
    <s v="DevOps Engineer"/>
    <n v="21.5"/>
    <n v="31.3"/>
    <x v="209"/>
    <n v="5.5"/>
    <n v="9"/>
    <n v="8.3000000000000007"/>
    <s v="Bull Market"/>
  </r>
  <r>
    <s v="T517"/>
    <x v="16"/>
    <x v="2"/>
    <x v="2"/>
    <x v="2"/>
    <s v="Jul"/>
    <x v="0"/>
    <x v="505"/>
    <n v="37.1"/>
    <x v="3"/>
    <n v="4.4000000000000004"/>
    <x v="5"/>
    <n v="1395"/>
    <x v="2"/>
    <n v="32"/>
    <s v="Frontend Developer"/>
    <n v="6.8"/>
    <n v="15.2"/>
    <x v="84"/>
    <n v="2.8"/>
    <n v="5.0999999999999996"/>
    <n v="2.2000000000000002"/>
    <s v="Recession"/>
  </r>
  <r>
    <s v="T518"/>
    <x v="9"/>
    <x v="0"/>
    <x v="4"/>
    <x v="1"/>
    <s v="Nov"/>
    <x v="1"/>
    <x v="506"/>
    <n v="38.799999999999997"/>
    <x v="3"/>
    <n v="9.1"/>
    <x v="5"/>
    <n v="9418"/>
    <x v="1"/>
    <n v="89.4"/>
    <s v="Data Scientist"/>
    <n v="11.1"/>
    <n v="-4.7"/>
    <x v="249"/>
    <n v="5.4"/>
    <n v="4.3"/>
    <n v="2.2000000000000002"/>
    <s v="Recession"/>
  </r>
  <r>
    <s v="T519"/>
    <x v="4"/>
    <x v="0"/>
    <x v="4"/>
    <x v="1"/>
    <s v="Feb"/>
    <x v="2"/>
    <x v="507"/>
    <n v="1.7"/>
    <x v="2"/>
    <n v="11.6"/>
    <x v="5"/>
    <n v="7085"/>
    <x v="3"/>
    <n v="14.7"/>
    <s v="Data Scientist"/>
    <n v="69.3"/>
    <n v="40.799999999999997"/>
    <x v="139"/>
    <n v="7.9"/>
    <n v="9.6"/>
    <n v="7.5"/>
    <s v="Stable"/>
  </r>
  <r>
    <s v="T520"/>
    <x v="9"/>
    <x v="0"/>
    <x v="3"/>
    <x v="0"/>
    <s v="Dec"/>
    <x v="2"/>
    <x v="508"/>
    <n v="12.9"/>
    <x v="1"/>
    <n v="7.3"/>
    <x v="5"/>
    <n v="9664"/>
    <x v="0"/>
    <n v="56.2"/>
    <s v="ML Engineer"/>
    <n v="51.3"/>
    <n v="10.199999999999999"/>
    <x v="102"/>
    <n v="6.9"/>
    <n v="7.3"/>
    <n v="5.6"/>
    <s v="Recession"/>
  </r>
  <r>
    <s v="T521"/>
    <x v="15"/>
    <x v="2"/>
    <x v="2"/>
    <x v="0"/>
    <s v="Jul"/>
    <x v="1"/>
    <x v="509"/>
    <n v="8.4"/>
    <x v="3"/>
    <n v="2.1"/>
    <x v="59"/>
    <n v="1590"/>
    <x v="1"/>
    <n v="56.5"/>
    <s v="Frontend Developer"/>
    <n v="26.4"/>
    <n v="26.9"/>
    <x v="94"/>
    <n v="2"/>
    <n v="8.6999999999999993"/>
    <n v="7"/>
    <s v="Recession"/>
  </r>
  <r>
    <s v="T522"/>
    <x v="14"/>
    <x v="1"/>
    <x v="4"/>
    <x v="2"/>
    <s v="Jan"/>
    <x v="1"/>
    <x v="510"/>
    <n v="6.5"/>
    <x v="0"/>
    <n v="4.0999999999999996"/>
    <x v="38"/>
    <n v="605"/>
    <x v="1"/>
    <n v="87.8"/>
    <s v="ML Engineer"/>
    <n v="75.3"/>
    <n v="2.9"/>
    <x v="24"/>
    <n v="3.4"/>
    <n v="6.1"/>
    <n v="6.7"/>
    <s v="Bull Market"/>
  </r>
  <r>
    <s v="T523"/>
    <x v="13"/>
    <x v="5"/>
    <x v="2"/>
    <x v="2"/>
    <s v="Oct"/>
    <x v="0"/>
    <x v="511"/>
    <n v="36.299999999999997"/>
    <x v="4"/>
    <n v="8.4"/>
    <x v="5"/>
    <n v="381"/>
    <x v="2"/>
    <n v="80.8"/>
    <s v="Cybersecurity Analyst"/>
    <n v="-18.600000000000001"/>
    <n v="54.3"/>
    <x v="310"/>
    <n v="7.3"/>
    <n v="6.5"/>
    <n v="4.5999999999999996"/>
    <s v="Recession"/>
  </r>
  <r>
    <s v="T524"/>
    <x v="2"/>
    <x v="5"/>
    <x v="4"/>
    <x v="0"/>
    <s v="Aug"/>
    <x v="2"/>
    <x v="512"/>
    <n v="9.9"/>
    <x v="4"/>
    <n v="10.6"/>
    <x v="5"/>
    <n v="5006"/>
    <x v="0"/>
    <n v="43.7"/>
    <s v="Data Scientist"/>
    <n v="63"/>
    <n v="-10.6"/>
    <x v="302"/>
    <n v="7.7"/>
    <n v="7.7"/>
    <n v="4.5999999999999996"/>
    <s v="Stable"/>
  </r>
  <r>
    <s v="T525"/>
    <x v="2"/>
    <x v="0"/>
    <x v="3"/>
    <x v="1"/>
    <s v="Jun"/>
    <x v="0"/>
    <x v="513"/>
    <n v="0.1"/>
    <x v="2"/>
    <n v="8.5"/>
    <x v="39"/>
    <n v="1542"/>
    <x v="0"/>
    <n v="22.6"/>
    <s v="ML Engineer"/>
    <n v="14.3"/>
    <n v="-1.6"/>
    <x v="311"/>
    <n v="9.4"/>
    <n v="6.5"/>
    <n v="7.3"/>
    <s v="Bull Market"/>
  </r>
  <r>
    <s v="T526"/>
    <x v="19"/>
    <x v="0"/>
    <x v="5"/>
    <x v="1"/>
    <s v="Mar"/>
    <x v="0"/>
    <x v="514"/>
    <n v="34"/>
    <x v="3"/>
    <n v="3.4"/>
    <x v="5"/>
    <n v="7389"/>
    <x v="1"/>
    <n v="15.1"/>
    <s v="Data Scientist"/>
    <n v="24.5"/>
    <n v="12"/>
    <x v="27"/>
    <n v="3"/>
    <n v="4.7"/>
    <n v="2.7"/>
    <s v="Recession"/>
  </r>
  <r>
    <s v="T527"/>
    <x v="1"/>
    <x v="0"/>
    <x v="4"/>
    <x v="1"/>
    <s v="Sep"/>
    <x v="0"/>
    <x v="515"/>
    <n v="17.399999999999999"/>
    <x v="2"/>
    <n v="6.6"/>
    <x v="5"/>
    <n v="5345"/>
    <x v="0"/>
    <n v="57.3"/>
    <s v="ML Engineer"/>
    <n v="60.5"/>
    <n v="26.5"/>
    <x v="79"/>
    <n v="7.4"/>
    <n v="6.1"/>
    <n v="4.5999999999999996"/>
    <s v="Stable"/>
  </r>
  <r>
    <s v="T528"/>
    <x v="8"/>
    <x v="4"/>
    <x v="0"/>
    <x v="0"/>
    <s v="Jul"/>
    <x v="2"/>
    <x v="516"/>
    <n v="2.5"/>
    <x v="0"/>
    <n v="4.4000000000000004"/>
    <x v="5"/>
    <n v="5229"/>
    <x v="0"/>
    <n v="55.5"/>
    <s v="Cybersecurity Analyst"/>
    <n v="73.8"/>
    <n v="-12.7"/>
    <x v="230"/>
    <n v="5.4"/>
    <n v="5.2"/>
    <n v="5.7"/>
    <s v="Bull Market"/>
  </r>
  <r>
    <s v="T529"/>
    <x v="2"/>
    <x v="2"/>
    <x v="2"/>
    <x v="3"/>
    <s v="Nov"/>
    <x v="2"/>
    <x v="517"/>
    <n v="26.4"/>
    <x v="1"/>
    <n v="2.2000000000000002"/>
    <x v="51"/>
    <n v="103"/>
    <x v="2"/>
    <n v="60.6"/>
    <s v="Cybersecurity Analyst"/>
    <n v="-42.5"/>
    <n v="-15.3"/>
    <x v="312"/>
    <n v="1.7"/>
    <n v="5.6"/>
    <n v="3.7"/>
    <s v="Recession"/>
  </r>
  <r>
    <s v="T530"/>
    <x v="0"/>
    <x v="2"/>
    <x v="4"/>
    <x v="2"/>
    <s v="Feb"/>
    <x v="0"/>
    <x v="518"/>
    <n v="15.6"/>
    <x v="0"/>
    <n v="9.1999999999999993"/>
    <x v="5"/>
    <n v="2681"/>
    <x v="0"/>
    <n v="87"/>
    <s v="Cybersecurity Analyst"/>
    <n v="79.5"/>
    <n v="23.1"/>
    <x v="244"/>
    <n v="7.8"/>
    <n v="4.9000000000000004"/>
    <n v="4.4000000000000004"/>
    <s v="Stable"/>
  </r>
  <r>
    <s v="T531"/>
    <x v="14"/>
    <x v="1"/>
    <x v="2"/>
    <x v="2"/>
    <s v="Feb"/>
    <x v="1"/>
    <x v="519"/>
    <n v="6.6"/>
    <x v="3"/>
    <n v="2.9"/>
    <x v="44"/>
    <n v="3581"/>
    <x v="1"/>
    <n v="84.5"/>
    <s v="Software Engineer"/>
    <n v="52.2"/>
    <n v="50.7"/>
    <x v="313"/>
    <n v="2.1"/>
    <n v="8"/>
    <n v="8.5"/>
    <s v="Stable"/>
  </r>
  <r>
    <s v="T532"/>
    <x v="1"/>
    <x v="1"/>
    <x v="5"/>
    <x v="0"/>
    <s v="Dec"/>
    <x v="0"/>
    <x v="520"/>
    <n v="8.6"/>
    <x v="2"/>
    <n v="7.8"/>
    <x v="25"/>
    <n v="5663"/>
    <x v="1"/>
    <n v="74.099999999999994"/>
    <s v="Data Scientist"/>
    <n v="46.8"/>
    <n v="38.299999999999997"/>
    <x v="120"/>
    <n v="4.9000000000000004"/>
    <n v="6.1"/>
    <n v="7.4"/>
    <s v="Stable"/>
  </r>
  <r>
    <s v="T533"/>
    <x v="7"/>
    <x v="4"/>
    <x v="5"/>
    <x v="0"/>
    <s v="Aug"/>
    <x v="0"/>
    <x v="521"/>
    <n v="23.8"/>
    <x v="4"/>
    <n v="2.6"/>
    <x v="45"/>
    <n v="1444"/>
    <x v="2"/>
    <n v="44.9"/>
    <s v="Product Manager"/>
    <n v="-13.6"/>
    <n v="-22.4"/>
    <x v="314"/>
    <n v="2.2999999999999998"/>
    <n v="3.7"/>
    <n v="4.2"/>
    <s v="Recession"/>
  </r>
  <r>
    <s v="T534"/>
    <x v="10"/>
    <x v="3"/>
    <x v="1"/>
    <x v="2"/>
    <s v="Jul"/>
    <x v="0"/>
    <x v="522"/>
    <n v="4.3"/>
    <x v="4"/>
    <n v="4.7"/>
    <x v="0"/>
    <n v="495"/>
    <x v="0"/>
    <n v="88.1"/>
    <s v="Data Scientist"/>
    <n v="55.8"/>
    <n v="-3.2"/>
    <x v="131"/>
    <n v="4.4000000000000004"/>
    <n v="5.4"/>
    <n v="6.9"/>
    <s v="Bull Market"/>
  </r>
  <r>
    <s v="T535"/>
    <x v="10"/>
    <x v="3"/>
    <x v="4"/>
    <x v="1"/>
    <s v="Nov"/>
    <x v="1"/>
    <x v="523"/>
    <n v="23.5"/>
    <x v="4"/>
    <n v="1.5"/>
    <x v="17"/>
    <n v="1577"/>
    <x v="2"/>
    <n v="51.7"/>
    <s v="Data Scientist"/>
    <n v="4.9000000000000004"/>
    <n v="-24.1"/>
    <x v="315"/>
    <n v="2"/>
    <n v="5.9"/>
    <n v="2.9"/>
    <s v="Recession"/>
  </r>
  <r>
    <s v="T536"/>
    <x v="8"/>
    <x v="6"/>
    <x v="5"/>
    <x v="3"/>
    <s v="Dec"/>
    <x v="1"/>
    <x v="524"/>
    <n v="36.799999999999997"/>
    <x v="0"/>
    <n v="1.8"/>
    <x v="7"/>
    <n v="613"/>
    <x v="2"/>
    <n v="64"/>
    <s v="Product Manager"/>
    <n v="89.1"/>
    <n v="-15.8"/>
    <x v="69"/>
    <n v="1.1000000000000001"/>
    <n v="2.9"/>
    <n v="3.1"/>
    <s v="Recession"/>
  </r>
  <r>
    <s v="T537"/>
    <x v="10"/>
    <x v="3"/>
    <x v="5"/>
    <x v="0"/>
    <s v="Dec"/>
    <x v="2"/>
    <x v="525"/>
    <n v="27.7"/>
    <x v="0"/>
    <n v="6.9"/>
    <x v="5"/>
    <n v="1810"/>
    <x v="2"/>
    <n v="87.9"/>
    <s v="Cloud Engineer"/>
    <n v="-36.299999999999997"/>
    <n v="59"/>
    <x v="33"/>
    <n v="4.9000000000000004"/>
    <n v="8.3000000000000007"/>
    <n v="4.2"/>
    <s v="Recession"/>
  </r>
  <r>
    <s v="T538"/>
    <x v="4"/>
    <x v="1"/>
    <x v="4"/>
    <x v="0"/>
    <s v="Jun"/>
    <x v="2"/>
    <x v="526"/>
    <n v="7.9"/>
    <x v="4"/>
    <n v="1.8"/>
    <x v="19"/>
    <n v="1505"/>
    <x v="1"/>
    <n v="55.1"/>
    <s v="Cybersecurity Analyst"/>
    <n v="-4.2"/>
    <n v="11.1"/>
    <x v="316"/>
    <n v="1.8"/>
    <n v="8.4"/>
    <n v="6.4"/>
    <s v="Bull Market"/>
  </r>
  <r>
    <s v="T539"/>
    <x v="1"/>
    <x v="0"/>
    <x v="0"/>
    <x v="2"/>
    <s v="Apr"/>
    <x v="0"/>
    <x v="527"/>
    <n v="30.7"/>
    <x v="4"/>
    <n v="5.6"/>
    <x v="5"/>
    <n v="6164"/>
    <x v="1"/>
    <n v="77.3"/>
    <s v="ML Engineer"/>
    <n v="41.6"/>
    <n v="55.7"/>
    <x v="317"/>
    <n v="6.2"/>
    <n v="7.5"/>
    <n v="5.4"/>
    <s v="Recession"/>
  </r>
  <r>
    <s v="T540"/>
    <x v="8"/>
    <x v="6"/>
    <x v="5"/>
    <x v="3"/>
    <s v="Oct"/>
    <x v="2"/>
    <x v="528"/>
    <n v="10.8"/>
    <x v="0"/>
    <n v="6.6"/>
    <x v="68"/>
    <n v="467"/>
    <x v="1"/>
    <n v="46.6"/>
    <s v="Software Engineer"/>
    <n v="-33.4"/>
    <n v="-22.4"/>
    <x v="116"/>
    <n v="5.4"/>
    <n v="4.8"/>
    <n v="4.8"/>
    <s v="Stable"/>
  </r>
  <r>
    <s v="T541"/>
    <x v="10"/>
    <x v="3"/>
    <x v="1"/>
    <x v="2"/>
    <s v="Jun"/>
    <x v="1"/>
    <x v="529"/>
    <n v="0"/>
    <x v="2"/>
    <n v="7.5"/>
    <x v="34"/>
    <n v="469"/>
    <x v="1"/>
    <n v="27.1"/>
    <s v="Data Scientist"/>
    <n v="-21.4"/>
    <n v="-19.2"/>
    <x v="41"/>
    <n v="4.7"/>
    <n v="7.8"/>
    <n v="7.4"/>
    <s v="Bull Market"/>
  </r>
  <r>
    <s v="T542"/>
    <x v="0"/>
    <x v="0"/>
    <x v="2"/>
    <x v="1"/>
    <s v="Dec"/>
    <x v="2"/>
    <x v="530"/>
    <n v="2.2999999999999998"/>
    <x v="2"/>
    <n v="6.2"/>
    <x v="0"/>
    <n v="3808"/>
    <x v="0"/>
    <n v="87.2"/>
    <s v="Data Scientist"/>
    <n v="-5.2"/>
    <n v="40.200000000000003"/>
    <x v="181"/>
    <n v="5"/>
    <n v="6.7"/>
    <n v="7.9"/>
    <s v="Bull Market"/>
  </r>
  <r>
    <s v="T543"/>
    <x v="5"/>
    <x v="3"/>
    <x v="0"/>
    <x v="3"/>
    <s v="Jul"/>
    <x v="2"/>
    <x v="531"/>
    <n v="11.4"/>
    <x v="0"/>
    <n v="6.4"/>
    <x v="7"/>
    <n v="1396"/>
    <x v="1"/>
    <n v="41.4"/>
    <s v="Product Manager"/>
    <n v="-14.6"/>
    <n v="25.1"/>
    <x v="27"/>
    <n v="6.1"/>
    <n v="5.3"/>
    <n v="6.3"/>
    <s v="Stable"/>
  </r>
  <r>
    <s v="T544"/>
    <x v="4"/>
    <x v="1"/>
    <x v="5"/>
    <x v="3"/>
    <s v="Jun"/>
    <x v="0"/>
    <x v="532"/>
    <n v="9.6999999999999993"/>
    <x v="3"/>
    <n v="5.9"/>
    <x v="44"/>
    <n v="545"/>
    <x v="1"/>
    <n v="67.7"/>
    <s v="Product Manager"/>
    <n v="43"/>
    <n v="21.5"/>
    <x v="208"/>
    <n v="4.3"/>
    <n v="8.1999999999999993"/>
    <n v="6.6"/>
    <s v="Recession"/>
  </r>
  <r>
    <s v="T545"/>
    <x v="6"/>
    <x v="1"/>
    <x v="0"/>
    <x v="3"/>
    <s v="Jul"/>
    <x v="1"/>
    <x v="533"/>
    <n v="8.1999999999999993"/>
    <x v="4"/>
    <n v="5.4"/>
    <x v="73"/>
    <n v="4335"/>
    <x v="0"/>
    <n v="74.3"/>
    <s v="DevOps Engineer"/>
    <n v="65.8"/>
    <n v="27"/>
    <x v="318"/>
    <n v="6.5"/>
    <n v="5.3"/>
    <n v="6.1"/>
    <s v="Bull Market"/>
  </r>
  <r>
    <s v="T546"/>
    <x v="10"/>
    <x v="3"/>
    <x v="1"/>
    <x v="0"/>
    <s v="Oct"/>
    <x v="0"/>
    <x v="534"/>
    <n v="10.199999999999999"/>
    <x v="2"/>
    <n v="10.4"/>
    <x v="5"/>
    <n v="4214"/>
    <x v="1"/>
    <n v="28.9"/>
    <s v="ML Engineer"/>
    <n v="-23.4"/>
    <n v="46.1"/>
    <x v="161"/>
    <n v="6.2"/>
    <n v="8.8000000000000007"/>
    <n v="6.4"/>
    <s v="Stable"/>
  </r>
  <r>
    <s v="T547"/>
    <x v="8"/>
    <x v="4"/>
    <x v="3"/>
    <x v="1"/>
    <s v="May"/>
    <x v="2"/>
    <x v="535"/>
    <n v="21.6"/>
    <x v="3"/>
    <n v="7.9"/>
    <x v="35"/>
    <n v="1790"/>
    <x v="1"/>
    <n v="46.2"/>
    <s v="DevOps Engineer"/>
    <n v="50.3"/>
    <n v="19.100000000000001"/>
    <x v="319"/>
    <n v="5.3"/>
    <n v="7.6"/>
    <n v="5.7"/>
    <s v="Recession"/>
  </r>
  <r>
    <s v="T548"/>
    <x v="4"/>
    <x v="1"/>
    <x v="0"/>
    <x v="3"/>
    <s v="May"/>
    <x v="2"/>
    <x v="536"/>
    <n v="7.5"/>
    <x v="2"/>
    <n v="7"/>
    <x v="33"/>
    <n v="4036"/>
    <x v="0"/>
    <n v="62.6"/>
    <s v="Frontend Developer"/>
    <n v="-19.399999999999999"/>
    <n v="-18.5"/>
    <x v="223"/>
    <n v="6.9"/>
    <n v="5"/>
    <n v="5.2"/>
    <s v="Bull Market"/>
  </r>
  <r>
    <s v="T549"/>
    <x v="0"/>
    <x v="2"/>
    <x v="3"/>
    <x v="2"/>
    <s v="Jan"/>
    <x v="0"/>
    <x v="537"/>
    <n v="33.6"/>
    <x v="4"/>
    <n v="2.2000000000000002"/>
    <x v="86"/>
    <n v="755"/>
    <x v="2"/>
    <n v="24.6"/>
    <s v="ML Engineer"/>
    <n v="43"/>
    <n v="-20.100000000000001"/>
    <x v="320"/>
    <n v="1.9"/>
    <n v="3.1"/>
    <n v="2.8"/>
    <s v="Recession"/>
  </r>
  <r>
    <s v="T550"/>
    <x v="1"/>
    <x v="6"/>
    <x v="1"/>
    <x v="3"/>
    <s v="Jun"/>
    <x v="0"/>
    <x v="538"/>
    <n v="3.8"/>
    <x v="4"/>
    <n v="3.1"/>
    <x v="53"/>
    <n v="2294"/>
    <x v="1"/>
    <n v="14.8"/>
    <s v="Cloud Engineer"/>
    <n v="13.2"/>
    <n v="-13.6"/>
    <x v="321"/>
    <n v="3.3"/>
    <n v="7.8"/>
    <n v="7.6"/>
    <s v="Stable"/>
  </r>
  <r>
    <s v="T551"/>
    <x v="2"/>
    <x v="5"/>
    <x v="5"/>
    <x v="3"/>
    <s v="Feb"/>
    <x v="2"/>
    <x v="539"/>
    <n v="39.6"/>
    <x v="4"/>
    <n v="9.6999999999999993"/>
    <x v="5"/>
    <n v="248"/>
    <x v="2"/>
    <n v="19.399999999999999"/>
    <s v="Software Engineer"/>
    <n v="-4.4000000000000004"/>
    <n v="59.8"/>
    <x v="120"/>
    <n v="9"/>
    <n v="4.5"/>
    <n v="4.0999999999999996"/>
    <s v="Recession"/>
  </r>
  <r>
    <s v="T552"/>
    <x v="0"/>
    <x v="5"/>
    <x v="1"/>
    <x v="0"/>
    <s v="Mar"/>
    <x v="1"/>
    <x v="540"/>
    <n v="11.7"/>
    <x v="2"/>
    <n v="5.9"/>
    <x v="2"/>
    <n v="1211"/>
    <x v="1"/>
    <n v="83.6"/>
    <s v="Cloud Engineer"/>
    <n v="48.8"/>
    <n v="30.1"/>
    <x v="120"/>
    <n v="5.5"/>
    <n v="7.5"/>
    <n v="5.7"/>
    <s v="Stable"/>
  </r>
  <r>
    <s v="T553"/>
    <x v="7"/>
    <x v="4"/>
    <x v="2"/>
    <x v="0"/>
    <s v="Dec"/>
    <x v="0"/>
    <x v="174"/>
    <n v="0"/>
    <x v="3"/>
    <n v="5.0999999999999996"/>
    <x v="72"/>
    <n v="2362"/>
    <x v="0"/>
    <n v="25.9"/>
    <s v="Cybersecurity Analyst"/>
    <n v="46.3"/>
    <n v="15.1"/>
    <x v="205"/>
    <n v="3.6"/>
    <n v="7"/>
    <n v="7.1"/>
    <s v="Bull Market"/>
  </r>
  <r>
    <s v="T554"/>
    <x v="6"/>
    <x v="1"/>
    <x v="4"/>
    <x v="2"/>
    <s v="Oct"/>
    <x v="2"/>
    <x v="541"/>
    <n v="25.3"/>
    <x v="0"/>
    <n v="4.8"/>
    <x v="48"/>
    <n v="1871"/>
    <x v="1"/>
    <n v="32.1"/>
    <s v="DevOps Engineer"/>
    <n v="-17.399999999999999"/>
    <n v="34"/>
    <x v="148"/>
    <n v="5"/>
    <n v="6.2"/>
    <n v="4.5"/>
    <s v="Recession"/>
  </r>
  <r>
    <s v="T555"/>
    <x v="0"/>
    <x v="5"/>
    <x v="3"/>
    <x v="0"/>
    <s v="Sep"/>
    <x v="0"/>
    <x v="542"/>
    <n v="27.6"/>
    <x v="0"/>
    <n v="3.8"/>
    <x v="49"/>
    <n v="1137"/>
    <x v="2"/>
    <n v="52.6"/>
    <s v="Data Scientist"/>
    <n v="12.4"/>
    <n v="-4.5"/>
    <x v="322"/>
    <n v="3.5"/>
    <n v="4.3"/>
    <n v="3.6"/>
    <s v="Recession"/>
  </r>
  <r>
    <s v="T556"/>
    <x v="10"/>
    <x v="3"/>
    <x v="0"/>
    <x v="0"/>
    <s v="Sep"/>
    <x v="2"/>
    <x v="543"/>
    <n v="27.6"/>
    <x v="1"/>
    <n v="1.6"/>
    <x v="33"/>
    <n v="799"/>
    <x v="1"/>
    <n v="12"/>
    <s v="ML Engineer"/>
    <n v="-28"/>
    <n v="34.9"/>
    <x v="232"/>
    <n v="2.7"/>
    <n v="5.2"/>
    <n v="3.9"/>
    <s v="Recession"/>
  </r>
  <r>
    <s v="T557"/>
    <x v="2"/>
    <x v="1"/>
    <x v="3"/>
    <x v="1"/>
    <s v="Apr"/>
    <x v="1"/>
    <x v="544"/>
    <n v="14.2"/>
    <x v="3"/>
    <n v="4.5999999999999996"/>
    <x v="8"/>
    <n v="1783"/>
    <x v="1"/>
    <n v="28.8"/>
    <s v="Frontend Developer"/>
    <n v="84.9"/>
    <n v="-16.2"/>
    <x v="323"/>
    <n v="3.1"/>
    <n v="6.2"/>
    <n v="5"/>
    <s v="Stable"/>
  </r>
  <r>
    <s v="T558"/>
    <x v="18"/>
    <x v="0"/>
    <x v="4"/>
    <x v="3"/>
    <s v="Sep"/>
    <x v="0"/>
    <x v="545"/>
    <n v="12.6"/>
    <x v="2"/>
    <n v="2.2000000000000002"/>
    <x v="34"/>
    <n v="5204"/>
    <x v="1"/>
    <n v="29.7"/>
    <s v="ML Engineer"/>
    <n v="55.8"/>
    <n v="22.1"/>
    <x v="255"/>
    <n v="1.4"/>
    <n v="6.5"/>
    <n v="6.4"/>
    <s v="Stable"/>
  </r>
  <r>
    <s v="T559"/>
    <x v="18"/>
    <x v="0"/>
    <x v="5"/>
    <x v="1"/>
    <s v="Jan"/>
    <x v="0"/>
    <x v="546"/>
    <n v="4.5"/>
    <x v="0"/>
    <n v="5.2"/>
    <x v="13"/>
    <n v="7144"/>
    <x v="0"/>
    <n v="58.4"/>
    <s v="ML Engineer"/>
    <n v="-36.9"/>
    <n v="51.3"/>
    <x v="324"/>
    <n v="6"/>
    <n v="6.7"/>
    <n v="7.5"/>
    <s v="Bull Market"/>
  </r>
  <r>
    <s v="T560"/>
    <x v="4"/>
    <x v="0"/>
    <x v="0"/>
    <x v="2"/>
    <s v="Jul"/>
    <x v="2"/>
    <x v="547"/>
    <n v="3.6"/>
    <x v="2"/>
    <n v="6.8"/>
    <x v="66"/>
    <n v="7499"/>
    <x v="0"/>
    <n v="20.8"/>
    <s v="ML Engineer"/>
    <n v="-37.4"/>
    <n v="15.4"/>
    <x v="325"/>
    <n v="4.8"/>
    <n v="5.5"/>
    <n v="7.1"/>
    <s v="Bull Market"/>
  </r>
  <r>
    <s v="T561"/>
    <x v="9"/>
    <x v="0"/>
    <x v="1"/>
    <x v="0"/>
    <s v="Jul"/>
    <x v="0"/>
    <x v="548"/>
    <n v="5"/>
    <x v="1"/>
    <n v="7.5"/>
    <x v="23"/>
    <n v="3003"/>
    <x v="0"/>
    <n v="16.3"/>
    <s v="ML Engineer"/>
    <n v="38.200000000000003"/>
    <n v="1.9"/>
    <x v="34"/>
    <n v="5.3"/>
    <n v="7.2"/>
    <n v="6"/>
    <s v="Bull Market"/>
  </r>
  <r>
    <s v="T562"/>
    <x v="14"/>
    <x v="1"/>
    <x v="3"/>
    <x v="2"/>
    <s v="Dec"/>
    <x v="1"/>
    <x v="549"/>
    <n v="6.6"/>
    <x v="2"/>
    <n v="8.4"/>
    <x v="73"/>
    <n v="5980"/>
    <x v="0"/>
    <n v="27.9"/>
    <s v="Frontend Developer"/>
    <n v="42.6"/>
    <n v="23"/>
    <x v="225"/>
    <n v="5.4"/>
    <n v="7.7"/>
    <n v="5.7"/>
    <s v="Stable"/>
  </r>
  <r>
    <s v="T563"/>
    <x v="0"/>
    <x v="0"/>
    <x v="0"/>
    <x v="1"/>
    <s v="Jan"/>
    <x v="1"/>
    <x v="550"/>
    <n v="7"/>
    <x v="0"/>
    <n v="4.2"/>
    <x v="85"/>
    <n v="5406"/>
    <x v="0"/>
    <n v="19.100000000000001"/>
    <s v="ML Engineer"/>
    <n v="36.799999999999997"/>
    <n v="5.9"/>
    <x v="31"/>
    <n v="4.3"/>
    <n v="6.9"/>
    <n v="7.3"/>
    <s v="Stable"/>
  </r>
  <r>
    <s v="T564"/>
    <x v="17"/>
    <x v="0"/>
    <x v="4"/>
    <x v="0"/>
    <s v="Sep"/>
    <x v="2"/>
    <x v="478"/>
    <n v="23"/>
    <x v="4"/>
    <n v="8.4"/>
    <x v="5"/>
    <n v="4512"/>
    <x v="1"/>
    <n v="65.599999999999994"/>
    <s v="ML Engineer"/>
    <n v="-1.8"/>
    <n v="41.7"/>
    <x v="326"/>
    <n v="5.9"/>
    <n v="7.4"/>
    <n v="5.6"/>
    <s v="Recession"/>
  </r>
  <r>
    <s v="T565"/>
    <x v="2"/>
    <x v="2"/>
    <x v="5"/>
    <x v="0"/>
    <s v="May"/>
    <x v="2"/>
    <x v="551"/>
    <n v="37.9"/>
    <x v="2"/>
    <n v="5.9"/>
    <x v="5"/>
    <n v="1227"/>
    <x v="2"/>
    <n v="29.2"/>
    <s v="Data Scientist"/>
    <n v="16.399999999999999"/>
    <n v="-18.899999999999999"/>
    <x v="136"/>
    <n v="7.2"/>
    <n v="2.1"/>
    <n v="1.5"/>
    <s v="Recession"/>
  </r>
  <r>
    <s v="T566"/>
    <x v="2"/>
    <x v="5"/>
    <x v="1"/>
    <x v="0"/>
    <s v="Mar"/>
    <x v="1"/>
    <x v="552"/>
    <n v="31.9"/>
    <x v="0"/>
    <n v="9.4"/>
    <x v="5"/>
    <n v="981"/>
    <x v="2"/>
    <n v="11.8"/>
    <s v="Product Manager"/>
    <n v="-0.3"/>
    <n v="34.5"/>
    <x v="261"/>
    <n v="8.3000000000000007"/>
    <n v="6.9"/>
    <n v="3.2"/>
    <s v="Recession"/>
  </r>
  <r>
    <s v="T567"/>
    <x v="2"/>
    <x v="5"/>
    <x v="4"/>
    <x v="2"/>
    <s v="Jan"/>
    <x v="0"/>
    <x v="553"/>
    <n v="6.9"/>
    <x v="2"/>
    <n v="8.6999999999999993"/>
    <x v="24"/>
    <n v="879"/>
    <x v="0"/>
    <n v="87.4"/>
    <s v="Software Engineer"/>
    <n v="3.6"/>
    <n v="41.3"/>
    <x v="268"/>
    <n v="5.3"/>
    <n v="6.7"/>
    <n v="8.1"/>
    <s v="Bull Market"/>
  </r>
  <r>
    <s v="T568"/>
    <x v="6"/>
    <x v="2"/>
    <x v="3"/>
    <x v="2"/>
    <s v="Feb"/>
    <x v="2"/>
    <x v="554"/>
    <n v="10"/>
    <x v="2"/>
    <n v="3.6"/>
    <x v="32"/>
    <n v="2143"/>
    <x v="1"/>
    <n v="19.899999999999999"/>
    <s v="Software Engineer"/>
    <n v="31"/>
    <n v="24.6"/>
    <x v="232"/>
    <n v="3.4"/>
    <n v="5.2"/>
    <n v="7.3"/>
    <s v="Bull Market"/>
  </r>
  <r>
    <s v="T569"/>
    <x v="2"/>
    <x v="2"/>
    <x v="5"/>
    <x v="2"/>
    <s v="Jul"/>
    <x v="1"/>
    <x v="555"/>
    <n v="22"/>
    <x v="4"/>
    <n v="3"/>
    <x v="27"/>
    <n v="1115"/>
    <x v="2"/>
    <n v="49.8"/>
    <s v="DevOps Engineer"/>
    <n v="84.3"/>
    <n v="3.1"/>
    <x v="294"/>
    <n v="2.6"/>
    <n v="5.5"/>
    <n v="3.7"/>
    <s v="Recession"/>
  </r>
  <r>
    <s v="T570"/>
    <x v="4"/>
    <x v="1"/>
    <x v="5"/>
    <x v="2"/>
    <s v="Jul"/>
    <x v="1"/>
    <x v="556"/>
    <n v="3"/>
    <x v="2"/>
    <n v="2.5"/>
    <x v="13"/>
    <n v="5246"/>
    <x v="1"/>
    <n v="20.8"/>
    <s v="Product Manager"/>
    <n v="76.900000000000006"/>
    <n v="-15.7"/>
    <x v="327"/>
    <n v="1.6"/>
    <n v="7.3"/>
    <n v="7.3"/>
    <s v="Bull Market"/>
  </r>
  <r>
    <s v="T571"/>
    <x v="14"/>
    <x v="1"/>
    <x v="3"/>
    <x v="2"/>
    <s v="Jul"/>
    <x v="1"/>
    <x v="557"/>
    <n v="19.7"/>
    <x v="4"/>
    <n v="4.0999999999999996"/>
    <x v="20"/>
    <n v="164"/>
    <x v="2"/>
    <n v="66.8"/>
    <s v="Cybersecurity Analyst"/>
    <n v="78.5"/>
    <n v="9.6999999999999993"/>
    <x v="300"/>
    <n v="4"/>
    <n v="4.2"/>
    <n v="4.9000000000000004"/>
    <s v="Recession"/>
  </r>
  <r>
    <s v="T572"/>
    <x v="8"/>
    <x v="4"/>
    <x v="5"/>
    <x v="0"/>
    <s v="Oct"/>
    <x v="1"/>
    <x v="558"/>
    <n v="5"/>
    <x v="4"/>
    <n v="7.7"/>
    <x v="58"/>
    <n v="365"/>
    <x v="1"/>
    <n v="70.8"/>
    <s v="Cloud Engineer"/>
    <n v="-12.4"/>
    <n v="-17.899999999999999"/>
    <x v="79"/>
    <n v="4.5999999999999996"/>
    <n v="5.0999999999999996"/>
    <n v="5.2"/>
    <s v="Stable"/>
  </r>
  <r>
    <s v="T573"/>
    <x v="11"/>
    <x v="6"/>
    <x v="5"/>
    <x v="1"/>
    <s v="Sep"/>
    <x v="1"/>
    <x v="559"/>
    <n v="14.4"/>
    <x v="0"/>
    <n v="6.1"/>
    <x v="32"/>
    <n v="702"/>
    <x v="1"/>
    <n v="90"/>
    <s v="Cloud Engineer"/>
    <n v="88"/>
    <n v="-13"/>
    <x v="328"/>
    <n v="4.2"/>
    <n v="4.0999999999999996"/>
    <n v="5.2"/>
    <s v="Stable"/>
  </r>
  <r>
    <s v="T574"/>
    <x v="0"/>
    <x v="5"/>
    <x v="1"/>
    <x v="1"/>
    <s v="Jul"/>
    <x v="1"/>
    <x v="560"/>
    <n v="24.2"/>
    <x v="3"/>
    <n v="2.7"/>
    <x v="17"/>
    <n v="168"/>
    <x v="2"/>
    <n v="14.9"/>
    <s v="Cybersecurity Analyst"/>
    <n v="-43.7"/>
    <n v="23.1"/>
    <x v="159"/>
    <n v="2.7"/>
    <n v="4"/>
    <n v="4.5"/>
    <s v="Recession"/>
  </r>
  <r>
    <s v="T575"/>
    <x v="13"/>
    <x v="5"/>
    <x v="5"/>
    <x v="0"/>
    <s v="Sep"/>
    <x v="1"/>
    <x v="561"/>
    <n v="9.5"/>
    <x v="0"/>
    <n v="3"/>
    <x v="40"/>
    <n v="5702"/>
    <x v="1"/>
    <n v="85.5"/>
    <s v="Frontend Developer"/>
    <n v="36.1"/>
    <n v="31.7"/>
    <x v="51"/>
    <n v="2.1"/>
    <n v="7.4"/>
    <n v="7.2"/>
    <s v="Bull Market"/>
  </r>
  <r>
    <s v="T576"/>
    <x v="2"/>
    <x v="5"/>
    <x v="2"/>
    <x v="2"/>
    <s v="Jul"/>
    <x v="0"/>
    <x v="562"/>
    <n v="6.8"/>
    <x v="4"/>
    <n v="2.2000000000000002"/>
    <x v="87"/>
    <n v="3816"/>
    <x v="1"/>
    <n v="15.6"/>
    <s v="Cloud Engineer"/>
    <n v="36.4"/>
    <n v="-7.6"/>
    <x v="301"/>
    <n v="1.5"/>
    <n v="4.8"/>
    <n v="5.8"/>
    <s v="Bull Market"/>
  </r>
  <r>
    <s v="T577"/>
    <x v="18"/>
    <x v="0"/>
    <x v="3"/>
    <x v="1"/>
    <s v="Jun"/>
    <x v="1"/>
    <x v="563"/>
    <n v="13.6"/>
    <x v="3"/>
    <n v="1"/>
    <x v="6"/>
    <n v="8088"/>
    <x v="0"/>
    <n v="64.2"/>
    <s v="ML Engineer"/>
    <n v="8.8000000000000007"/>
    <n v="15.6"/>
    <x v="204"/>
    <n v="1.4"/>
    <n v="5.8"/>
    <n v="6.9"/>
    <s v="Recession"/>
  </r>
  <r>
    <s v="T578"/>
    <x v="2"/>
    <x v="3"/>
    <x v="2"/>
    <x v="2"/>
    <s v="Nov"/>
    <x v="2"/>
    <x v="564"/>
    <n v="14.8"/>
    <x v="2"/>
    <n v="11.4"/>
    <x v="5"/>
    <n v="3972"/>
    <x v="0"/>
    <n v="73.900000000000006"/>
    <s v="Cybersecurity Analyst"/>
    <n v="69.3"/>
    <n v="-3.3"/>
    <x v="329"/>
    <n v="9.6999999999999993"/>
    <n v="6.2"/>
    <n v="4.3"/>
    <s v="Stable"/>
  </r>
  <r>
    <s v="T579"/>
    <x v="17"/>
    <x v="0"/>
    <x v="0"/>
    <x v="3"/>
    <s v="Sep"/>
    <x v="1"/>
    <x v="565"/>
    <n v="1.7"/>
    <x v="3"/>
    <n v="1.9"/>
    <x v="19"/>
    <n v="6303"/>
    <x v="0"/>
    <n v="55.6"/>
    <s v="Data Scientist"/>
    <n v="-39.700000000000003"/>
    <n v="-16.600000000000001"/>
    <x v="330"/>
    <n v="1.5"/>
    <n v="5.4"/>
    <n v="6.6"/>
    <s v="Bull Market"/>
  </r>
  <r>
    <s v="T580"/>
    <x v="8"/>
    <x v="6"/>
    <x v="0"/>
    <x v="3"/>
    <s v="Feb"/>
    <x v="2"/>
    <x v="566"/>
    <n v="28.9"/>
    <x v="2"/>
    <n v="6.4"/>
    <x v="50"/>
    <n v="435"/>
    <x v="2"/>
    <n v="66.7"/>
    <s v="Data Scientist"/>
    <n v="30.1"/>
    <n v="13.7"/>
    <x v="9"/>
    <n v="4.3"/>
    <n v="5.3"/>
    <n v="4.5"/>
    <s v="Recession"/>
  </r>
  <r>
    <s v="T581"/>
    <x v="17"/>
    <x v="0"/>
    <x v="2"/>
    <x v="1"/>
    <s v="Feb"/>
    <x v="2"/>
    <x v="567"/>
    <n v="6.7"/>
    <x v="3"/>
    <n v="2.2000000000000002"/>
    <x v="19"/>
    <n v="7426"/>
    <x v="0"/>
    <n v="22.8"/>
    <s v="Data Scientist"/>
    <n v="-30.6"/>
    <n v="-8.1999999999999993"/>
    <x v="60"/>
    <n v="2"/>
    <n v="7.3"/>
    <n v="7.5"/>
    <s v="Stable"/>
  </r>
  <r>
    <s v="T582"/>
    <x v="15"/>
    <x v="2"/>
    <x v="4"/>
    <x v="2"/>
    <s v="Apr"/>
    <x v="2"/>
    <x v="568"/>
    <n v="2.6"/>
    <x v="1"/>
    <n v="2.9"/>
    <x v="1"/>
    <n v="3841"/>
    <x v="0"/>
    <n v="63.4"/>
    <s v="Data Scientist"/>
    <n v="29.8"/>
    <n v="33.700000000000003"/>
    <x v="331"/>
    <n v="1.8"/>
    <n v="9.1"/>
    <n v="8.5"/>
    <s v="Stable"/>
  </r>
  <r>
    <s v="T583"/>
    <x v="2"/>
    <x v="1"/>
    <x v="2"/>
    <x v="1"/>
    <s v="Apr"/>
    <x v="1"/>
    <x v="569"/>
    <n v="16.2"/>
    <x v="2"/>
    <n v="9.9"/>
    <x v="5"/>
    <n v="5779"/>
    <x v="0"/>
    <n v="80"/>
    <s v="Cloud Engineer"/>
    <n v="28.8"/>
    <n v="59.1"/>
    <x v="28"/>
    <n v="9.4"/>
    <n v="8.9"/>
    <n v="5.5"/>
    <s v="Stable"/>
  </r>
  <r>
    <s v="T584"/>
    <x v="0"/>
    <x v="1"/>
    <x v="2"/>
    <x v="2"/>
    <s v="Sep"/>
    <x v="1"/>
    <x v="570"/>
    <n v="32.799999999999997"/>
    <x v="4"/>
    <n v="5.0999999999999996"/>
    <x v="5"/>
    <n v="1600"/>
    <x v="2"/>
    <n v="13.4"/>
    <s v="Software Engineer"/>
    <n v="2.4"/>
    <n v="5.2"/>
    <x v="332"/>
    <n v="4.5999999999999996"/>
    <n v="4.3"/>
    <n v="3.3"/>
    <s v="Recession"/>
  </r>
  <r>
    <s v="T585"/>
    <x v="17"/>
    <x v="0"/>
    <x v="2"/>
    <x v="2"/>
    <s v="Sep"/>
    <x v="0"/>
    <x v="571"/>
    <n v="18.100000000000001"/>
    <x v="2"/>
    <n v="1.4"/>
    <x v="1"/>
    <n v="6967"/>
    <x v="0"/>
    <n v="64.099999999999994"/>
    <s v="Data Scientist"/>
    <n v="33.9"/>
    <n v="-1.5"/>
    <x v="278"/>
    <n v="1.4"/>
    <n v="4.5"/>
    <n v="6"/>
    <s v="Recession"/>
  </r>
  <r>
    <s v="T586"/>
    <x v="9"/>
    <x v="1"/>
    <x v="3"/>
    <x v="3"/>
    <s v="Feb"/>
    <x v="2"/>
    <x v="572"/>
    <n v="11.2"/>
    <x v="0"/>
    <n v="3.3"/>
    <x v="72"/>
    <n v="1877"/>
    <x v="1"/>
    <n v="73.8"/>
    <s v="Cybersecurity Analyst"/>
    <n v="-20.399999999999999"/>
    <n v="10"/>
    <x v="333"/>
    <n v="2.1"/>
    <n v="5.8"/>
    <n v="5.7"/>
    <s v="Recession"/>
  </r>
  <r>
    <s v="T587"/>
    <x v="19"/>
    <x v="0"/>
    <x v="4"/>
    <x v="2"/>
    <s v="Mar"/>
    <x v="2"/>
    <x v="573"/>
    <n v="0.6"/>
    <x v="0"/>
    <n v="6.6"/>
    <x v="5"/>
    <n v="5047"/>
    <x v="3"/>
    <n v="53.1"/>
    <s v="ML Engineer"/>
    <n v="68"/>
    <n v="24.6"/>
    <x v="255"/>
    <n v="9.1"/>
    <n v="9.5"/>
    <n v="5.9"/>
    <s v="Bull Market"/>
  </r>
  <r>
    <s v="T588"/>
    <x v="0"/>
    <x v="0"/>
    <x v="3"/>
    <x v="2"/>
    <s v="Mar"/>
    <x v="1"/>
    <x v="574"/>
    <n v="0.1"/>
    <x v="0"/>
    <n v="7.1"/>
    <x v="41"/>
    <n v="7084"/>
    <x v="0"/>
    <n v="82.3"/>
    <s v="ML Engineer"/>
    <n v="68.8"/>
    <n v="-17.5"/>
    <x v="295"/>
    <n v="7.9"/>
    <n v="5.4"/>
    <n v="5.9"/>
    <s v="Bull Market"/>
  </r>
  <r>
    <s v="T589"/>
    <x v="3"/>
    <x v="1"/>
    <x v="4"/>
    <x v="1"/>
    <s v="Oct"/>
    <x v="1"/>
    <x v="575"/>
    <n v="6.4"/>
    <x v="1"/>
    <n v="10.9"/>
    <x v="56"/>
    <n v="1955"/>
    <x v="0"/>
    <n v="43.9"/>
    <s v="Cloud Engineer"/>
    <n v="28.8"/>
    <n v="5.3"/>
    <x v="232"/>
    <n v="8"/>
    <n v="7.2"/>
    <n v="6.7"/>
    <s v="Bull Market"/>
  </r>
  <r>
    <s v="T590"/>
    <x v="18"/>
    <x v="0"/>
    <x v="4"/>
    <x v="0"/>
    <s v="Feb"/>
    <x v="2"/>
    <x v="576"/>
    <n v="2.5"/>
    <x v="0"/>
    <n v="2.7"/>
    <x v="77"/>
    <n v="4812"/>
    <x v="1"/>
    <n v="68"/>
    <s v="ML Engineer"/>
    <n v="57.2"/>
    <n v="34.5"/>
    <x v="246"/>
    <n v="2.4"/>
    <n v="8.4"/>
    <n v="8.3000000000000007"/>
    <s v="Bull Market"/>
  </r>
  <r>
    <s v="T591"/>
    <x v="2"/>
    <x v="1"/>
    <x v="3"/>
    <x v="3"/>
    <s v="Jun"/>
    <x v="0"/>
    <x v="520"/>
    <n v="1.5"/>
    <x v="4"/>
    <n v="9.6"/>
    <x v="17"/>
    <n v="5414"/>
    <x v="3"/>
    <n v="15.3"/>
    <s v="Data Scientist"/>
    <n v="15.8"/>
    <n v="54.1"/>
    <x v="334"/>
    <n v="8.5"/>
    <n v="9.8000000000000007"/>
    <n v="8.3000000000000007"/>
    <s v="Stable"/>
  </r>
  <r>
    <s v="T592"/>
    <x v="0"/>
    <x v="0"/>
    <x v="1"/>
    <x v="0"/>
    <s v="Oct"/>
    <x v="0"/>
    <x v="577"/>
    <n v="10.4"/>
    <x v="1"/>
    <n v="6.4"/>
    <x v="29"/>
    <n v="5664"/>
    <x v="0"/>
    <n v="42.3"/>
    <s v="Data Scientist"/>
    <n v="-14.7"/>
    <n v="33.200000000000003"/>
    <x v="1"/>
    <n v="4.5"/>
    <n v="6.6"/>
    <n v="6.3"/>
    <s v="Stable"/>
  </r>
  <r>
    <s v="T593"/>
    <x v="18"/>
    <x v="0"/>
    <x v="5"/>
    <x v="1"/>
    <s v="Sep"/>
    <x v="1"/>
    <x v="578"/>
    <n v="5.5"/>
    <x v="0"/>
    <n v="4.4000000000000004"/>
    <x v="44"/>
    <n v="3377"/>
    <x v="0"/>
    <n v="60.2"/>
    <s v="Data Scientist"/>
    <n v="63.3"/>
    <n v="47"/>
    <x v="17"/>
    <n v="4.7"/>
    <n v="6.5"/>
    <n v="8.1"/>
    <s v="Bull Market"/>
  </r>
  <r>
    <s v="T594"/>
    <x v="18"/>
    <x v="0"/>
    <x v="3"/>
    <x v="2"/>
    <s v="Jan"/>
    <x v="2"/>
    <x v="579"/>
    <n v="6.3"/>
    <x v="4"/>
    <n v="5.6"/>
    <x v="5"/>
    <n v="8809"/>
    <x v="3"/>
    <n v="69.5"/>
    <s v="ML Engineer"/>
    <n v="28.4"/>
    <n v="-12.3"/>
    <x v="335"/>
    <n v="8.6999999999999993"/>
    <n v="5.4"/>
    <n v="4.4000000000000004"/>
    <s v="Bull Market"/>
  </r>
  <r>
    <s v="T595"/>
    <x v="15"/>
    <x v="2"/>
    <x v="1"/>
    <x v="0"/>
    <s v="Dec"/>
    <x v="2"/>
    <x v="580"/>
    <n v="17.399999999999999"/>
    <x v="2"/>
    <n v="5.7"/>
    <x v="75"/>
    <n v="2158"/>
    <x v="1"/>
    <n v="76.2"/>
    <s v="Frontend Developer"/>
    <n v="-9.4"/>
    <n v="22.4"/>
    <x v="336"/>
    <n v="3.4"/>
    <n v="6.6"/>
    <n v="5.5"/>
    <s v="Stable"/>
  </r>
  <r>
    <s v="T596"/>
    <x v="1"/>
    <x v="6"/>
    <x v="1"/>
    <x v="3"/>
    <s v="Mar"/>
    <x v="0"/>
    <x v="581"/>
    <n v="21.3"/>
    <x v="1"/>
    <n v="7.7"/>
    <x v="5"/>
    <n v="1863"/>
    <x v="1"/>
    <n v="12.8"/>
    <s v="Product Manager"/>
    <n v="-13.2"/>
    <n v="8.5"/>
    <x v="123"/>
    <n v="5.5"/>
    <n v="7.1"/>
    <n v="4.0999999999999996"/>
    <s v="Recession"/>
  </r>
  <r>
    <s v="T597"/>
    <x v="2"/>
    <x v="0"/>
    <x v="5"/>
    <x v="0"/>
    <s v="Jul"/>
    <x v="1"/>
    <x v="582"/>
    <n v="10.4"/>
    <x v="3"/>
    <n v="5.5"/>
    <x v="6"/>
    <n v="2904"/>
    <x v="1"/>
    <n v="67.5"/>
    <s v="Data Scientist"/>
    <n v="32"/>
    <n v="-18"/>
    <x v="65"/>
    <n v="5"/>
    <n v="3.7"/>
    <n v="6"/>
    <s v="Stable"/>
  </r>
  <r>
    <s v="T598"/>
    <x v="8"/>
    <x v="4"/>
    <x v="2"/>
    <x v="3"/>
    <s v="Oct"/>
    <x v="2"/>
    <x v="583"/>
    <n v="8.1"/>
    <x v="4"/>
    <n v="8"/>
    <x v="84"/>
    <n v="2724"/>
    <x v="0"/>
    <n v="66.099999999999994"/>
    <s v="DevOps Engineer"/>
    <n v="36.299999999999997"/>
    <n v="19.899999999999999"/>
    <x v="283"/>
    <n v="9.5"/>
    <n v="8.1999999999999993"/>
    <n v="6.4"/>
    <s v="Stable"/>
  </r>
  <r>
    <s v="T599"/>
    <x v="2"/>
    <x v="3"/>
    <x v="0"/>
    <x v="0"/>
    <s v="Apr"/>
    <x v="2"/>
    <x v="584"/>
    <n v="4.9000000000000004"/>
    <x v="2"/>
    <n v="7.1"/>
    <x v="5"/>
    <n v="4323"/>
    <x v="0"/>
    <n v="66.8"/>
    <s v="Data Scientist"/>
    <n v="-32.4"/>
    <n v="1.4"/>
    <x v="240"/>
    <n v="9.6999999999999993"/>
    <n v="8.1999999999999993"/>
    <n v="6.4"/>
    <s v="Bull Market"/>
  </r>
  <r>
    <s v="T600"/>
    <x v="16"/>
    <x v="2"/>
    <x v="0"/>
    <x v="0"/>
    <s v="Feb"/>
    <x v="0"/>
    <x v="585"/>
    <n v="38.200000000000003"/>
    <x v="1"/>
    <n v="4.4000000000000004"/>
    <x v="28"/>
    <n v="162"/>
    <x v="2"/>
    <n v="39.9"/>
    <s v="Software Engineer"/>
    <n v="-6.8"/>
    <n v="9.1999999999999993"/>
    <x v="337"/>
    <n v="3.5"/>
    <n v="2.2000000000000002"/>
    <n v="3.4"/>
    <s v="Recession"/>
  </r>
  <r>
    <s v="T601"/>
    <x v="1"/>
    <x v="0"/>
    <x v="2"/>
    <x v="3"/>
    <s v="Oct"/>
    <x v="0"/>
    <x v="586"/>
    <n v="1"/>
    <x v="4"/>
    <n v="5.8"/>
    <x v="76"/>
    <n v="1436"/>
    <x v="0"/>
    <n v="48.7"/>
    <s v="ML Engineer"/>
    <n v="-33.1"/>
    <n v="43.2"/>
    <x v="338"/>
    <n v="5.3"/>
    <n v="9.5"/>
    <n v="9.1"/>
    <s v="Bull Market"/>
  </r>
  <r>
    <s v="T602"/>
    <x v="19"/>
    <x v="0"/>
    <x v="5"/>
    <x v="3"/>
    <s v="Mar"/>
    <x v="2"/>
    <x v="587"/>
    <n v="27.7"/>
    <x v="2"/>
    <n v="7.7"/>
    <x v="5"/>
    <n v="5899"/>
    <x v="1"/>
    <n v="61"/>
    <s v="Data Scientist"/>
    <n v="-20.3"/>
    <n v="-14.5"/>
    <x v="339"/>
    <n v="6.4"/>
    <n v="3"/>
    <n v="2.9"/>
    <s v="Recession"/>
  </r>
  <r>
    <s v="T603"/>
    <x v="11"/>
    <x v="6"/>
    <x v="4"/>
    <x v="3"/>
    <s v="Jul"/>
    <x v="0"/>
    <x v="588"/>
    <n v="1.6"/>
    <x v="3"/>
    <n v="4.5"/>
    <x v="34"/>
    <n v="4927"/>
    <x v="0"/>
    <n v="42.5"/>
    <s v="Frontend Developer"/>
    <n v="69.3"/>
    <n v="-17.399999999999999"/>
    <x v="340"/>
    <n v="6.8"/>
    <n v="6"/>
    <n v="6.7"/>
    <s v="Stable"/>
  </r>
  <r>
    <s v="T604"/>
    <x v="16"/>
    <x v="2"/>
    <x v="3"/>
    <x v="2"/>
    <s v="Jan"/>
    <x v="2"/>
    <x v="589"/>
    <n v="4.9000000000000004"/>
    <x v="1"/>
    <n v="2.2999999999999998"/>
    <x v="79"/>
    <n v="773"/>
    <x v="2"/>
    <n v="49.2"/>
    <s v="Frontend Developer"/>
    <n v="46.2"/>
    <n v="47.7"/>
    <x v="139"/>
    <n v="2"/>
    <n v="9.3000000000000007"/>
    <n v="8.8000000000000007"/>
    <s v="Stable"/>
  </r>
  <r>
    <s v="T605"/>
    <x v="4"/>
    <x v="0"/>
    <x v="3"/>
    <x v="1"/>
    <s v="May"/>
    <x v="2"/>
    <x v="590"/>
    <n v="4.0999999999999996"/>
    <x v="1"/>
    <n v="3.4"/>
    <x v="24"/>
    <n v="6475"/>
    <x v="0"/>
    <n v="73"/>
    <s v="Data Scientist"/>
    <n v="-32.200000000000003"/>
    <n v="-7.2"/>
    <x v="155"/>
    <n v="4"/>
    <n v="7.2"/>
    <n v="5.5"/>
    <s v="Bull Market"/>
  </r>
  <r>
    <s v="T606"/>
    <x v="13"/>
    <x v="5"/>
    <x v="0"/>
    <x v="1"/>
    <s v="Dec"/>
    <x v="2"/>
    <x v="591"/>
    <n v="14.9"/>
    <x v="0"/>
    <n v="4.5999999999999996"/>
    <x v="30"/>
    <n v="1115"/>
    <x v="1"/>
    <n v="52.3"/>
    <s v="Cybersecurity Analyst"/>
    <n v="30.2"/>
    <n v="25.4"/>
    <x v="308"/>
    <n v="7"/>
    <n v="5.0999999999999996"/>
    <n v="6.2"/>
    <s v="Stable"/>
  </r>
  <r>
    <s v="T607"/>
    <x v="6"/>
    <x v="1"/>
    <x v="4"/>
    <x v="3"/>
    <s v="May"/>
    <x v="1"/>
    <x v="456"/>
    <n v="7.1"/>
    <x v="1"/>
    <n v="4"/>
    <x v="78"/>
    <n v="1139"/>
    <x v="1"/>
    <n v="83.6"/>
    <s v="ML Engineer"/>
    <n v="75"/>
    <n v="-8.1"/>
    <x v="302"/>
    <n v="4.7"/>
    <n v="7.6"/>
    <n v="6.8"/>
    <s v="Bull Market"/>
  </r>
  <r>
    <s v="T608"/>
    <x v="1"/>
    <x v="4"/>
    <x v="5"/>
    <x v="3"/>
    <s v="May"/>
    <x v="0"/>
    <x v="592"/>
    <n v="0.4"/>
    <x v="0"/>
    <n v="8.5"/>
    <x v="39"/>
    <n v="5518"/>
    <x v="3"/>
    <n v="28.6"/>
    <s v="ML Engineer"/>
    <n v="-9"/>
    <n v="8.1"/>
    <x v="218"/>
    <n v="7.3"/>
    <n v="7.9"/>
    <n v="6.5"/>
    <s v="Bull Market"/>
  </r>
  <r>
    <s v="T609"/>
    <x v="1"/>
    <x v="6"/>
    <x v="1"/>
    <x v="0"/>
    <s v="Jan"/>
    <x v="1"/>
    <x v="593"/>
    <n v="17.5"/>
    <x v="2"/>
    <n v="3"/>
    <x v="67"/>
    <n v="1543"/>
    <x v="1"/>
    <n v="62.8"/>
    <s v="Frontend Developer"/>
    <n v="-37.9"/>
    <n v="56.5"/>
    <x v="111"/>
    <n v="2.8"/>
    <n v="8"/>
    <n v="7.2"/>
    <s v="Recession"/>
  </r>
  <r>
    <s v="T610"/>
    <x v="2"/>
    <x v="0"/>
    <x v="3"/>
    <x v="2"/>
    <s v="Sep"/>
    <x v="1"/>
    <x v="594"/>
    <n v="6.1"/>
    <x v="4"/>
    <n v="10.199999999999999"/>
    <x v="5"/>
    <n v="6295"/>
    <x v="0"/>
    <n v="68"/>
    <s v="Data Scientist"/>
    <n v="65.400000000000006"/>
    <n v="37.799999999999997"/>
    <x v="77"/>
    <n v="7.3"/>
    <n v="7"/>
    <n v="6.8"/>
    <s v="Stable"/>
  </r>
  <r>
    <s v="T611"/>
    <x v="1"/>
    <x v="1"/>
    <x v="1"/>
    <x v="0"/>
    <s v="May"/>
    <x v="2"/>
    <x v="595"/>
    <n v="11.3"/>
    <x v="4"/>
    <n v="8.1999999999999993"/>
    <x v="69"/>
    <n v="4572"/>
    <x v="0"/>
    <n v="76.5"/>
    <s v="Software Engineer"/>
    <n v="36.6"/>
    <n v="15.7"/>
    <x v="282"/>
    <n v="5.5"/>
    <n v="7"/>
    <n v="6.4"/>
    <s v="Stable"/>
  </r>
  <r>
    <s v="T612"/>
    <x v="2"/>
    <x v="3"/>
    <x v="1"/>
    <x v="3"/>
    <s v="Apr"/>
    <x v="1"/>
    <x v="596"/>
    <n v="5.4"/>
    <x v="3"/>
    <n v="9.8000000000000007"/>
    <x v="46"/>
    <n v="2855"/>
    <x v="0"/>
    <n v="73.400000000000006"/>
    <s v="Frontend Developer"/>
    <n v="10.199999999999999"/>
    <n v="30.7"/>
    <x v="318"/>
    <n v="5.9"/>
    <n v="6.9"/>
    <n v="8.6"/>
    <s v="Bull Market"/>
  </r>
  <r>
    <s v="T613"/>
    <x v="16"/>
    <x v="2"/>
    <x v="4"/>
    <x v="0"/>
    <s v="Jun"/>
    <x v="1"/>
    <x v="597"/>
    <n v="17.8"/>
    <x v="3"/>
    <n v="1.1000000000000001"/>
    <x v="23"/>
    <n v="1259"/>
    <x v="2"/>
    <n v="75.5"/>
    <s v="Product Manager"/>
    <n v="1.8"/>
    <n v="26.1"/>
    <x v="341"/>
    <n v="1.7"/>
    <n v="4.5999999999999996"/>
    <n v="6.6"/>
    <s v="Recession"/>
  </r>
  <r>
    <s v="T614"/>
    <x v="2"/>
    <x v="0"/>
    <x v="0"/>
    <x v="3"/>
    <s v="Dec"/>
    <x v="2"/>
    <x v="598"/>
    <n v="16.2"/>
    <x v="1"/>
    <n v="3.4"/>
    <x v="23"/>
    <n v="1630"/>
    <x v="2"/>
    <n v="71.5"/>
    <s v="ML Engineer"/>
    <n v="57.9"/>
    <n v="-21.1"/>
    <x v="342"/>
    <n v="4"/>
    <n v="4.8"/>
    <n v="4.4000000000000004"/>
    <s v="Recession"/>
  </r>
  <r>
    <s v="T615"/>
    <x v="10"/>
    <x v="3"/>
    <x v="2"/>
    <x v="0"/>
    <s v="Jan"/>
    <x v="0"/>
    <x v="599"/>
    <n v="16.7"/>
    <x v="4"/>
    <n v="3.6"/>
    <x v="43"/>
    <n v="1951"/>
    <x v="1"/>
    <n v="63.8"/>
    <s v="Frontend Developer"/>
    <n v="83.4"/>
    <n v="-3"/>
    <x v="56"/>
    <n v="5.3"/>
    <n v="4.8"/>
    <n v="4.3"/>
    <s v="Stable"/>
  </r>
  <r>
    <s v="T616"/>
    <x v="0"/>
    <x v="0"/>
    <x v="0"/>
    <x v="0"/>
    <s v="Mar"/>
    <x v="0"/>
    <x v="600"/>
    <n v="7.6"/>
    <x v="1"/>
    <n v="7.8"/>
    <x v="29"/>
    <n v="3146"/>
    <x v="1"/>
    <n v="17.100000000000001"/>
    <s v="ML Engineer"/>
    <n v="21.8"/>
    <n v="1.8"/>
    <x v="343"/>
    <n v="6.6"/>
    <n v="5.2"/>
    <n v="5.4"/>
    <s v="Bull Market"/>
  </r>
  <r>
    <s v="T617"/>
    <x v="6"/>
    <x v="2"/>
    <x v="1"/>
    <x v="1"/>
    <s v="May"/>
    <x v="2"/>
    <x v="601"/>
    <n v="39.799999999999997"/>
    <x v="1"/>
    <n v="12.2"/>
    <x v="5"/>
    <n v="95"/>
    <x v="2"/>
    <n v="82.5"/>
    <s v="Software Engineer"/>
    <n v="55.4"/>
    <n v="46.7"/>
    <x v="37"/>
    <n v="8.8000000000000007"/>
    <n v="4.9000000000000004"/>
    <n v="2.5"/>
    <s v="Recession"/>
  </r>
  <r>
    <s v="T618"/>
    <x v="2"/>
    <x v="2"/>
    <x v="0"/>
    <x v="2"/>
    <s v="Feb"/>
    <x v="1"/>
    <x v="602"/>
    <n v="35.700000000000003"/>
    <x v="2"/>
    <n v="2.2999999999999998"/>
    <x v="9"/>
    <n v="1136"/>
    <x v="2"/>
    <n v="51.7"/>
    <s v="Frontend Developer"/>
    <n v="-1.3"/>
    <n v="-12.4"/>
    <x v="344"/>
    <n v="2.5"/>
    <n v="2.8"/>
    <n v="2.2000000000000002"/>
    <s v="Recession"/>
  </r>
  <r>
    <s v="T619"/>
    <x v="8"/>
    <x v="6"/>
    <x v="2"/>
    <x v="2"/>
    <s v="Nov"/>
    <x v="1"/>
    <x v="603"/>
    <n v="29.3"/>
    <x v="0"/>
    <n v="6.2"/>
    <x v="49"/>
    <n v="378"/>
    <x v="2"/>
    <n v="60.3"/>
    <s v="Cybersecurity Analyst"/>
    <n v="12.1"/>
    <n v="2.4"/>
    <x v="345"/>
    <n v="6"/>
    <n v="3.9"/>
    <n v="3.9"/>
    <s v="Recession"/>
  </r>
  <r>
    <s v="T620"/>
    <x v="2"/>
    <x v="1"/>
    <x v="0"/>
    <x v="3"/>
    <s v="Mar"/>
    <x v="1"/>
    <x v="604"/>
    <n v="14.6"/>
    <x v="3"/>
    <n v="6.7"/>
    <x v="5"/>
    <n v="5124"/>
    <x v="0"/>
    <n v="30.3"/>
    <s v="Frontend Developer"/>
    <n v="32.1"/>
    <n v="9.9"/>
    <x v="254"/>
    <n v="8.1"/>
    <n v="6.6"/>
    <n v="4"/>
    <s v="Stable"/>
  </r>
  <r>
    <s v="T621"/>
    <x v="2"/>
    <x v="5"/>
    <x v="3"/>
    <x v="0"/>
    <s v="Oct"/>
    <x v="0"/>
    <x v="38"/>
    <n v="2"/>
    <x v="3"/>
    <n v="4.7"/>
    <x v="13"/>
    <n v="3382"/>
    <x v="0"/>
    <n v="82.4"/>
    <s v="Frontend Developer"/>
    <n v="-34.799999999999997"/>
    <n v="-11.9"/>
    <x v="346"/>
    <n v="3.7"/>
    <n v="5.8"/>
    <n v="6.6"/>
    <s v="Bull Market"/>
  </r>
  <r>
    <s v="T622"/>
    <x v="8"/>
    <x v="6"/>
    <x v="1"/>
    <x v="1"/>
    <s v="Mar"/>
    <x v="2"/>
    <x v="605"/>
    <n v="9.6999999999999993"/>
    <x v="2"/>
    <n v="2"/>
    <x v="56"/>
    <n v="1760"/>
    <x v="1"/>
    <n v="32.5"/>
    <s v="Frontend Developer"/>
    <n v="-16.8"/>
    <n v="-5.3"/>
    <x v="46"/>
    <n v="2.2000000000000002"/>
    <n v="4.8"/>
    <n v="5.4"/>
    <s v="Stable"/>
  </r>
  <r>
    <s v="T623"/>
    <x v="2"/>
    <x v="3"/>
    <x v="1"/>
    <x v="1"/>
    <s v="Feb"/>
    <x v="1"/>
    <x v="606"/>
    <n v="9.8000000000000007"/>
    <x v="1"/>
    <n v="0.8"/>
    <x v="81"/>
    <n v="3140"/>
    <x v="1"/>
    <n v="81.599999999999994"/>
    <s v="Software Engineer"/>
    <n v="26.6"/>
    <n v="35.1"/>
    <x v="246"/>
    <n v="1.2"/>
    <n v="5.4"/>
    <n v="7.2"/>
    <s v="Bull Market"/>
  </r>
  <r>
    <s v="T624"/>
    <x v="2"/>
    <x v="5"/>
    <x v="1"/>
    <x v="0"/>
    <s v="Aug"/>
    <x v="2"/>
    <x v="607"/>
    <n v="3.5"/>
    <x v="3"/>
    <n v="14.8"/>
    <x v="16"/>
    <n v="1903"/>
    <x v="0"/>
    <n v="85.6"/>
    <s v="Data Scientist"/>
    <n v="49.8"/>
    <n v="-9.1"/>
    <x v="138"/>
    <n v="9.4"/>
    <n v="8"/>
    <n v="5.0999999999999996"/>
    <s v="Bull Market"/>
  </r>
  <r>
    <s v="T625"/>
    <x v="13"/>
    <x v="5"/>
    <x v="2"/>
    <x v="2"/>
    <s v="Dec"/>
    <x v="1"/>
    <x v="608"/>
    <n v="7.4"/>
    <x v="0"/>
    <n v="12.3"/>
    <x v="67"/>
    <n v="4802"/>
    <x v="3"/>
    <n v="84.7"/>
    <s v="Software Engineer"/>
    <n v="65"/>
    <n v="22.9"/>
    <x v="105"/>
    <n v="8"/>
    <n v="6.4"/>
    <n v="5.9"/>
    <s v="Bull Market"/>
  </r>
  <r>
    <s v="T626"/>
    <x v="4"/>
    <x v="1"/>
    <x v="3"/>
    <x v="3"/>
    <s v="Jun"/>
    <x v="1"/>
    <x v="609"/>
    <n v="23.5"/>
    <x v="1"/>
    <n v="2.7"/>
    <x v="18"/>
    <n v="227"/>
    <x v="2"/>
    <n v="89.7"/>
    <s v="Data Scientist"/>
    <n v="70.400000000000006"/>
    <n v="30"/>
    <x v="95"/>
    <n v="2.2999999999999998"/>
    <n v="5.8"/>
    <n v="5.3"/>
    <s v="Recession"/>
  </r>
  <r>
    <s v="T627"/>
    <x v="9"/>
    <x v="1"/>
    <x v="0"/>
    <x v="1"/>
    <s v="Jul"/>
    <x v="0"/>
    <x v="610"/>
    <n v="17.8"/>
    <x v="2"/>
    <n v="8"/>
    <x v="69"/>
    <n v="1258"/>
    <x v="0"/>
    <n v="16.7"/>
    <s v="DevOps Engineer"/>
    <n v="38.4"/>
    <n v="3.6"/>
    <x v="237"/>
    <n v="8.9"/>
    <n v="5.5"/>
    <n v="3.6"/>
    <s v="Recession"/>
  </r>
  <r>
    <s v="T628"/>
    <x v="10"/>
    <x v="3"/>
    <x v="5"/>
    <x v="2"/>
    <s v="Oct"/>
    <x v="2"/>
    <x v="611"/>
    <n v="12.1"/>
    <x v="3"/>
    <n v="5.8"/>
    <x v="72"/>
    <n v="1708"/>
    <x v="1"/>
    <n v="36.9"/>
    <s v="DevOps Engineer"/>
    <n v="25.9"/>
    <n v="23.9"/>
    <x v="261"/>
    <n v="4"/>
    <n v="6.3"/>
    <n v="7.6"/>
    <s v="Stable"/>
  </r>
  <r>
    <s v="T629"/>
    <x v="1"/>
    <x v="6"/>
    <x v="3"/>
    <x v="1"/>
    <s v="Dec"/>
    <x v="1"/>
    <x v="612"/>
    <n v="1.9"/>
    <x v="2"/>
    <n v="2.1"/>
    <x v="62"/>
    <n v="4836"/>
    <x v="0"/>
    <n v="43.4"/>
    <s v="ML Engineer"/>
    <n v="-31.7"/>
    <n v="30.5"/>
    <x v="347"/>
    <n v="1.3"/>
    <n v="8.8000000000000007"/>
    <n v="7.8"/>
    <s v="Bull Market"/>
  </r>
  <r>
    <s v="T630"/>
    <x v="2"/>
    <x v="3"/>
    <x v="1"/>
    <x v="3"/>
    <s v="Feb"/>
    <x v="1"/>
    <x v="613"/>
    <n v="3.9"/>
    <x v="1"/>
    <n v="7.2"/>
    <x v="65"/>
    <n v="2870"/>
    <x v="0"/>
    <n v="83.6"/>
    <s v="Data Scientist"/>
    <n v="81.400000000000006"/>
    <n v="14.4"/>
    <x v="67"/>
    <n v="5.6"/>
    <n v="5.7"/>
    <n v="7.4"/>
    <s v="Bull Market"/>
  </r>
  <r>
    <s v="T631"/>
    <x v="12"/>
    <x v="0"/>
    <x v="0"/>
    <x v="1"/>
    <s v="Jul"/>
    <x v="0"/>
    <x v="220"/>
    <n v="1.9"/>
    <x v="2"/>
    <n v="2"/>
    <x v="19"/>
    <n v="1203"/>
    <x v="1"/>
    <n v="54.8"/>
    <s v="ML Engineer"/>
    <n v="-39.6"/>
    <n v="-13.2"/>
    <x v="348"/>
    <n v="1.9"/>
    <n v="8.4"/>
    <n v="8"/>
    <s v="Bull Market"/>
  </r>
  <r>
    <s v="T632"/>
    <x v="2"/>
    <x v="1"/>
    <x v="3"/>
    <x v="3"/>
    <s v="Feb"/>
    <x v="2"/>
    <x v="452"/>
    <n v="5.9"/>
    <x v="4"/>
    <n v="5.9"/>
    <x v="5"/>
    <n v="1521"/>
    <x v="0"/>
    <n v="88.8"/>
    <s v="Cybersecurity Analyst"/>
    <n v="85"/>
    <n v="47.5"/>
    <x v="210"/>
    <n v="9.6"/>
    <n v="8.3000000000000007"/>
    <n v="7.5"/>
    <s v="Bull Market"/>
  </r>
  <r>
    <s v="T633"/>
    <x v="17"/>
    <x v="0"/>
    <x v="3"/>
    <x v="0"/>
    <s v="May"/>
    <x v="0"/>
    <x v="614"/>
    <n v="8.6"/>
    <x v="0"/>
    <n v="14.5"/>
    <x v="14"/>
    <n v="3297"/>
    <x v="0"/>
    <n v="89.5"/>
    <s v="ML Engineer"/>
    <n v="25.8"/>
    <n v="34.1"/>
    <x v="261"/>
    <n v="8.9"/>
    <n v="9.1"/>
    <n v="6.5"/>
    <s v="Recession"/>
  </r>
  <r>
    <s v="T634"/>
    <x v="8"/>
    <x v="4"/>
    <x v="5"/>
    <x v="0"/>
    <s v="Sep"/>
    <x v="2"/>
    <x v="615"/>
    <n v="4.2"/>
    <x v="2"/>
    <n v="11"/>
    <x v="67"/>
    <n v="5375"/>
    <x v="0"/>
    <n v="10"/>
    <s v="Data Scientist"/>
    <n v="38.299999999999997"/>
    <n v="32.5"/>
    <x v="305"/>
    <n v="8.1999999999999993"/>
    <n v="5.8"/>
    <n v="7.3"/>
    <s v="Bull Market"/>
  </r>
  <r>
    <s v="T635"/>
    <x v="0"/>
    <x v="1"/>
    <x v="0"/>
    <x v="0"/>
    <s v="Sep"/>
    <x v="2"/>
    <x v="616"/>
    <n v="15.9"/>
    <x v="3"/>
    <n v="2.7"/>
    <x v="70"/>
    <n v="1181"/>
    <x v="1"/>
    <n v="22.8"/>
    <s v="ML Engineer"/>
    <n v="30.5"/>
    <n v="-23.1"/>
    <x v="6"/>
    <n v="1.8"/>
    <n v="4.9000000000000004"/>
    <n v="5.5"/>
    <s v="Recession"/>
  </r>
  <r>
    <s v="T636"/>
    <x v="17"/>
    <x v="0"/>
    <x v="3"/>
    <x v="2"/>
    <s v="Nov"/>
    <x v="1"/>
    <x v="617"/>
    <n v="22.9"/>
    <x v="1"/>
    <n v="4.5999999999999996"/>
    <x v="5"/>
    <n v="6493"/>
    <x v="0"/>
    <n v="48.8"/>
    <s v="ML Engineer"/>
    <n v="-2.5"/>
    <n v="7"/>
    <x v="149"/>
    <n v="4.2"/>
    <n v="3.4"/>
    <n v="4.8"/>
    <s v="Recession"/>
  </r>
  <r>
    <s v="T637"/>
    <x v="5"/>
    <x v="3"/>
    <x v="2"/>
    <x v="3"/>
    <s v="Apr"/>
    <x v="2"/>
    <x v="212"/>
    <n v="5.5"/>
    <x v="3"/>
    <n v="3"/>
    <x v="46"/>
    <n v="4799"/>
    <x v="0"/>
    <n v="14.3"/>
    <s v="DevOps Engineer"/>
    <n v="-20.5"/>
    <n v="-11.3"/>
    <x v="23"/>
    <n v="3.4"/>
    <n v="5.7"/>
    <n v="7.1"/>
    <s v="Bull Market"/>
  </r>
  <r>
    <s v="T638"/>
    <x v="2"/>
    <x v="1"/>
    <x v="5"/>
    <x v="3"/>
    <s v="Aug"/>
    <x v="1"/>
    <x v="618"/>
    <n v="16.100000000000001"/>
    <x v="4"/>
    <n v="8.5"/>
    <x v="5"/>
    <n v="3690"/>
    <x v="1"/>
    <n v="51.1"/>
    <s v="Frontend Developer"/>
    <n v="-17.7"/>
    <n v="-1.6"/>
    <x v="46"/>
    <n v="5.0999999999999996"/>
    <n v="5.9"/>
    <n v="4.0999999999999996"/>
    <s v="Stable"/>
  </r>
  <r>
    <s v="T639"/>
    <x v="4"/>
    <x v="0"/>
    <x v="2"/>
    <x v="0"/>
    <s v="Oct"/>
    <x v="0"/>
    <x v="619"/>
    <n v="7"/>
    <x v="2"/>
    <n v="7.8"/>
    <x v="5"/>
    <n v="9246"/>
    <x v="3"/>
    <n v="24.3"/>
    <s v="Data Scientist"/>
    <n v="63.4"/>
    <n v="3.9"/>
    <x v="280"/>
    <n v="9.1"/>
    <n v="6.6"/>
    <n v="6.2"/>
    <s v="Stable"/>
  </r>
  <r>
    <s v="T640"/>
    <x v="2"/>
    <x v="3"/>
    <x v="4"/>
    <x v="2"/>
    <s v="Sep"/>
    <x v="1"/>
    <x v="620"/>
    <n v="4.4000000000000004"/>
    <x v="0"/>
    <n v="6.5"/>
    <x v="7"/>
    <n v="5589"/>
    <x v="0"/>
    <n v="20.100000000000001"/>
    <s v="Cybersecurity Analyst"/>
    <n v="76.2"/>
    <n v="-16.5"/>
    <x v="349"/>
    <n v="4.9000000000000004"/>
    <n v="7.6"/>
    <n v="6.5"/>
    <s v="Stable"/>
  </r>
  <r>
    <s v="T641"/>
    <x v="0"/>
    <x v="5"/>
    <x v="5"/>
    <x v="2"/>
    <s v="Jun"/>
    <x v="0"/>
    <x v="621"/>
    <n v="2.8"/>
    <x v="2"/>
    <n v="1.7"/>
    <x v="19"/>
    <n v="4395"/>
    <x v="0"/>
    <n v="50.8"/>
    <s v="Cybersecurity Analyst"/>
    <n v="-3.4"/>
    <n v="14.2"/>
    <x v="86"/>
    <n v="1.8"/>
    <n v="9.1"/>
    <n v="7.6"/>
    <s v="Bull Market"/>
  </r>
  <r>
    <s v="T642"/>
    <x v="4"/>
    <x v="0"/>
    <x v="4"/>
    <x v="1"/>
    <s v="May"/>
    <x v="1"/>
    <x v="622"/>
    <n v="2.6"/>
    <x v="2"/>
    <n v="1.7"/>
    <x v="80"/>
    <n v="4858"/>
    <x v="1"/>
    <n v="31"/>
    <s v="ML Engineer"/>
    <n v="86.2"/>
    <n v="19.3"/>
    <x v="260"/>
    <n v="1.9"/>
    <n v="6.2"/>
    <n v="7.9"/>
    <s v="Bull Market"/>
  </r>
  <r>
    <s v="T643"/>
    <x v="15"/>
    <x v="2"/>
    <x v="4"/>
    <x v="1"/>
    <s v="Apr"/>
    <x v="1"/>
    <x v="623"/>
    <n v="3.4"/>
    <x v="4"/>
    <n v="8.9"/>
    <x v="0"/>
    <n v="1224"/>
    <x v="0"/>
    <n v="29.3"/>
    <s v="Cloud Engineer"/>
    <n v="27.3"/>
    <n v="8.3000000000000007"/>
    <x v="111"/>
    <n v="8.1999999999999993"/>
    <n v="7.2"/>
    <n v="7.2"/>
    <s v="Bull Market"/>
  </r>
  <r>
    <s v="T644"/>
    <x v="1"/>
    <x v="0"/>
    <x v="0"/>
    <x v="0"/>
    <s v="Jul"/>
    <x v="1"/>
    <x v="339"/>
    <n v="19.5"/>
    <x v="3"/>
    <n v="2.1"/>
    <x v="10"/>
    <n v="2155"/>
    <x v="1"/>
    <n v="36.1"/>
    <s v="Data Scientist"/>
    <n v="35.299999999999997"/>
    <n v="22.6"/>
    <x v="350"/>
    <n v="1.6"/>
    <n v="5.8"/>
    <n v="6.3"/>
    <s v="Recession"/>
  </r>
  <r>
    <s v="T645"/>
    <x v="15"/>
    <x v="2"/>
    <x v="3"/>
    <x v="2"/>
    <s v="Mar"/>
    <x v="1"/>
    <x v="624"/>
    <n v="11.9"/>
    <x v="4"/>
    <n v="2.5"/>
    <x v="22"/>
    <n v="4858"/>
    <x v="1"/>
    <n v="20.399999999999999"/>
    <s v="DevOps Engineer"/>
    <n v="14.9"/>
    <n v="-24.3"/>
    <x v="302"/>
    <n v="2.6"/>
    <n v="5.5"/>
    <n v="5.4"/>
    <s v="Stable"/>
  </r>
  <r>
    <s v="T646"/>
    <x v="14"/>
    <x v="1"/>
    <x v="4"/>
    <x v="0"/>
    <s v="Dec"/>
    <x v="1"/>
    <x v="625"/>
    <n v="13.4"/>
    <x v="1"/>
    <n v="8"/>
    <x v="86"/>
    <n v="1619"/>
    <x v="1"/>
    <n v="69.5"/>
    <s v="Cloud Engineer"/>
    <n v="-17.3"/>
    <n v="34.799999999999997"/>
    <x v="120"/>
    <n v="8.8000000000000007"/>
    <n v="5.9"/>
    <n v="6.1"/>
    <s v="Recession"/>
  </r>
  <r>
    <s v="T647"/>
    <x v="7"/>
    <x v="4"/>
    <x v="3"/>
    <x v="2"/>
    <s v="Jul"/>
    <x v="0"/>
    <x v="626"/>
    <n v="0.4"/>
    <x v="3"/>
    <n v="5.9"/>
    <x v="31"/>
    <n v="2883"/>
    <x v="1"/>
    <n v="30.3"/>
    <s v="Frontend Developer"/>
    <n v="-5.2"/>
    <n v="48.1"/>
    <x v="351"/>
    <n v="3.8"/>
    <n v="9.9"/>
    <n v="7.3"/>
    <s v="Bull Market"/>
  </r>
  <r>
    <s v="T648"/>
    <x v="6"/>
    <x v="1"/>
    <x v="4"/>
    <x v="2"/>
    <s v="May"/>
    <x v="1"/>
    <x v="627"/>
    <n v="1.8"/>
    <x v="0"/>
    <n v="8.5"/>
    <x v="23"/>
    <n v="4679"/>
    <x v="0"/>
    <n v="35.299999999999997"/>
    <s v="Data Scientist"/>
    <n v="-39.6"/>
    <n v="-18.2"/>
    <x v="20"/>
    <n v="5.0999999999999996"/>
    <n v="5.5"/>
    <n v="5.8"/>
    <s v="Bull Market"/>
  </r>
  <r>
    <s v="T649"/>
    <x v="1"/>
    <x v="4"/>
    <x v="4"/>
    <x v="3"/>
    <s v="Apr"/>
    <x v="2"/>
    <x v="628"/>
    <n v="2.6"/>
    <x v="2"/>
    <n v="15.9"/>
    <x v="5"/>
    <n v="4546"/>
    <x v="3"/>
    <n v="65.2"/>
    <s v="Data Scientist"/>
    <n v="-6.9"/>
    <n v="-0.5"/>
    <x v="309"/>
    <n v="10"/>
    <n v="7.2"/>
    <n v="5.2"/>
    <s v="Bull Market"/>
  </r>
  <r>
    <s v="T650"/>
    <x v="8"/>
    <x v="4"/>
    <x v="5"/>
    <x v="3"/>
    <s v="Feb"/>
    <x v="1"/>
    <x v="629"/>
    <n v="6.8"/>
    <x v="1"/>
    <n v="4.5"/>
    <x v="75"/>
    <n v="2564"/>
    <x v="1"/>
    <n v="77.400000000000006"/>
    <s v="DevOps Engineer"/>
    <n v="4.4000000000000004"/>
    <n v="1.4"/>
    <x v="34"/>
    <n v="2.7"/>
    <n v="7"/>
    <n v="6.3"/>
    <s v="Bull Market"/>
  </r>
  <r>
    <s v="T651"/>
    <x v="2"/>
    <x v="3"/>
    <x v="5"/>
    <x v="0"/>
    <s v="Jun"/>
    <x v="0"/>
    <x v="630"/>
    <n v="9.1"/>
    <x v="2"/>
    <n v="6.6"/>
    <x v="51"/>
    <n v="4795"/>
    <x v="0"/>
    <n v="31.5"/>
    <s v="ML Engineer"/>
    <n v="68.599999999999994"/>
    <n v="59.7"/>
    <x v="352"/>
    <n v="4.8"/>
    <n v="6.2"/>
    <n v="6.9"/>
    <s v="Stable"/>
  </r>
  <r>
    <s v="T652"/>
    <x v="14"/>
    <x v="1"/>
    <x v="1"/>
    <x v="0"/>
    <s v="Mar"/>
    <x v="1"/>
    <x v="631"/>
    <n v="1"/>
    <x v="0"/>
    <n v="8.1999999999999993"/>
    <x v="29"/>
    <n v="3022"/>
    <x v="3"/>
    <n v="34.799999999999997"/>
    <s v="Cybersecurity Analyst"/>
    <n v="68.8"/>
    <n v="-8.6"/>
    <x v="16"/>
    <n v="9.5"/>
    <n v="7.2"/>
    <n v="7"/>
    <s v="Bull Market"/>
  </r>
  <r>
    <s v="T653"/>
    <x v="5"/>
    <x v="3"/>
    <x v="0"/>
    <x v="3"/>
    <s v="Jul"/>
    <x v="0"/>
    <x v="632"/>
    <n v="6.7"/>
    <x v="3"/>
    <n v="6.8"/>
    <x v="73"/>
    <n v="4883"/>
    <x v="0"/>
    <n v="52.2"/>
    <s v="Data Scientist"/>
    <n v="0.5"/>
    <n v="52.2"/>
    <x v="137"/>
    <n v="5.4"/>
    <n v="8.1"/>
    <n v="7.9"/>
    <s v="Stable"/>
  </r>
  <r>
    <s v="T654"/>
    <x v="1"/>
    <x v="0"/>
    <x v="1"/>
    <x v="0"/>
    <s v="May"/>
    <x v="1"/>
    <x v="633"/>
    <n v="9.6999999999999993"/>
    <x v="2"/>
    <n v="2.1"/>
    <x v="24"/>
    <n v="4765"/>
    <x v="0"/>
    <n v="29.1"/>
    <s v="Data Scientist"/>
    <n v="-38.9"/>
    <n v="42.1"/>
    <x v="265"/>
    <n v="1.6"/>
    <n v="8.8000000000000007"/>
    <n v="6.6"/>
    <s v="Stable"/>
  </r>
  <r>
    <s v="T655"/>
    <x v="0"/>
    <x v="1"/>
    <x v="0"/>
    <x v="3"/>
    <s v="Feb"/>
    <x v="1"/>
    <x v="634"/>
    <n v="6.4"/>
    <x v="2"/>
    <n v="0.9"/>
    <x v="22"/>
    <n v="2982"/>
    <x v="1"/>
    <n v="49.4"/>
    <s v="Cloud Engineer"/>
    <n v="-33.4"/>
    <n v="39.700000000000003"/>
    <x v="258"/>
    <n v="1"/>
    <n v="8"/>
    <n v="8.1999999999999993"/>
    <s v="Bull Market"/>
  </r>
  <r>
    <s v="T656"/>
    <x v="17"/>
    <x v="0"/>
    <x v="4"/>
    <x v="2"/>
    <s v="Jul"/>
    <x v="2"/>
    <x v="635"/>
    <n v="8.6999999999999993"/>
    <x v="3"/>
    <n v="0.9"/>
    <x v="46"/>
    <n v="7414"/>
    <x v="0"/>
    <n v="41.4"/>
    <s v="Data Scientist"/>
    <n v="53.8"/>
    <n v="0.5"/>
    <x v="14"/>
    <n v="1.2"/>
    <n v="7.8"/>
    <n v="6"/>
    <s v="Recession"/>
  </r>
  <r>
    <s v="T657"/>
    <x v="7"/>
    <x v="4"/>
    <x v="4"/>
    <x v="3"/>
    <s v="May"/>
    <x v="0"/>
    <x v="636"/>
    <n v="30.9"/>
    <x v="1"/>
    <n v="2.5"/>
    <x v="3"/>
    <n v="1038"/>
    <x v="2"/>
    <n v="25.7"/>
    <s v="Frontend Developer"/>
    <n v="45.6"/>
    <n v="16.100000000000001"/>
    <x v="300"/>
    <n v="3.1"/>
    <n v="5.7"/>
    <n v="4.4000000000000004"/>
    <s v="Recession"/>
  </r>
  <r>
    <s v="T658"/>
    <x v="4"/>
    <x v="1"/>
    <x v="3"/>
    <x v="2"/>
    <s v="Nov"/>
    <x v="0"/>
    <x v="637"/>
    <n v="4.3"/>
    <x v="3"/>
    <n v="4.4000000000000004"/>
    <x v="17"/>
    <n v="704"/>
    <x v="1"/>
    <n v="11.3"/>
    <s v="Data Scientist"/>
    <n v="-37.6"/>
    <n v="51.2"/>
    <x v="353"/>
    <n v="4"/>
    <n v="9.4"/>
    <n v="7.7"/>
    <s v="Bull Market"/>
  </r>
  <r>
    <s v="T659"/>
    <x v="3"/>
    <x v="1"/>
    <x v="5"/>
    <x v="1"/>
    <s v="Jan"/>
    <x v="2"/>
    <x v="638"/>
    <n v="1.9"/>
    <x v="3"/>
    <n v="14.1"/>
    <x v="68"/>
    <n v="2737"/>
    <x v="0"/>
    <n v="69.400000000000006"/>
    <s v="DevOps Engineer"/>
    <n v="23.5"/>
    <n v="28.1"/>
    <x v="214"/>
    <n v="8.6999999999999993"/>
    <n v="6.6"/>
    <n v="7.3"/>
    <s v="Bull Market"/>
  </r>
  <r>
    <s v="T660"/>
    <x v="9"/>
    <x v="1"/>
    <x v="2"/>
    <x v="0"/>
    <s v="Apr"/>
    <x v="1"/>
    <x v="639"/>
    <n v="8.4"/>
    <x v="0"/>
    <n v="4.4000000000000004"/>
    <x v="5"/>
    <n v="3748"/>
    <x v="0"/>
    <n v="71.400000000000006"/>
    <s v="Frontend Developer"/>
    <n v="-16.399999999999999"/>
    <n v="14.7"/>
    <x v="183"/>
    <n v="6.3"/>
    <n v="8.1999999999999993"/>
    <n v="6.3"/>
    <s v="Stable"/>
  </r>
  <r>
    <s v="T661"/>
    <x v="6"/>
    <x v="1"/>
    <x v="0"/>
    <x v="1"/>
    <s v="Apr"/>
    <x v="2"/>
    <x v="640"/>
    <n v="0.4"/>
    <x v="1"/>
    <n v="6.5"/>
    <x v="64"/>
    <n v="2049"/>
    <x v="1"/>
    <n v="89.1"/>
    <s v="Product Manager"/>
    <n v="39.200000000000003"/>
    <n v="-0.9"/>
    <x v="40"/>
    <n v="4.5999999999999996"/>
    <n v="7.1"/>
    <n v="7.4"/>
    <s v="Bull Market"/>
  </r>
  <r>
    <s v="T662"/>
    <x v="9"/>
    <x v="1"/>
    <x v="2"/>
    <x v="2"/>
    <s v="Jan"/>
    <x v="2"/>
    <x v="641"/>
    <n v="5.2"/>
    <x v="4"/>
    <n v="5.4"/>
    <x v="60"/>
    <n v="5235"/>
    <x v="0"/>
    <n v="15.5"/>
    <s v="Data Scientist"/>
    <n v="-20.7"/>
    <n v="-22.4"/>
    <x v="354"/>
    <n v="7.9"/>
    <n v="5"/>
    <n v="5.5"/>
    <s v="Bull Market"/>
  </r>
  <r>
    <s v="T663"/>
    <x v="2"/>
    <x v="1"/>
    <x v="2"/>
    <x v="1"/>
    <s v="Sep"/>
    <x v="2"/>
    <x v="642"/>
    <n v="2.6"/>
    <x v="1"/>
    <n v="16.100000000000001"/>
    <x v="5"/>
    <n v="463"/>
    <x v="1"/>
    <n v="68.5"/>
    <s v="ML Engineer"/>
    <n v="44.4"/>
    <n v="-12.1"/>
    <x v="318"/>
    <n v="9.9"/>
    <n v="5.0999999999999996"/>
    <n v="5.5"/>
    <s v="Bull Market"/>
  </r>
  <r>
    <s v="T664"/>
    <x v="0"/>
    <x v="2"/>
    <x v="1"/>
    <x v="1"/>
    <s v="Jul"/>
    <x v="2"/>
    <x v="643"/>
    <n v="2"/>
    <x v="2"/>
    <n v="4.5999999999999996"/>
    <x v="74"/>
    <n v="4158"/>
    <x v="0"/>
    <n v="12.5"/>
    <s v="Software Engineer"/>
    <n v="1.7"/>
    <n v="32.1"/>
    <x v="259"/>
    <n v="6.3"/>
    <n v="6"/>
    <n v="7.6"/>
    <s v="Stable"/>
  </r>
  <r>
    <s v="T665"/>
    <x v="7"/>
    <x v="4"/>
    <x v="4"/>
    <x v="1"/>
    <s v="Mar"/>
    <x v="1"/>
    <x v="644"/>
    <n v="5.4"/>
    <x v="4"/>
    <n v="4"/>
    <x v="61"/>
    <n v="5985"/>
    <x v="0"/>
    <n v="46.8"/>
    <s v="Data Scientist"/>
    <n v="7.3"/>
    <n v="-16.399999999999999"/>
    <x v="162"/>
    <n v="2.6"/>
    <n v="4.7"/>
    <n v="5.6"/>
    <s v="Stable"/>
  </r>
  <r>
    <s v="T666"/>
    <x v="1"/>
    <x v="0"/>
    <x v="5"/>
    <x v="3"/>
    <s v="Sep"/>
    <x v="1"/>
    <x v="645"/>
    <n v="22.1"/>
    <x v="4"/>
    <n v="2.8"/>
    <x v="57"/>
    <n v="7405"/>
    <x v="0"/>
    <n v="63.8"/>
    <s v="Data Scientist"/>
    <n v="5.2"/>
    <n v="1"/>
    <x v="355"/>
    <n v="3.7"/>
    <n v="4.3"/>
    <n v="3.8"/>
    <s v="Recession"/>
  </r>
  <r>
    <s v="T667"/>
    <x v="8"/>
    <x v="6"/>
    <x v="2"/>
    <x v="0"/>
    <s v="May"/>
    <x v="0"/>
    <x v="646"/>
    <n v="1.6"/>
    <x v="2"/>
    <n v="6.2"/>
    <x v="64"/>
    <n v="767"/>
    <x v="0"/>
    <n v="81.400000000000006"/>
    <s v="Software Engineer"/>
    <n v="40.6"/>
    <n v="-19"/>
    <x v="312"/>
    <n v="5.9"/>
    <n v="6"/>
    <n v="7.4"/>
    <s v="Stable"/>
  </r>
  <r>
    <s v="T668"/>
    <x v="2"/>
    <x v="5"/>
    <x v="2"/>
    <x v="2"/>
    <s v="Feb"/>
    <x v="0"/>
    <x v="647"/>
    <n v="22.3"/>
    <x v="3"/>
    <n v="9.4"/>
    <x v="5"/>
    <n v="1955"/>
    <x v="1"/>
    <n v="75"/>
    <s v="Cybersecurity Analyst"/>
    <n v="-31.3"/>
    <n v="46.9"/>
    <x v="165"/>
    <n v="8.4"/>
    <n v="7"/>
    <n v="6.1"/>
    <s v="Recession"/>
  </r>
  <r>
    <s v="T669"/>
    <x v="4"/>
    <x v="1"/>
    <x v="5"/>
    <x v="0"/>
    <s v="Mar"/>
    <x v="0"/>
    <x v="648"/>
    <n v="31.9"/>
    <x v="3"/>
    <n v="7.6"/>
    <x v="5"/>
    <n v="1932"/>
    <x v="1"/>
    <n v="86.6"/>
    <s v="ML Engineer"/>
    <n v="47"/>
    <n v="29.7"/>
    <x v="356"/>
    <n v="8.4"/>
    <n v="6.3"/>
    <n v="3.1"/>
    <s v="Recession"/>
  </r>
  <r>
    <s v="T670"/>
    <x v="0"/>
    <x v="0"/>
    <x v="2"/>
    <x v="2"/>
    <s v="Mar"/>
    <x v="0"/>
    <x v="649"/>
    <n v="9.4"/>
    <x v="3"/>
    <n v="5.5"/>
    <x v="29"/>
    <n v="9783"/>
    <x v="3"/>
    <n v="31.3"/>
    <s v="ML Engineer"/>
    <n v="5.9"/>
    <n v="47.5"/>
    <x v="357"/>
    <n v="4.5"/>
    <n v="6.7"/>
    <n v="6.7"/>
    <s v="Bull Market"/>
  </r>
  <r>
    <s v="T671"/>
    <x v="6"/>
    <x v="1"/>
    <x v="1"/>
    <x v="0"/>
    <s v="Jan"/>
    <x v="2"/>
    <x v="650"/>
    <n v="31.8"/>
    <x v="1"/>
    <n v="11.4"/>
    <x v="5"/>
    <n v="820"/>
    <x v="2"/>
    <n v="41.2"/>
    <s v="ML Engineer"/>
    <n v="13.7"/>
    <n v="-1.1000000000000001"/>
    <x v="78"/>
    <n v="9.1999999999999993"/>
    <n v="3.6"/>
    <n v="2.4"/>
    <s v="Recession"/>
  </r>
  <r>
    <s v="T672"/>
    <x v="1"/>
    <x v="6"/>
    <x v="0"/>
    <x v="0"/>
    <s v="Nov"/>
    <x v="0"/>
    <x v="651"/>
    <n v="21.8"/>
    <x v="2"/>
    <n v="2.9"/>
    <x v="52"/>
    <n v="1632"/>
    <x v="2"/>
    <n v="89.3"/>
    <s v="Software Engineer"/>
    <n v="83"/>
    <n v="39.700000000000003"/>
    <x v="207"/>
    <n v="4.2"/>
    <n v="4.5999999999999996"/>
    <n v="5"/>
    <s v="Recession"/>
  </r>
  <r>
    <s v="T673"/>
    <x v="17"/>
    <x v="0"/>
    <x v="2"/>
    <x v="1"/>
    <s v="Feb"/>
    <x v="0"/>
    <x v="652"/>
    <n v="37"/>
    <x v="0"/>
    <n v="11.3"/>
    <x v="5"/>
    <n v="8457"/>
    <x v="0"/>
    <n v="88.1"/>
    <s v="ML Engineer"/>
    <n v="19.600000000000001"/>
    <n v="38.9"/>
    <x v="121"/>
    <n v="7.3"/>
    <n v="3.3"/>
    <n v="3.6"/>
    <s v="Recession"/>
  </r>
  <r>
    <s v="T674"/>
    <x v="9"/>
    <x v="1"/>
    <x v="1"/>
    <x v="0"/>
    <s v="Feb"/>
    <x v="2"/>
    <x v="653"/>
    <n v="36.700000000000003"/>
    <x v="1"/>
    <n v="6.1"/>
    <x v="5"/>
    <n v="107"/>
    <x v="2"/>
    <n v="18.3"/>
    <s v="Product Manager"/>
    <n v="-1.7"/>
    <n v="0.7"/>
    <x v="358"/>
    <n v="8"/>
    <n v="5.6"/>
    <n v="2.2000000000000002"/>
    <s v="Recession"/>
  </r>
  <r>
    <s v="T675"/>
    <x v="6"/>
    <x v="2"/>
    <x v="1"/>
    <x v="0"/>
    <s v="Nov"/>
    <x v="1"/>
    <x v="654"/>
    <n v="24.4"/>
    <x v="2"/>
    <n v="8.3000000000000007"/>
    <x v="48"/>
    <n v="575"/>
    <x v="1"/>
    <n v="15.8"/>
    <s v="Data Scientist"/>
    <n v="19.2"/>
    <n v="1.9"/>
    <x v="299"/>
    <n v="9.4"/>
    <n v="5.2"/>
    <n v="4.5"/>
    <s v="Recession"/>
  </r>
  <r>
    <s v="T676"/>
    <x v="2"/>
    <x v="3"/>
    <x v="0"/>
    <x v="1"/>
    <s v="Jan"/>
    <x v="1"/>
    <x v="655"/>
    <n v="17.399999999999999"/>
    <x v="3"/>
    <n v="10.5"/>
    <x v="84"/>
    <n v="1948"/>
    <x v="1"/>
    <n v="30.5"/>
    <s v="Software Engineer"/>
    <n v="12.2"/>
    <n v="33.4"/>
    <x v="120"/>
    <n v="8.3000000000000007"/>
    <n v="6.4"/>
    <n v="4.9000000000000004"/>
    <s v="Recession"/>
  </r>
  <r>
    <s v="T677"/>
    <x v="0"/>
    <x v="1"/>
    <x v="3"/>
    <x v="0"/>
    <s v="Feb"/>
    <x v="1"/>
    <x v="656"/>
    <n v="9.8000000000000007"/>
    <x v="4"/>
    <n v="4.7"/>
    <x v="78"/>
    <n v="3693"/>
    <x v="0"/>
    <n v="58.9"/>
    <s v="Software Engineer"/>
    <n v="30.2"/>
    <n v="37.299999999999997"/>
    <x v="17"/>
    <n v="3.4"/>
    <n v="7.4"/>
    <n v="7.5"/>
    <s v="Bull Market"/>
  </r>
  <r>
    <s v="T678"/>
    <x v="18"/>
    <x v="0"/>
    <x v="0"/>
    <x v="0"/>
    <s v="Oct"/>
    <x v="1"/>
    <x v="657"/>
    <n v="6.4"/>
    <x v="1"/>
    <n v="6.3"/>
    <x v="68"/>
    <n v="3337"/>
    <x v="0"/>
    <n v="74.2"/>
    <s v="ML Engineer"/>
    <n v="-10.199999999999999"/>
    <n v="-12.2"/>
    <x v="144"/>
    <n v="4"/>
    <n v="7.9"/>
    <n v="6.5"/>
    <s v="Bull Market"/>
  </r>
  <r>
    <s v="T679"/>
    <x v="5"/>
    <x v="3"/>
    <x v="0"/>
    <x v="3"/>
    <s v="Dec"/>
    <x v="2"/>
    <x v="658"/>
    <n v="22.8"/>
    <x v="1"/>
    <n v="2.5"/>
    <x v="64"/>
    <n v="52"/>
    <x v="2"/>
    <n v="40.200000000000003"/>
    <s v="ML Engineer"/>
    <n v="39.200000000000003"/>
    <n v="40.1"/>
    <x v="228"/>
    <n v="2.4"/>
    <n v="7.1"/>
    <n v="5.3"/>
    <s v="Recession"/>
  </r>
  <r>
    <s v="T680"/>
    <x v="19"/>
    <x v="0"/>
    <x v="1"/>
    <x v="3"/>
    <s v="May"/>
    <x v="0"/>
    <x v="659"/>
    <n v="30.7"/>
    <x v="1"/>
    <n v="6.2"/>
    <x v="5"/>
    <n v="6412"/>
    <x v="1"/>
    <n v="57.3"/>
    <s v="Data Scientist"/>
    <n v="-20.9"/>
    <n v="-21.9"/>
    <x v="359"/>
    <n v="7"/>
    <n v="5.8"/>
    <n v="3"/>
    <s v="Recession"/>
  </r>
  <r>
    <s v="T681"/>
    <x v="2"/>
    <x v="5"/>
    <x v="1"/>
    <x v="1"/>
    <s v="Jan"/>
    <x v="2"/>
    <x v="339"/>
    <n v="31.2"/>
    <x v="4"/>
    <n v="13.1"/>
    <x v="5"/>
    <n v="486"/>
    <x v="2"/>
    <n v="83.1"/>
    <s v="Frontend Developer"/>
    <n v="53.1"/>
    <n v="47.1"/>
    <x v="111"/>
    <n v="7.7"/>
    <n v="4.0999999999999996"/>
    <n v="5.2"/>
    <s v="Recession"/>
  </r>
  <r>
    <s v="T682"/>
    <x v="0"/>
    <x v="5"/>
    <x v="5"/>
    <x v="1"/>
    <s v="Aug"/>
    <x v="1"/>
    <x v="660"/>
    <n v="8.1999999999999993"/>
    <x v="1"/>
    <n v="1.4"/>
    <x v="85"/>
    <n v="385"/>
    <x v="1"/>
    <n v="83.3"/>
    <s v="ML Engineer"/>
    <n v="44.1"/>
    <n v="20.399999999999999"/>
    <x v="35"/>
    <n v="1.7"/>
    <n v="6.4"/>
    <n v="7.6"/>
    <s v="Stable"/>
  </r>
  <r>
    <s v="T683"/>
    <x v="15"/>
    <x v="2"/>
    <x v="5"/>
    <x v="1"/>
    <s v="Nov"/>
    <x v="1"/>
    <x v="661"/>
    <n v="1.5"/>
    <x v="3"/>
    <n v="11.7"/>
    <x v="86"/>
    <n v="583"/>
    <x v="0"/>
    <n v="33.5"/>
    <s v="Product Manager"/>
    <n v="1.5"/>
    <n v="24.9"/>
    <x v="360"/>
    <n v="7.6"/>
    <n v="6.8"/>
    <n v="7.9"/>
    <s v="Bull Market"/>
  </r>
  <r>
    <s v="T684"/>
    <x v="17"/>
    <x v="0"/>
    <x v="4"/>
    <x v="3"/>
    <s v="Dec"/>
    <x v="2"/>
    <x v="662"/>
    <n v="17.100000000000001"/>
    <x v="1"/>
    <n v="11.1"/>
    <x v="18"/>
    <n v="3553"/>
    <x v="1"/>
    <n v="89.5"/>
    <s v="Data Scientist"/>
    <n v="82"/>
    <n v="8.1999999999999993"/>
    <x v="361"/>
    <n v="6.9"/>
    <n v="4.4000000000000004"/>
    <n v="5.7"/>
    <s v="Recession"/>
  </r>
  <r>
    <s v="T685"/>
    <x v="0"/>
    <x v="2"/>
    <x v="1"/>
    <x v="0"/>
    <s v="Jan"/>
    <x v="2"/>
    <x v="663"/>
    <n v="25.4"/>
    <x v="1"/>
    <n v="1.2"/>
    <x v="72"/>
    <n v="428"/>
    <x v="2"/>
    <n v="15.8"/>
    <s v="Product Manager"/>
    <n v="12.3"/>
    <n v="19.100000000000001"/>
    <x v="201"/>
    <n v="1.3"/>
    <n v="3.8"/>
    <n v="4.9000000000000004"/>
    <s v="Recession"/>
  </r>
  <r>
    <s v="T686"/>
    <x v="9"/>
    <x v="0"/>
    <x v="1"/>
    <x v="0"/>
    <s v="Aug"/>
    <x v="0"/>
    <x v="664"/>
    <n v="8.3000000000000007"/>
    <x v="3"/>
    <n v="3.9"/>
    <x v="32"/>
    <n v="9772"/>
    <x v="3"/>
    <n v="22.7"/>
    <s v="ML Engineer"/>
    <n v="57.5"/>
    <n v="-13"/>
    <x v="362"/>
    <n v="5.6"/>
    <n v="6.7"/>
    <n v="6.6"/>
    <s v="Recession"/>
  </r>
  <r>
    <s v="T687"/>
    <x v="6"/>
    <x v="2"/>
    <x v="3"/>
    <x v="0"/>
    <s v="Jan"/>
    <x v="2"/>
    <x v="665"/>
    <n v="4.2"/>
    <x v="4"/>
    <n v="5.2"/>
    <x v="30"/>
    <n v="5438"/>
    <x v="0"/>
    <n v="70.599999999999994"/>
    <s v="Cloud Engineer"/>
    <n v="48.8"/>
    <n v="11.5"/>
    <x v="290"/>
    <n v="6.4"/>
    <n v="6.9"/>
    <n v="5.7"/>
    <s v="Bull Market"/>
  </r>
  <r>
    <s v="T688"/>
    <x v="0"/>
    <x v="1"/>
    <x v="0"/>
    <x v="3"/>
    <s v="Jul"/>
    <x v="1"/>
    <x v="666"/>
    <n v="2.7"/>
    <x v="4"/>
    <n v="1.8"/>
    <x v="70"/>
    <n v="386"/>
    <x v="1"/>
    <n v="69.900000000000006"/>
    <s v="Product Manager"/>
    <n v="51.8"/>
    <n v="-13"/>
    <x v="223"/>
    <n v="2.5"/>
    <n v="4.7"/>
    <n v="6.2"/>
    <s v="Bull Market"/>
  </r>
  <r>
    <s v="T689"/>
    <x v="15"/>
    <x v="2"/>
    <x v="5"/>
    <x v="2"/>
    <s v="Jun"/>
    <x v="1"/>
    <x v="313"/>
    <n v="3.9"/>
    <x v="2"/>
    <n v="5.9"/>
    <x v="8"/>
    <n v="600"/>
    <x v="0"/>
    <n v="77.400000000000006"/>
    <s v="Software Engineer"/>
    <n v="-0.9"/>
    <n v="-9.3000000000000007"/>
    <x v="183"/>
    <n v="7.4"/>
    <n v="4.5999999999999996"/>
    <n v="5.5"/>
    <s v="Bull Market"/>
  </r>
  <r>
    <s v="T690"/>
    <x v="9"/>
    <x v="0"/>
    <x v="3"/>
    <x v="3"/>
    <s v="Dec"/>
    <x v="0"/>
    <x v="667"/>
    <n v="2.4"/>
    <x v="1"/>
    <n v="5.3"/>
    <x v="34"/>
    <n v="7355"/>
    <x v="3"/>
    <n v="32"/>
    <s v="Data Scientist"/>
    <n v="27.5"/>
    <n v="3.6"/>
    <x v="23"/>
    <n v="3.9"/>
    <n v="7.1"/>
    <n v="6.4"/>
    <s v="Stable"/>
  </r>
  <r>
    <s v="T691"/>
    <x v="8"/>
    <x v="6"/>
    <x v="2"/>
    <x v="1"/>
    <s v="Apr"/>
    <x v="2"/>
    <x v="668"/>
    <n v="4.3"/>
    <x v="2"/>
    <n v="8.9"/>
    <x v="16"/>
    <n v="818"/>
    <x v="1"/>
    <n v="62"/>
    <s v="Cybersecurity Analyst"/>
    <n v="-16.600000000000001"/>
    <n v="36.4"/>
    <x v="297"/>
    <n v="8.3000000000000007"/>
    <n v="6"/>
    <n v="7.4"/>
    <s v="Bull Market"/>
  </r>
  <r>
    <s v="T692"/>
    <x v="7"/>
    <x v="4"/>
    <x v="1"/>
    <x v="3"/>
    <s v="Jun"/>
    <x v="2"/>
    <x v="669"/>
    <n v="8.6999999999999993"/>
    <x v="1"/>
    <n v="1.5"/>
    <x v="74"/>
    <n v="1648"/>
    <x v="1"/>
    <n v="30.1"/>
    <s v="Data Scientist"/>
    <n v="64.5"/>
    <n v="-11.4"/>
    <x v="363"/>
    <n v="1.8"/>
    <n v="7.9"/>
    <n v="6.5"/>
    <s v="Bull Market"/>
  </r>
  <r>
    <s v="T693"/>
    <x v="8"/>
    <x v="6"/>
    <x v="2"/>
    <x v="2"/>
    <s v="Dec"/>
    <x v="2"/>
    <x v="666"/>
    <n v="13.6"/>
    <x v="1"/>
    <n v="4.2"/>
    <x v="25"/>
    <n v="2962"/>
    <x v="1"/>
    <n v="27.1"/>
    <s v="Data Scientist"/>
    <n v="-4.4000000000000004"/>
    <n v="-1.8"/>
    <x v="278"/>
    <n v="3.5"/>
    <n v="3.9"/>
    <n v="6.4"/>
    <s v="Stable"/>
  </r>
  <r>
    <s v="T694"/>
    <x v="9"/>
    <x v="1"/>
    <x v="0"/>
    <x v="0"/>
    <s v="Dec"/>
    <x v="0"/>
    <x v="670"/>
    <n v="1.8"/>
    <x v="2"/>
    <n v="7"/>
    <x v="28"/>
    <n v="3776"/>
    <x v="0"/>
    <n v="80.400000000000006"/>
    <s v="Cloud Engineer"/>
    <n v="-9.3000000000000007"/>
    <n v="-12.7"/>
    <x v="24"/>
    <n v="9.5"/>
    <n v="5.7"/>
    <n v="6.7"/>
    <s v="Stable"/>
  </r>
  <r>
    <s v="T695"/>
    <x v="0"/>
    <x v="5"/>
    <x v="1"/>
    <x v="3"/>
    <s v="Feb"/>
    <x v="2"/>
    <x v="671"/>
    <n v="8.6999999999999993"/>
    <x v="2"/>
    <n v="7"/>
    <x v="40"/>
    <n v="5181"/>
    <x v="0"/>
    <n v="79.2"/>
    <s v="ML Engineer"/>
    <n v="58.8"/>
    <n v="32.5"/>
    <x v="244"/>
    <n v="4.3"/>
    <n v="8.6999999999999993"/>
    <n v="6.6"/>
    <s v="Bull Market"/>
  </r>
  <r>
    <s v="T696"/>
    <x v="8"/>
    <x v="4"/>
    <x v="5"/>
    <x v="0"/>
    <s v="Apr"/>
    <x v="2"/>
    <x v="672"/>
    <n v="18"/>
    <x v="1"/>
    <n v="7.8"/>
    <x v="48"/>
    <n v="1493"/>
    <x v="1"/>
    <n v="79.2"/>
    <s v="DevOps Engineer"/>
    <n v="-23.9"/>
    <n v="14.7"/>
    <x v="280"/>
    <n v="4.7"/>
    <n v="5"/>
    <n v="3.9"/>
    <s v="Recession"/>
  </r>
  <r>
    <s v="T697"/>
    <x v="4"/>
    <x v="0"/>
    <x v="1"/>
    <x v="3"/>
    <s v="Sep"/>
    <x v="0"/>
    <x v="673"/>
    <n v="1.9"/>
    <x v="1"/>
    <n v="9"/>
    <x v="71"/>
    <n v="3633"/>
    <x v="0"/>
    <n v="37.700000000000003"/>
    <s v="ML Engineer"/>
    <n v="66.599999999999994"/>
    <n v="-5.8"/>
    <x v="116"/>
    <n v="7.5"/>
    <n v="7.1"/>
    <n v="7.4"/>
    <s v="Stable"/>
  </r>
  <r>
    <s v="T698"/>
    <x v="2"/>
    <x v="1"/>
    <x v="1"/>
    <x v="1"/>
    <s v="Jun"/>
    <x v="2"/>
    <x v="667"/>
    <n v="2.8"/>
    <x v="4"/>
    <n v="3.7"/>
    <x v="73"/>
    <n v="5420"/>
    <x v="0"/>
    <n v="88.5"/>
    <s v="ML Engineer"/>
    <n v="-7.3"/>
    <n v="57.7"/>
    <x v="364"/>
    <n v="3.7"/>
    <n v="8.8000000000000007"/>
    <n v="8.5"/>
    <s v="Stable"/>
  </r>
  <r>
    <s v="T699"/>
    <x v="2"/>
    <x v="1"/>
    <x v="1"/>
    <x v="2"/>
    <s v="Jan"/>
    <x v="1"/>
    <x v="674"/>
    <n v="1.6"/>
    <x v="0"/>
    <n v="2.8"/>
    <x v="4"/>
    <n v="3934"/>
    <x v="1"/>
    <n v="84.3"/>
    <s v="ML Engineer"/>
    <n v="80.7"/>
    <n v="37.6"/>
    <x v="308"/>
    <n v="1.7"/>
    <n v="7"/>
    <n v="8.3000000000000007"/>
    <s v="Stable"/>
  </r>
  <r>
    <s v="T700"/>
    <x v="11"/>
    <x v="6"/>
    <x v="4"/>
    <x v="2"/>
    <s v="Jan"/>
    <x v="2"/>
    <x v="675"/>
    <n v="15.3"/>
    <x v="1"/>
    <n v="1.8"/>
    <x v="62"/>
    <n v="169"/>
    <x v="1"/>
    <n v="62.1"/>
    <s v="Software Engineer"/>
    <n v="21.8"/>
    <n v="25.6"/>
    <x v="163"/>
    <n v="1.2"/>
    <n v="5.8"/>
    <n v="6.8"/>
    <s v="Recession"/>
  </r>
  <r>
    <s v="T701"/>
    <x v="1"/>
    <x v="1"/>
    <x v="5"/>
    <x v="2"/>
    <s v="Feb"/>
    <x v="1"/>
    <x v="676"/>
    <n v="8.8000000000000007"/>
    <x v="4"/>
    <n v="4"/>
    <x v="45"/>
    <n v="4062"/>
    <x v="1"/>
    <n v="49.6"/>
    <s v="ML Engineer"/>
    <n v="-20"/>
    <n v="48.6"/>
    <x v="365"/>
    <n v="3.7"/>
    <n v="7.8"/>
    <n v="8.3000000000000007"/>
    <s v="Bull Market"/>
  </r>
  <r>
    <s v="T702"/>
    <x v="2"/>
    <x v="1"/>
    <x v="2"/>
    <x v="1"/>
    <s v="Feb"/>
    <x v="1"/>
    <x v="189"/>
    <n v="0.2"/>
    <x v="0"/>
    <n v="5.7"/>
    <x v="78"/>
    <n v="4954"/>
    <x v="0"/>
    <n v="24.5"/>
    <s v="Cloud Engineer"/>
    <n v="43.9"/>
    <n v="-22.8"/>
    <x v="366"/>
    <n v="4.8"/>
    <n v="7.4"/>
    <n v="5.4"/>
    <s v="Bull Market"/>
  </r>
  <r>
    <s v="T703"/>
    <x v="11"/>
    <x v="6"/>
    <x v="2"/>
    <x v="2"/>
    <s v="Jul"/>
    <x v="0"/>
    <x v="677"/>
    <n v="16.5"/>
    <x v="0"/>
    <n v="3.8"/>
    <x v="14"/>
    <n v="4802"/>
    <x v="1"/>
    <n v="49.6"/>
    <s v="ML Engineer"/>
    <n v="77.400000000000006"/>
    <n v="-0.8"/>
    <x v="218"/>
    <n v="4.7"/>
    <n v="5.4"/>
    <n v="5"/>
    <s v="Stable"/>
  </r>
  <r>
    <s v="T704"/>
    <x v="2"/>
    <x v="3"/>
    <x v="4"/>
    <x v="0"/>
    <s v="Oct"/>
    <x v="0"/>
    <x v="678"/>
    <n v="5.5"/>
    <x v="3"/>
    <n v="3.9"/>
    <x v="5"/>
    <n v="3018"/>
    <x v="1"/>
    <n v="12.5"/>
    <s v="Cybersecurity Analyst"/>
    <n v="34.9"/>
    <n v="-19.7"/>
    <x v="264"/>
    <n v="6.5"/>
    <n v="6.6"/>
    <n v="4.2"/>
    <s v="Stable"/>
  </r>
  <r>
    <s v="T705"/>
    <x v="6"/>
    <x v="1"/>
    <x v="4"/>
    <x v="2"/>
    <s v="Jan"/>
    <x v="0"/>
    <x v="679"/>
    <n v="10.3"/>
    <x v="2"/>
    <n v="4.5999999999999996"/>
    <x v="82"/>
    <n v="2000"/>
    <x v="1"/>
    <n v="83.1"/>
    <s v="Software Engineer"/>
    <n v="62.7"/>
    <n v="12.8"/>
    <x v="122"/>
    <n v="4.7"/>
    <n v="5.8"/>
    <n v="5.3"/>
    <s v="Stable"/>
  </r>
  <r>
    <s v="T706"/>
    <x v="1"/>
    <x v="4"/>
    <x v="2"/>
    <x v="3"/>
    <s v="Oct"/>
    <x v="0"/>
    <x v="680"/>
    <n v="9.5"/>
    <x v="2"/>
    <n v="4.5"/>
    <x v="56"/>
    <n v="4738"/>
    <x v="0"/>
    <n v="72.7"/>
    <s v="Frontend Developer"/>
    <n v="71"/>
    <n v="34.700000000000003"/>
    <x v="367"/>
    <n v="5.4"/>
    <n v="7.1"/>
    <n v="6.8"/>
    <s v="Bull Market"/>
  </r>
  <r>
    <s v="T707"/>
    <x v="8"/>
    <x v="4"/>
    <x v="1"/>
    <x v="1"/>
    <s v="Apr"/>
    <x v="2"/>
    <x v="681"/>
    <n v="6.4"/>
    <x v="2"/>
    <n v="6.1"/>
    <x v="20"/>
    <n v="3367"/>
    <x v="1"/>
    <n v="12"/>
    <s v="Cybersecurity Analyst"/>
    <n v="15.1"/>
    <n v="-2.7"/>
    <x v="102"/>
    <n v="4.7"/>
    <n v="4.9000000000000004"/>
    <n v="5.5"/>
    <s v="Bull Market"/>
  </r>
  <r>
    <s v="T708"/>
    <x v="2"/>
    <x v="1"/>
    <x v="5"/>
    <x v="1"/>
    <s v="Nov"/>
    <x v="0"/>
    <x v="682"/>
    <n v="4.3"/>
    <x v="4"/>
    <n v="3.2"/>
    <x v="29"/>
    <n v="3411"/>
    <x v="1"/>
    <n v="59.9"/>
    <s v="DevOps Engineer"/>
    <n v="-16"/>
    <n v="44.2"/>
    <x v="214"/>
    <n v="3.4"/>
    <n v="9.1"/>
    <n v="6.8"/>
    <s v="Bull Market"/>
  </r>
  <r>
    <s v="T709"/>
    <x v="2"/>
    <x v="2"/>
    <x v="1"/>
    <x v="2"/>
    <s v="Dec"/>
    <x v="0"/>
    <x v="293"/>
    <n v="5.0999999999999996"/>
    <x v="1"/>
    <n v="11.1"/>
    <x v="3"/>
    <n v="4572"/>
    <x v="0"/>
    <n v="43.3"/>
    <s v="Cloud Engineer"/>
    <n v="52.2"/>
    <n v="-1.1000000000000001"/>
    <x v="16"/>
    <n v="9"/>
    <n v="4.5999999999999996"/>
    <n v="6.7"/>
    <s v="Bull Market"/>
  </r>
  <r>
    <s v="T710"/>
    <x v="3"/>
    <x v="1"/>
    <x v="1"/>
    <x v="3"/>
    <s v="Jan"/>
    <x v="0"/>
    <x v="27"/>
    <n v="39.799999999999997"/>
    <x v="2"/>
    <n v="4.9000000000000004"/>
    <x v="5"/>
    <n v="1998"/>
    <x v="2"/>
    <n v="17.100000000000001"/>
    <s v="Software Engineer"/>
    <n v="69.900000000000006"/>
    <n v="-0.4"/>
    <x v="135"/>
    <n v="3.3"/>
    <n v="3.8"/>
    <n v="1.5"/>
    <s v="Recession"/>
  </r>
  <r>
    <s v="T711"/>
    <x v="2"/>
    <x v="2"/>
    <x v="5"/>
    <x v="2"/>
    <s v="Apr"/>
    <x v="1"/>
    <x v="683"/>
    <n v="27.4"/>
    <x v="1"/>
    <n v="3.8"/>
    <x v="50"/>
    <n v="405"/>
    <x v="2"/>
    <n v="11.7"/>
    <s v="ML Engineer"/>
    <n v="47.5"/>
    <n v="-8.8000000000000007"/>
    <x v="115"/>
    <n v="2.7"/>
    <n v="4.2"/>
    <n v="3.5"/>
    <s v="Recession"/>
  </r>
  <r>
    <s v="T712"/>
    <x v="8"/>
    <x v="4"/>
    <x v="0"/>
    <x v="2"/>
    <s v="Jul"/>
    <x v="1"/>
    <x v="684"/>
    <n v="28.6"/>
    <x v="2"/>
    <n v="8.5"/>
    <x v="5"/>
    <n v="849"/>
    <x v="1"/>
    <n v="49.6"/>
    <s v="Software Engineer"/>
    <n v="-1.3"/>
    <n v="25.3"/>
    <x v="368"/>
    <n v="8.6999999999999993"/>
    <n v="4.5999999999999996"/>
    <n v="3.8"/>
    <s v="Recession"/>
  </r>
  <r>
    <s v="T713"/>
    <x v="1"/>
    <x v="6"/>
    <x v="4"/>
    <x v="0"/>
    <s v="Jul"/>
    <x v="2"/>
    <x v="685"/>
    <n v="3.9"/>
    <x v="0"/>
    <n v="1.5"/>
    <x v="19"/>
    <n v="1979"/>
    <x v="1"/>
    <n v="82.4"/>
    <s v="Cloud Engineer"/>
    <n v="79.3"/>
    <n v="-13.1"/>
    <x v="300"/>
    <n v="1.2"/>
    <n v="8.1"/>
    <n v="6.3"/>
    <s v="Bull Market"/>
  </r>
  <r>
    <s v="T714"/>
    <x v="3"/>
    <x v="1"/>
    <x v="2"/>
    <x v="1"/>
    <s v="Mar"/>
    <x v="1"/>
    <x v="686"/>
    <n v="13"/>
    <x v="3"/>
    <n v="4.3"/>
    <x v="63"/>
    <n v="2404"/>
    <x v="0"/>
    <n v="83.7"/>
    <s v="Cloud Engineer"/>
    <n v="-36.6"/>
    <n v="53.4"/>
    <x v="43"/>
    <n v="7"/>
    <n v="6.9"/>
    <n v="7.2"/>
    <s v="Stable"/>
  </r>
  <r>
    <s v="T715"/>
    <x v="0"/>
    <x v="0"/>
    <x v="5"/>
    <x v="2"/>
    <s v="Apr"/>
    <x v="1"/>
    <x v="687"/>
    <n v="8.6"/>
    <x v="3"/>
    <n v="3.5"/>
    <x v="24"/>
    <n v="3446"/>
    <x v="1"/>
    <n v="18.7"/>
    <s v="ML Engineer"/>
    <n v="85.7"/>
    <n v="3.6"/>
    <x v="225"/>
    <n v="3"/>
    <n v="7.2"/>
    <n v="6.4"/>
    <s v="Recession"/>
  </r>
  <r>
    <s v="T716"/>
    <x v="14"/>
    <x v="1"/>
    <x v="5"/>
    <x v="0"/>
    <s v="Dec"/>
    <x v="2"/>
    <x v="688"/>
    <n v="12.1"/>
    <x v="1"/>
    <n v="0.6"/>
    <x v="66"/>
    <n v="367"/>
    <x v="1"/>
    <n v="68.5"/>
    <s v="Product Manager"/>
    <n v="-7.6"/>
    <n v="59.1"/>
    <x v="290"/>
    <n v="1"/>
    <n v="6.2"/>
    <n v="8.6999999999999993"/>
    <s v="Stable"/>
  </r>
  <r>
    <s v="T717"/>
    <x v="13"/>
    <x v="5"/>
    <x v="4"/>
    <x v="0"/>
    <s v="Jul"/>
    <x v="0"/>
    <x v="689"/>
    <n v="2.1"/>
    <x v="1"/>
    <n v="5.8"/>
    <x v="49"/>
    <n v="2385"/>
    <x v="0"/>
    <n v="30"/>
    <s v="DevOps Engineer"/>
    <n v="79.599999999999994"/>
    <n v="46.5"/>
    <x v="53"/>
    <n v="5.9"/>
    <n v="7.5"/>
    <n v="7.3"/>
    <s v="Bull Market"/>
  </r>
  <r>
    <s v="T718"/>
    <x v="6"/>
    <x v="1"/>
    <x v="2"/>
    <x v="1"/>
    <s v="Sep"/>
    <x v="0"/>
    <x v="690"/>
    <n v="4.2"/>
    <x v="4"/>
    <n v="1.8"/>
    <x v="19"/>
    <n v="5062"/>
    <x v="1"/>
    <n v="48.8"/>
    <s v="Cloud Engineer"/>
    <n v="-15.1"/>
    <n v="11.6"/>
    <x v="255"/>
    <n v="2"/>
    <n v="7.3"/>
    <n v="8.4"/>
    <s v="Stable"/>
  </r>
  <r>
    <s v="T719"/>
    <x v="12"/>
    <x v="0"/>
    <x v="5"/>
    <x v="1"/>
    <s v="Dec"/>
    <x v="1"/>
    <x v="232"/>
    <n v="5.7"/>
    <x v="0"/>
    <n v="11.4"/>
    <x v="1"/>
    <n v="8548"/>
    <x v="3"/>
    <n v="65.400000000000006"/>
    <s v="ML Engineer"/>
    <n v="24.4"/>
    <n v="-5.6"/>
    <x v="369"/>
    <n v="7.1"/>
    <n v="7.4"/>
    <n v="5.3"/>
    <s v="Bull Market"/>
  </r>
  <r>
    <s v="T720"/>
    <x v="8"/>
    <x v="6"/>
    <x v="3"/>
    <x v="3"/>
    <s v="Dec"/>
    <x v="2"/>
    <x v="691"/>
    <n v="4.0999999999999996"/>
    <x v="0"/>
    <n v="8.3000000000000007"/>
    <x v="25"/>
    <n v="223"/>
    <x v="1"/>
    <n v="61.2"/>
    <s v="Data Scientist"/>
    <n v="18.2"/>
    <n v="47.7"/>
    <x v="202"/>
    <n v="6"/>
    <n v="7"/>
    <n v="7.9"/>
    <s v="Bull Market"/>
  </r>
  <r>
    <s v="T721"/>
    <x v="8"/>
    <x v="4"/>
    <x v="2"/>
    <x v="1"/>
    <s v="Dec"/>
    <x v="1"/>
    <x v="692"/>
    <n v="10"/>
    <x v="0"/>
    <n v="13.2"/>
    <x v="5"/>
    <n v="5539"/>
    <x v="0"/>
    <n v="65.5"/>
    <s v="ML Engineer"/>
    <n v="46.1"/>
    <n v="5.6"/>
    <x v="68"/>
    <n v="7.9"/>
    <n v="7.7"/>
    <n v="4.9000000000000004"/>
    <s v="Stable"/>
  </r>
  <r>
    <s v="T722"/>
    <x v="2"/>
    <x v="2"/>
    <x v="0"/>
    <x v="3"/>
    <s v="Mar"/>
    <x v="1"/>
    <x v="693"/>
    <n v="24"/>
    <x v="4"/>
    <n v="6.3"/>
    <x v="16"/>
    <n v="483"/>
    <x v="1"/>
    <n v="36.200000000000003"/>
    <s v="DevOps Engineer"/>
    <n v="22"/>
    <n v="40.299999999999997"/>
    <x v="290"/>
    <n v="4.9000000000000004"/>
    <n v="5.3"/>
    <n v="5.8"/>
    <s v="Recession"/>
  </r>
  <r>
    <s v="T723"/>
    <x v="8"/>
    <x v="4"/>
    <x v="2"/>
    <x v="1"/>
    <s v="Jul"/>
    <x v="0"/>
    <x v="694"/>
    <n v="9.5"/>
    <x v="0"/>
    <n v="7"/>
    <x v="3"/>
    <n v="4880"/>
    <x v="0"/>
    <n v="54.3"/>
    <s v="DevOps Engineer"/>
    <n v="-39.5"/>
    <n v="14.2"/>
    <x v="227"/>
    <n v="6"/>
    <n v="5.2"/>
    <n v="5"/>
    <s v="Bull Market"/>
  </r>
  <r>
    <s v="T724"/>
    <x v="2"/>
    <x v="1"/>
    <x v="2"/>
    <x v="3"/>
    <s v="Jun"/>
    <x v="2"/>
    <x v="695"/>
    <n v="25.1"/>
    <x v="2"/>
    <n v="3.7"/>
    <x v="67"/>
    <n v="1067"/>
    <x v="2"/>
    <n v="64.400000000000006"/>
    <s v="Cybersecurity Analyst"/>
    <n v="-43.5"/>
    <n v="13.3"/>
    <x v="99"/>
    <n v="2.9"/>
    <n v="7.2"/>
    <n v="3.5"/>
    <s v="Recession"/>
  </r>
  <r>
    <s v="T725"/>
    <x v="17"/>
    <x v="0"/>
    <x v="4"/>
    <x v="0"/>
    <s v="Apr"/>
    <x v="1"/>
    <x v="696"/>
    <n v="30"/>
    <x v="4"/>
    <n v="7.9"/>
    <x v="5"/>
    <n v="1970"/>
    <x v="2"/>
    <n v="26.7"/>
    <s v="Data Scientist"/>
    <n v="2.6"/>
    <n v="-20.9"/>
    <x v="93"/>
    <n v="8"/>
    <n v="2.7"/>
    <n v="2.1"/>
    <s v="Recession"/>
  </r>
  <r>
    <s v="T726"/>
    <x v="1"/>
    <x v="6"/>
    <x v="5"/>
    <x v="3"/>
    <s v="Mar"/>
    <x v="2"/>
    <x v="697"/>
    <n v="12.4"/>
    <x v="0"/>
    <n v="11.8"/>
    <x v="3"/>
    <n v="1240"/>
    <x v="1"/>
    <n v="63.9"/>
    <s v="Cloud Engineer"/>
    <n v="42.5"/>
    <n v="48.7"/>
    <x v="284"/>
    <n v="7.7"/>
    <n v="8.1"/>
    <n v="6.8"/>
    <s v="Stable"/>
  </r>
  <r>
    <s v="T727"/>
    <x v="9"/>
    <x v="0"/>
    <x v="0"/>
    <x v="2"/>
    <s v="Jan"/>
    <x v="2"/>
    <x v="698"/>
    <n v="17.100000000000001"/>
    <x v="4"/>
    <n v="4.0999999999999996"/>
    <x v="86"/>
    <n v="3583"/>
    <x v="1"/>
    <n v="16.2"/>
    <s v="ML Engineer"/>
    <n v="84.8"/>
    <n v="-11.8"/>
    <x v="41"/>
    <n v="4.5"/>
    <n v="7"/>
    <n v="4"/>
    <s v="Recession"/>
  </r>
  <r>
    <s v="T728"/>
    <x v="14"/>
    <x v="1"/>
    <x v="2"/>
    <x v="3"/>
    <s v="Jun"/>
    <x v="1"/>
    <x v="699"/>
    <n v="3.1"/>
    <x v="0"/>
    <n v="3.2"/>
    <x v="68"/>
    <n v="1820"/>
    <x v="1"/>
    <n v="59.7"/>
    <s v="Software Engineer"/>
    <n v="44.9"/>
    <n v="56.3"/>
    <x v="370"/>
    <n v="3.8"/>
    <n v="10"/>
    <n v="8.4"/>
    <s v="Bull Market"/>
  </r>
  <r>
    <s v="T729"/>
    <x v="11"/>
    <x v="6"/>
    <x v="1"/>
    <x v="2"/>
    <s v="Jun"/>
    <x v="2"/>
    <x v="700"/>
    <n v="14.2"/>
    <x v="3"/>
    <n v="5.7"/>
    <x v="33"/>
    <n v="1915"/>
    <x v="1"/>
    <n v="83.1"/>
    <s v="Data Scientist"/>
    <n v="76.7"/>
    <n v="52.1"/>
    <x v="371"/>
    <n v="6"/>
    <n v="7.3"/>
    <n v="6.8"/>
    <s v="Recession"/>
  </r>
  <r>
    <s v="T730"/>
    <x v="2"/>
    <x v="1"/>
    <x v="2"/>
    <x v="0"/>
    <s v="May"/>
    <x v="2"/>
    <x v="701"/>
    <n v="5.4"/>
    <x v="1"/>
    <n v="4.7"/>
    <x v="59"/>
    <n v="5330"/>
    <x v="1"/>
    <n v="57.4"/>
    <s v="Cybersecurity Analyst"/>
    <n v="14.8"/>
    <n v="20.100000000000001"/>
    <x v="109"/>
    <n v="3.3"/>
    <n v="8.6999999999999993"/>
    <n v="7"/>
    <s v="Stable"/>
  </r>
  <r>
    <s v="T731"/>
    <x v="3"/>
    <x v="1"/>
    <x v="5"/>
    <x v="0"/>
    <s v="Feb"/>
    <x v="1"/>
    <x v="702"/>
    <n v="6.9"/>
    <x v="1"/>
    <n v="3.4"/>
    <x v="32"/>
    <n v="1062"/>
    <x v="1"/>
    <n v="44.2"/>
    <s v="DevOps Engineer"/>
    <n v="80.3"/>
    <n v="46.8"/>
    <x v="184"/>
    <n v="3.3"/>
    <n v="9.1999999999999993"/>
    <n v="7.7"/>
    <s v="Bull Market"/>
  </r>
  <r>
    <s v="T732"/>
    <x v="16"/>
    <x v="2"/>
    <x v="2"/>
    <x v="3"/>
    <s v="Jul"/>
    <x v="2"/>
    <x v="703"/>
    <n v="7.6"/>
    <x v="4"/>
    <n v="5.5"/>
    <x v="1"/>
    <n v="5133"/>
    <x v="0"/>
    <n v="42.8"/>
    <s v="Frontend Developer"/>
    <n v="-18.2"/>
    <n v="36.1"/>
    <x v="368"/>
    <n v="5.5"/>
    <n v="9.1"/>
    <n v="8.3000000000000007"/>
    <s v="Stable"/>
  </r>
  <r>
    <s v="T733"/>
    <x v="8"/>
    <x v="6"/>
    <x v="4"/>
    <x v="2"/>
    <s v="Dec"/>
    <x v="1"/>
    <x v="704"/>
    <n v="6.6"/>
    <x v="3"/>
    <n v="12.1"/>
    <x v="5"/>
    <n v="1428"/>
    <x v="0"/>
    <n v="51.3"/>
    <s v="Frontend Developer"/>
    <n v="-36.700000000000003"/>
    <n v="-13.2"/>
    <x v="128"/>
    <n v="9.4"/>
    <n v="8"/>
    <n v="5.9"/>
    <s v="Stable"/>
  </r>
  <r>
    <s v="T734"/>
    <x v="4"/>
    <x v="1"/>
    <x v="4"/>
    <x v="2"/>
    <s v="Oct"/>
    <x v="1"/>
    <x v="705"/>
    <n v="37.6"/>
    <x v="1"/>
    <n v="14.1"/>
    <x v="5"/>
    <n v="666"/>
    <x v="2"/>
    <n v="52.8"/>
    <s v="DevOps Engineer"/>
    <n v="63.3"/>
    <n v="33.799999999999997"/>
    <x v="229"/>
    <n v="8.4"/>
    <n v="5.6"/>
    <n v="2.7"/>
    <s v="Recession"/>
  </r>
  <r>
    <s v="T735"/>
    <x v="2"/>
    <x v="5"/>
    <x v="2"/>
    <x v="2"/>
    <s v="Mar"/>
    <x v="1"/>
    <x v="706"/>
    <n v="37.799999999999997"/>
    <x v="3"/>
    <n v="2.5"/>
    <x v="5"/>
    <n v="1908"/>
    <x v="2"/>
    <n v="32.799999999999997"/>
    <s v="Product Manager"/>
    <n v="42.1"/>
    <n v="19.8"/>
    <x v="27"/>
    <n v="3.4"/>
    <n v="3.4"/>
    <n v="1.8"/>
    <s v="Recession"/>
  </r>
  <r>
    <s v="T736"/>
    <x v="13"/>
    <x v="5"/>
    <x v="4"/>
    <x v="2"/>
    <s v="Dec"/>
    <x v="1"/>
    <x v="707"/>
    <n v="5.0999999999999996"/>
    <x v="1"/>
    <n v="9.1"/>
    <x v="5"/>
    <n v="4924"/>
    <x v="0"/>
    <n v="26"/>
    <s v="Frontend Developer"/>
    <n v="32.6"/>
    <n v="57.2"/>
    <x v="372"/>
    <n v="8"/>
    <n v="9.8000000000000007"/>
    <n v="7.3"/>
    <s v="Bull Market"/>
  </r>
  <r>
    <s v="T737"/>
    <x v="19"/>
    <x v="0"/>
    <x v="3"/>
    <x v="1"/>
    <s v="Mar"/>
    <x v="0"/>
    <x v="708"/>
    <n v="8.8000000000000007"/>
    <x v="2"/>
    <n v="9.1999999999999993"/>
    <x v="65"/>
    <n v="4457"/>
    <x v="0"/>
    <n v="41.1"/>
    <s v="Data Scientist"/>
    <n v="0.2"/>
    <n v="3.2"/>
    <x v="125"/>
    <n v="6.9"/>
    <n v="7.2"/>
    <n v="6.4"/>
    <s v="Bull Market"/>
  </r>
  <r>
    <s v="T738"/>
    <x v="3"/>
    <x v="1"/>
    <x v="2"/>
    <x v="0"/>
    <s v="Feb"/>
    <x v="2"/>
    <x v="709"/>
    <n v="7.5"/>
    <x v="4"/>
    <n v="1"/>
    <x v="4"/>
    <n v="1438"/>
    <x v="1"/>
    <n v="44.9"/>
    <s v="Product Manager"/>
    <n v="-1.9"/>
    <n v="-24.7"/>
    <x v="373"/>
    <n v="1.4"/>
    <n v="5.7"/>
    <n v="6.2"/>
    <s v="Stable"/>
  </r>
  <r>
    <s v="T739"/>
    <x v="11"/>
    <x v="6"/>
    <x v="3"/>
    <x v="2"/>
    <s v="Sep"/>
    <x v="1"/>
    <x v="710"/>
    <n v="8.3000000000000007"/>
    <x v="2"/>
    <n v="7.4"/>
    <x v="75"/>
    <n v="2057"/>
    <x v="0"/>
    <n v="82.2"/>
    <s v="Software Engineer"/>
    <n v="-28.5"/>
    <n v="6.4"/>
    <x v="86"/>
    <n v="7"/>
    <n v="6.5"/>
    <n v="6.6"/>
    <s v="Bull Market"/>
  </r>
  <r>
    <s v="T740"/>
    <x v="17"/>
    <x v="3"/>
    <x v="3"/>
    <x v="0"/>
    <s v="Mar"/>
    <x v="2"/>
    <x v="711"/>
    <n v="4"/>
    <x v="2"/>
    <n v="0.9"/>
    <x v="19"/>
    <n v="1442"/>
    <x v="1"/>
    <n v="29.6"/>
    <s v="Software Engineer"/>
    <n v="39"/>
    <n v="10.7"/>
    <x v="52"/>
    <n v="1"/>
    <n v="8.1"/>
    <n v="8.3000000000000007"/>
    <s v="Stable"/>
  </r>
  <r>
    <s v="T741"/>
    <x v="4"/>
    <x v="1"/>
    <x v="5"/>
    <x v="3"/>
    <s v="Aug"/>
    <x v="2"/>
    <x v="712"/>
    <n v="7.9"/>
    <x v="4"/>
    <n v="7.6"/>
    <x v="66"/>
    <n v="2832"/>
    <x v="0"/>
    <n v="79.599999999999994"/>
    <s v="Product Manager"/>
    <n v="-30.8"/>
    <n v="-0.6"/>
    <x v="264"/>
    <n v="8.1"/>
    <n v="6.3"/>
    <n v="7.3"/>
    <s v="Bull Market"/>
  </r>
  <r>
    <s v="T742"/>
    <x v="1"/>
    <x v="4"/>
    <x v="3"/>
    <x v="0"/>
    <s v="May"/>
    <x v="1"/>
    <x v="713"/>
    <n v="13.4"/>
    <x v="0"/>
    <n v="6.6"/>
    <x v="82"/>
    <n v="722"/>
    <x v="1"/>
    <n v="25"/>
    <s v="Cybersecurity Analyst"/>
    <n v="62.6"/>
    <n v="-24.9"/>
    <x v="247"/>
    <n v="4"/>
    <n v="4.2"/>
    <n v="3.9"/>
    <s v="Recession"/>
  </r>
  <r>
    <s v="T743"/>
    <x v="5"/>
    <x v="3"/>
    <x v="0"/>
    <x v="0"/>
    <s v="May"/>
    <x v="1"/>
    <x v="714"/>
    <n v="1.2"/>
    <x v="4"/>
    <n v="6.4"/>
    <x v="56"/>
    <n v="5656"/>
    <x v="3"/>
    <n v="25.4"/>
    <s v="ML Engineer"/>
    <n v="-42.7"/>
    <n v="-13.5"/>
    <x v="135"/>
    <n v="7.8"/>
    <n v="7.6"/>
    <n v="6.5"/>
    <s v="Stable"/>
  </r>
  <r>
    <s v="T744"/>
    <x v="5"/>
    <x v="3"/>
    <x v="5"/>
    <x v="3"/>
    <s v="Jun"/>
    <x v="2"/>
    <x v="715"/>
    <n v="3.1"/>
    <x v="0"/>
    <n v="5.0999999999999996"/>
    <x v="4"/>
    <n v="2778"/>
    <x v="0"/>
    <n v="86.6"/>
    <s v="Product Manager"/>
    <n v="55.4"/>
    <n v="8.1"/>
    <x v="166"/>
    <n v="4.5"/>
    <n v="8.5"/>
    <n v="8.3000000000000007"/>
    <s v="Stable"/>
  </r>
  <r>
    <s v="T745"/>
    <x v="9"/>
    <x v="1"/>
    <x v="0"/>
    <x v="3"/>
    <s v="Aug"/>
    <x v="0"/>
    <x v="716"/>
    <n v="29.2"/>
    <x v="1"/>
    <n v="7.7"/>
    <x v="5"/>
    <n v="995"/>
    <x v="1"/>
    <n v="64.5"/>
    <s v="DevOps Engineer"/>
    <n v="21.2"/>
    <n v="-2.2999999999999998"/>
    <x v="144"/>
    <n v="8.9"/>
    <n v="3"/>
    <n v="3.4"/>
    <s v="Recession"/>
  </r>
  <r>
    <s v="T746"/>
    <x v="2"/>
    <x v="5"/>
    <x v="5"/>
    <x v="1"/>
    <s v="Mar"/>
    <x v="2"/>
    <x v="717"/>
    <n v="10"/>
    <x v="1"/>
    <n v="5.6"/>
    <x v="33"/>
    <n v="809"/>
    <x v="1"/>
    <n v="16"/>
    <s v="Frontend Developer"/>
    <n v="84.3"/>
    <n v="58.7"/>
    <x v="161"/>
    <n v="6.1"/>
    <n v="8.1999999999999993"/>
    <n v="7.1"/>
    <s v="Stable"/>
  </r>
  <r>
    <s v="T747"/>
    <x v="2"/>
    <x v="3"/>
    <x v="4"/>
    <x v="3"/>
    <s v="Oct"/>
    <x v="1"/>
    <x v="718"/>
    <n v="7.8"/>
    <x v="4"/>
    <n v="2.2000000000000002"/>
    <x v="52"/>
    <n v="3532"/>
    <x v="1"/>
    <n v="47.9"/>
    <s v="Data Scientist"/>
    <n v="29.3"/>
    <n v="-14.3"/>
    <x v="249"/>
    <n v="3.7"/>
    <n v="7.1"/>
    <n v="5.0999999999999996"/>
    <s v="Bull Market"/>
  </r>
  <r>
    <s v="T748"/>
    <x v="8"/>
    <x v="6"/>
    <x v="3"/>
    <x v="3"/>
    <s v="Nov"/>
    <x v="1"/>
    <x v="719"/>
    <n v="17.3"/>
    <x v="4"/>
    <n v="13.9"/>
    <x v="73"/>
    <n v="657"/>
    <x v="1"/>
    <n v="80.400000000000006"/>
    <s v="Frontend Developer"/>
    <n v="85.2"/>
    <n v="27.5"/>
    <x v="146"/>
    <n v="8.4"/>
    <n v="4.5"/>
    <n v="5.2"/>
    <s v="Stable"/>
  </r>
  <r>
    <s v="T749"/>
    <x v="0"/>
    <x v="1"/>
    <x v="4"/>
    <x v="2"/>
    <s v="Nov"/>
    <x v="0"/>
    <x v="720"/>
    <n v="2.9"/>
    <x v="3"/>
    <n v="5.3"/>
    <x v="48"/>
    <n v="3351"/>
    <x v="0"/>
    <n v="50.7"/>
    <s v="Software Engineer"/>
    <n v="78.400000000000006"/>
    <n v="14.8"/>
    <x v="218"/>
    <n v="7.1"/>
    <n v="8.6"/>
    <n v="7.3"/>
    <s v="Bull Market"/>
  </r>
  <r>
    <s v="T750"/>
    <x v="10"/>
    <x v="3"/>
    <x v="3"/>
    <x v="3"/>
    <s v="Nov"/>
    <x v="0"/>
    <x v="721"/>
    <n v="9.1999999999999993"/>
    <x v="1"/>
    <n v="2.9"/>
    <x v="24"/>
    <n v="5280"/>
    <x v="1"/>
    <n v="88.9"/>
    <s v="DevOps Engineer"/>
    <n v="73.099999999999994"/>
    <n v="1.2"/>
    <x v="373"/>
    <n v="1.8"/>
    <n v="7.3"/>
    <n v="6.8"/>
    <s v="Stable"/>
  </r>
  <r>
    <s v="T751"/>
    <x v="1"/>
    <x v="6"/>
    <x v="0"/>
    <x v="0"/>
    <s v="Sep"/>
    <x v="2"/>
    <x v="722"/>
    <n v="36.799999999999997"/>
    <x v="2"/>
    <n v="9.4"/>
    <x v="5"/>
    <n v="1632"/>
    <x v="2"/>
    <n v="84.3"/>
    <s v="Data Scientist"/>
    <n v="77.900000000000006"/>
    <n v="25.3"/>
    <x v="174"/>
    <n v="7.7"/>
    <n v="4.5999999999999996"/>
    <n v="3.7"/>
    <s v="Recession"/>
  </r>
  <r>
    <s v="T752"/>
    <x v="2"/>
    <x v="5"/>
    <x v="0"/>
    <x v="0"/>
    <s v="Mar"/>
    <x v="1"/>
    <x v="723"/>
    <n v="35.799999999999997"/>
    <x v="1"/>
    <n v="1.8"/>
    <x v="5"/>
    <n v="681"/>
    <x v="2"/>
    <n v="33.5"/>
    <s v="ML Engineer"/>
    <n v="16.600000000000001"/>
    <n v="24.6"/>
    <x v="374"/>
    <n v="2"/>
    <n v="3.2"/>
    <n v="3.3"/>
    <s v="Recession"/>
  </r>
  <r>
    <s v="T753"/>
    <x v="2"/>
    <x v="1"/>
    <x v="0"/>
    <x v="1"/>
    <s v="Jun"/>
    <x v="2"/>
    <x v="724"/>
    <n v="3.9"/>
    <x v="2"/>
    <n v="8.6"/>
    <x v="41"/>
    <n v="2803"/>
    <x v="0"/>
    <n v="47.8"/>
    <s v="Product Manager"/>
    <n v="-32.799999999999997"/>
    <n v="39.799999999999997"/>
    <x v="165"/>
    <n v="5.6"/>
    <n v="7.3"/>
    <n v="7.8"/>
    <s v="Bull Market"/>
  </r>
  <r>
    <s v="T754"/>
    <x v="2"/>
    <x v="0"/>
    <x v="2"/>
    <x v="0"/>
    <s v="Aug"/>
    <x v="1"/>
    <x v="725"/>
    <n v="34"/>
    <x v="1"/>
    <n v="1.7"/>
    <x v="57"/>
    <n v="4073"/>
    <x v="1"/>
    <n v="85.8"/>
    <s v="Data Scientist"/>
    <n v="44"/>
    <n v="53.4"/>
    <x v="118"/>
    <n v="1.9"/>
    <n v="7.2"/>
    <n v="4"/>
    <s v="Recession"/>
  </r>
  <r>
    <s v="T755"/>
    <x v="4"/>
    <x v="1"/>
    <x v="5"/>
    <x v="0"/>
    <s v="Apr"/>
    <x v="1"/>
    <x v="161"/>
    <n v="39.4"/>
    <x v="3"/>
    <n v="1.9"/>
    <x v="65"/>
    <n v="1465"/>
    <x v="2"/>
    <n v="33.1"/>
    <s v="DevOps Engineer"/>
    <n v="89.5"/>
    <n v="-20.5"/>
    <x v="375"/>
    <n v="1.8"/>
    <n v="1.7"/>
    <n v="1"/>
    <s v="Recession"/>
  </r>
  <r>
    <s v="T756"/>
    <x v="13"/>
    <x v="5"/>
    <x v="0"/>
    <x v="3"/>
    <s v="Apr"/>
    <x v="2"/>
    <x v="726"/>
    <n v="4.2"/>
    <x v="0"/>
    <n v="4.4000000000000004"/>
    <x v="44"/>
    <n v="2069"/>
    <x v="0"/>
    <n v="71.2"/>
    <s v="Software Engineer"/>
    <n v="-35.9"/>
    <n v="-7.2"/>
    <x v="341"/>
    <n v="5.3"/>
    <n v="7.7"/>
    <n v="6.4"/>
    <s v="Stable"/>
  </r>
  <r>
    <s v="T757"/>
    <x v="1"/>
    <x v="1"/>
    <x v="4"/>
    <x v="2"/>
    <s v="Jan"/>
    <x v="1"/>
    <x v="727"/>
    <n v="8.1"/>
    <x v="2"/>
    <n v="11.1"/>
    <x v="48"/>
    <n v="932"/>
    <x v="0"/>
    <n v="63.8"/>
    <s v="Product Manager"/>
    <n v="-20.2"/>
    <n v="49.7"/>
    <x v="376"/>
    <n v="8.5"/>
    <n v="6.4"/>
    <n v="7.1"/>
    <s v="Stable"/>
  </r>
  <r>
    <s v="T758"/>
    <x v="6"/>
    <x v="1"/>
    <x v="4"/>
    <x v="0"/>
    <s v="Oct"/>
    <x v="0"/>
    <x v="728"/>
    <n v="9.1999999999999993"/>
    <x v="2"/>
    <n v="10.9"/>
    <x v="5"/>
    <n v="4388"/>
    <x v="0"/>
    <n v="88.8"/>
    <s v="ML Engineer"/>
    <n v="2.9"/>
    <n v="25.6"/>
    <x v="157"/>
    <n v="7.1"/>
    <n v="7"/>
    <n v="5"/>
    <s v="Stable"/>
  </r>
  <r>
    <s v="T759"/>
    <x v="9"/>
    <x v="0"/>
    <x v="4"/>
    <x v="0"/>
    <s v="Jan"/>
    <x v="0"/>
    <x v="729"/>
    <n v="36.5"/>
    <x v="3"/>
    <n v="11.1"/>
    <x v="5"/>
    <n v="2666"/>
    <x v="2"/>
    <n v="32.299999999999997"/>
    <s v="ML Engineer"/>
    <n v="-1.8"/>
    <n v="27.1"/>
    <x v="207"/>
    <n v="9.9"/>
    <n v="5.7"/>
    <n v="2.8"/>
    <s v="Recession"/>
  </r>
  <r>
    <s v="T760"/>
    <x v="4"/>
    <x v="0"/>
    <x v="4"/>
    <x v="1"/>
    <s v="Jan"/>
    <x v="1"/>
    <x v="730"/>
    <n v="2.8"/>
    <x v="0"/>
    <n v="6.4"/>
    <x v="34"/>
    <n v="6864"/>
    <x v="3"/>
    <n v="17.8"/>
    <s v="ML Engineer"/>
    <n v="88.4"/>
    <n v="6.8"/>
    <x v="146"/>
    <n v="6.3"/>
    <n v="6.8"/>
    <n v="8.1"/>
    <s v="Stable"/>
  </r>
  <r>
    <s v="T761"/>
    <x v="8"/>
    <x v="6"/>
    <x v="5"/>
    <x v="3"/>
    <s v="Jun"/>
    <x v="1"/>
    <x v="731"/>
    <n v="2.7"/>
    <x v="2"/>
    <n v="7.4"/>
    <x v="61"/>
    <n v="3773"/>
    <x v="0"/>
    <n v="50.8"/>
    <s v="DevOps Engineer"/>
    <n v="-29.4"/>
    <n v="-7"/>
    <x v="129"/>
    <n v="9.3000000000000007"/>
    <n v="5.7"/>
    <n v="7.4"/>
    <s v="Bull Market"/>
  </r>
  <r>
    <s v="T762"/>
    <x v="5"/>
    <x v="3"/>
    <x v="0"/>
    <x v="1"/>
    <s v="Jun"/>
    <x v="0"/>
    <x v="732"/>
    <n v="9"/>
    <x v="4"/>
    <n v="1.7"/>
    <x v="4"/>
    <n v="5432"/>
    <x v="0"/>
    <n v="34.1"/>
    <s v="Software Engineer"/>
    <n v="11.9"/>
    <n v="22.8"/>
    <x v="77"/>
    <n v="1"/>
    <n v="5.5"/>
    <n v="6.4"/>
    <s v="Stable"/>
  </r>
  <r>
    <s v="T763"/>
    <x v="2"/>
    <x v="0"/>
    <x v="3"/>
    <x v="0"/>
    <s v="Aug"/>
    <x v="0"/>
    <x v="733"/>
    <n v="2.9"/>
    <x v="1"/>
    <n v="6"/>
    <x v="60"/>
    <n v="8309"/>
    <x v="3"/>
    <n v="23.8"/>
    <s v="ML Engineer"/>
    <n v="23.7"/>
    <n v="-12.5"/>
    <x v="114"/>
    <n v="7.1"/>
    <n v="4.8"/>
    <n v="5.5"/>
    <s v="Bull Market"/>
  </r>
  <r>
    <s v="T764"/>
    <x v="14"/>
    <x v="1"/>
    <x v="5"/>
    <x v="1"/>
    <s v="Jul"/>
    <x v="1"/>
    <x v="734"/>
    <n v="18"/>
    <x v="0"/>
    <n v="9.6"/>
    <x v="5"/>
    <n v="596"/>
    <x v="1"/>
    <n v="70.8"/>
    <s v="Cybersecurity Analyst"/>
    <n v="18"/>
    <n v="50.2"/>
    <x v="238"/>
    <n v="6.5"/>
    <n v="7.8"/>
    <n v="4.8"/>
    <s v="Stable"/>
  </r>
  <r>
    <s v="T765"/>
    <x v="8"/>
    <x v="4"/>
    <x v="5"/>
    <x v="1"/>
    <s v="May"/>
    <x v="2"/>
    <x v="735"/>
    <n v="11.3"/>
    <x v="3"/>
    <n v="14.1"/>
    <x v="5"/>
    <n v="1390"/>
    <x v="0"/>
    <n v="28.8"/>
    <s v="ML Engineer"/>
    <n v="75.900000000000006"/>
    <n v="39.200000000000003"/>
    <x v="377"/>
    <n v="8.6"/>
    <n v="8.4"/>
    <n v="7"/>
    <s v="Stable"/>
  </r>
  <r>
    <s v="T766"/>
    <x v="1"/>
    <x v="4"/>
    <x v="0"/>
    <x v="1"/>
    <s v="Sep"/>
    <x v="0"/>
    <x v="736"/>
    <n v="20.9"/>
    <x v="3"/>
    <n v="2.6"/>
    <x v="75"/>
    <n v="1417"/>
    <x v="2"/>
    <n v="29.4"/>
    <s v="ML Engineer"/>
    <n v="-21.3"/>
    <n v="47.6"/>
    <x v="98"/>
    <n v="1.9"/>
    <n v="5.5"/>
    <n v="6.6"/>
    <s v="Recession"/>
  </r>
  <r>
    <s v="T767"/>
    <x v="1"/>
    <x v="6"/>
    <x v="2"/>
    <x v="2"/>
    <s v="Jan"/>
    <x v="0"/>
    <x v="737"/>
    <n v="8.4"/>
    <x v="0"/>
    <n v="11.5"/>
    <x v="11"/>
    <n v="534"/>
    <x v="0"/>
    <n v="79.8"/>
    <s v="Cloud Engineer"/>
    <n v="24.5"/>
    <n v="-20.7"/>
    <x v="278"/>
    <n v="7.4"/>
    <n v="5"/>
    <n v="4.4000000000000004"/>
    <s v="Bull Market"/>
  </r>
  <r>
    <s v="T768"/>
    <x v="9"/>
    <x v="0"/>
    <x v="1"/>
    <x v="1"/>
    <s v="Jun"/>
    <x v="2"/>
    <x v="358"/>
    <n v="7.3"/>
    <x v="0"/>
    <n v="5.9"/>
    <x v="56"/>
    <n v="6988"/>
    <x v="0"/>
    <n v="45.7"/>
    <s v="Data Scientist"/>
    <n v="8.1999999999999993"/>
    <n v="30.6"/>
    <x v="105"/>
    <n v="4.3"/>
    <n v="7.7"/>
    <n v="6"/>
    <s v="Bull Market"/>
  </r>
  <r>
    <s v="T769"/>
    <x v="2"/>
    <x v="3"/>
    <x v="4"/>
    <x v="2"/>
    <s v="Dec"/>
    <x v="0"/>
    <x v="738"/>
    <n v="8.8000000000000007"/>
    <x v="0"/>
    <n v="1.7"/>
    <x v="6"/>
    <n v="1972"/>
    <x v="1"/>
    <n v="52.1"/>
    <s v="ML Engineer"/>
    <n v="50.8"/>
    <n v="49.7"/>
    <x v="2"/>
    <n v="2.7"/>
    <n v="6.7"/>
    <n v="7.5"/>
    <s v="Stable"/>
  </r>
  <r>
    <s v="T770"/>
    <x v="0"/>
    <x v="0"/>
    <x v="1"/>
    <x v="2"/>
    <s v="Aug"/>
    <x v="0"/>
    <x v="739"/>
    <n v="5.6"/>
    <x v="4"/>
    <n v="9.6999999999999993"/>
    <x v="5"/>
    <n v="5755"/>
    <x v="0"/>
    <n v="47.2"/>
    <s v="Data Scientist"/>
    <n v="-11.2"/>
    <n v="12.5"/>
    <x v="18"/>
    <n v="6.2"/>
    <n v="8.3000000000000007"/>
    <n v="6.7"/>
    <s v="Bull Market"/>
  </r>
  <r>
    <s v="T771"/>
    <x v="12"/>
    <x v="0"/>
    <x v="0"/>
    <x v="0"/>
    <s v="Jun"/>
    <x v="2"/>
    <x v="740"/>
    <n v="8.4"/>
    <x v="2"/>
    <n v="2.1"/>
    <x v="22"/>
    <n v="1417"/>
    <x v="2"/>
    <n v="35"/>
    <s v="ML Engineer"/>
    <n v="-1.2"/>
    <n v="-18.3"/>
    <x v="74"/>
    <n v="2.4"/>
    <n v="4.0999999999999996"/>
    <n v="6.8"/>
    <s v="Bull Market"/>
  </r>
  <r>
    <s v="T772"/>
    <x v="16"/>
    <x v="2"/>
    <x v="5"/>
    <x v="3"/>
    <s v="Oct"/>
    <x v="1"/>
    <x v="741"/>
    <n v="2.9"/>
    <x v="4"/>
    <n v="1"/>
    <x v="88"/>
    <n v="2362"/>
    <x v="1"/>
    <n v="30"/>
    <s v="Software Engineer"/>
    <n v="-3.5"/>
    <n v="21.3"/>
    <x v="59"/>
    <n v="1.1000000000000001"/>
    <n v="6"/>
    <n v="8.6"/>
    <s v="Bull Market"/>
  </r>
  <r>
    <s v="T773"/>
    <x v="2"/>
    <x v="2"/>
    <x v="2"/>
    <x v="0"/>
    <s v="Aug"/>
    <x v="2"/>
    <x v="553"/>
    <n v="7.2"/>
    <x v="2"/>
    <n v="5"/>
    <x v="16"/>
    <n v="3738"/>
    <x v="0"/>
    <n v="47.8"/>
    <s v="Product Manager"/>
    <n v="-14"/>
    <n v="30.1"/>
    <x v="347"/>
    <n v="6.8"/>
    <n v="6.6"/>
    <n v="6.9"/>
    <s v="Bull Market"/>
  </r>
  <r>
    <s v="T774"/>
    <x v="12"/>
    <x v="0"/>
    <x v="5"/>
    <x v="2"/>
    <s v="Aug"/>
    <x v="2"/>
    <x v="742"/>
    <n v="8"/>
    <x v="1"/>
    <n v="2"/>
    <x v="46"/>
    <n v="6473"/>
    <x v="0"/>
    <n v="40"/>
    <s v="ML Engineer"/>
    <n v="89.8"/>
    <n v="51.4"/>
    <x v="378"/>
    <n v="1.3"/>
    <n v="8.9"/>
    <n v="8.3000000000000007"/>
    <s v="Bull Market"/>
  </r>
  <r>
    <s v="T775"/>
    <x v="16"/>
    <x v="2"/>
    <x v="2"/>
    <x v="0"/>
    <s v="Sep"/>
    <x v="1"/>
    <x v="743"/>
    <n v="7"/>
    <x v="0"/>
    <n v="14.2"/>
    <x v="5"/>
    <n v="5582"/>
    <x v="0"/>
    <n v="44"/>
    <s v="Product Manager"/>
    <n v="-6.4"/>
    <n v="14.3"/>
    <x v="60"/>
    <n v="9"/>
    <n v="7.7"/>
    <n v="5.5"/>
    <s v="Stable"/>
  </r>
  <r>
    <s v="T776"/>
    <x v="10"/>
    <x v="3"/>
    <x v="0"/>
    <x v="0"/>
    <s v="Nov"/>
    <x v="2"/>
    <x v="744"/>
    <n v="8.3000000000000007"/>
    <x v="1"/>
    <n v="9.1"/>
    <x v="5"/>
    <n v="2770"/>
    <x v="0"/>
    <n v="54.1"/>
    <s v="Data Scientist"/>
    <n v="-37.299999999999997"/>
    <n v="-17.5"/>
    <x v="167"/>
    <n v="9.5"/>
    <n v="4.3"/>
    <n v="4.5999999999999996"/>
    <s v="Bull Market"/>
  </r>
  <r>
    <s v="T777"/>
    <x v="10"/>
    <x v="3"/>
    <x v="0"/>
    <x v="2"/>
    <s v="Jun"/>
    <x v="0"/>
    <x v="745"/>
    <n v="15.4"/>
    <x v="1"/>
    <n v="2.9"/>
    <x v="17"/>
    <n v="5695"/>
    <x v="1"/>
    <n v="60.9"/>
    <s v="Software Engineer"/>
    <n v="71.8"/>
    <n v="-0.8"/>
    <x v="340"/>
    <n v="2.8"/>
    <n v="5.9"/>
    <n v="5"/>
    <s v="Stable"/>
  </r>
  <r>
    <s v="T778"/>
    <x v="2"/>
    <x v="2"/>
    <x v="2"/>
    <x v="2"/>
    <s v="Apr"/>
    <x v="1"/>
    <x v="746"/>
    <n v="3.5"/>
    <x v="4"/>
    <n v="12.8"/>
    <x v="57"/>
    <n v="5672"/>
    <x v="3"/>
    <n v="51.6"/>
    <s v="Product Manager"/>
    <n v="-34.6"/>
    <n v="-13.7"/>
    <x v="41"/>
    <n v="9.8000000000000007"/>
    <n v="8.3000000000000007"/>
    <n v="5.8"/>
    <s v="Stable"/>
  </r>
  <r>
    <s v="T779"/>
    <x v="12"/>
    <x v="5"/>
    <x v="3"/>
    <x v="2"/>
    <s v="May"/>
    <x v="1"/>
    <x v="747"/>
    <n v="19.2"/>
    <x v="1"/>
    <n v="14.7"/>
    <x v="26"/>
    <n v="1795"/>
    <x v="1"/>
    <n v="14.9"/>
    <s v="ML Engineer"/>
    <n v="81.3"/>
    <n v="38.1"/>
    <x v="98"/>
    <n v="9.1999999999999993"/>
    <n v="6.4"/>
    <n v="4.7"/>
    <s v="Recession"/>
  </r>
  <r>
    <s v="T780"/>
    <x v="1"/>
    <x v="4"/>
    <x v="1"/>
    <x v="1"/>
    <s v="Sep"/>
    <x v="2"/>
    <x v="748"/>
    <n v="2.2999999999999998"/>
    <x v="3"/>
    <n v="1.6"/>
    <x v="59"/>
    <n v="4975"/>
    <x v="0"/>
    <n v="68"/>
    <s v="ML Engineer"/>
    <n v="84"/>
    <n v="-24.3"/>
    <x v="379"/>
    <n v="2.6"/>
    <n v="5.3"/>
    <n v="6.6"/>
    <s v="Bull Market"/>
  </r>
  <r>
    <s v="T781"/>
    <x v="14"/>
    <x v="1"/>
    <x v="3"/>
    <x v="3"/>
    <s v="Jul"/>
    <x v="0"/>
    <x v="749"/>
    <n v="13.4"/>
    <x v="2"/>
    <n v="9.4"/>
    <x v="5"/>
    <n v="3805"/>
    <x v="1"/>
    <n v="22.5"/>
    <s v="Cybersecurity Analyst"/>
    <n v="-3.1"/>
    <n v="23.1"/>
    <x v="280"/>
    <n v="5.7"/>
    <n v="7.4"/>
    <n v="6.2"/>
    <s v="Stable"/>
  </r>
  <r>
    <s v="T782"/>
    <x v="4"/>
    <x v="0"/>
    <x v="4"/>
    <x v="1"/>
    <s v="Jan"/>
    <x v="0"/>
    <x v="750"/>
    <n v="6.1"/>
    <x v="1"/>
    <n v="3.6"/>
    <x v="83"/>
    <n v="4723"/>
    <x v="1"/>
    <n v="78.099999999999994"/>
    <s v="ML Engineer"/>
    <n v="57.2"/>
    <n v="26.2"/>
    <x v="319"/>
    <n v="2.8"/>
    <n v="5.8"/>
    <n v="6.8"/>
    <s v="Bull Market"/>
  </r>
  <r>
    <s v="T783"/>
    <x v="9"/>
    <x v="1"/>
    <x v="4"/>
    <x v="1"/>
    <s v="Nov"/>
    <x v="0"/>
    <x v="751"/>
    <n v="6.2"/>
    <x v="4"/>
    <n v="4.5"/>
    <x v="63"/>
    <n v="5832"/>
    <x v="0"/>
    <n v="71.5"/>
    <s v="Frontend Developer"/>
    <n v="-23.3"/>
    <n v="53.1"/>
    <x v="130"/>
    <n v="5"/>
    <n v="10"/>
    <n v="7.1"/>
    <s v="Bull Market"/>
  </r>
  <r>
    <s v="T784"/>
    <x v="2"/>
    <x v="3"/>
    <x v="0"/>
    <x v="2"/>
    <s v="Sep"/>
    <x v="1"/>
    <x v="752"/>
    <n v="7.5"/>
    <x v="1"/>
    <n v="3.3"/>
    <x v="76"/>
    <n v="5836"/>
    <x v="0"/>
    <n v="77"/>
    <s v="Cybersecurity Analyst"/>
    <n v="81.900000000000006"/>
    <n v="23.4"/>
    <x v="43"/>
    <n v="3.8"/>
    <n v="5.5"/>
    <n v="7.2"/>
    <s v="Stable"/>
  </r>
  <r>
    <s v="T785"/>
    <x v="13"/>
    <x v="5"/>
    <x v="3"/>
    <x v="2"/>
    <s v="Mar"/>
    <x v="1"/>
    <x v="753"/>
    <n v="16.5"/>
    <x v="4"/>
    <n v="3.5"/>
    <x v="31"/>
    <n v="2010"/>
    <x v="1"/>
    <n v="87.2"/>
    <s v="Product Manager"/>
    <n v="-23.4"/>
    <n v="-1.5"/>
    <x v="380"/>
    <n v="5.3"/>
    <n v="4.4000000000000004"/>
    <n v="4.7"/>
    <s v="Stable"/>
  </r>
  <r>
    <s v="T786"/>
    <x v="11"/>
    <x v="6"/>
    <x v="3"/>
    <x v="3"/>
    <s v="Mar"/>
    <x v="0"/>
    <x v="754"/>
    <n v="9.4"/>
    <x v="2"/>
    <n v="1.4"/>
    <x v="88"/>
    <n v="2055"/>
    <x v="1"/>
    <n v="42"/>
    <s v="Data Scientist"/>
    <n v="4.9000000000000004"/>
    <n v="27.2"/>
    <x v="169"/>
    <n v="1.9"/>
    <n v="5.3"/>
    <n v="6.4"/>
    <s v="Bull Market"/>
  </r>
  <r>
    <s v="T787"/>
    <x v="19"/>
    <x v="0"/>
    <x v="1"/>
    <x v="1"/>
    <s v="Aug"/>
    <x v="0"/>
    <x v="755"/>
    <n v="0.5"/>
    <x v="2"/>
    <n v="5.6"/>
    <x v="76"/>
    <n v="7492"/>
    <x v="3"/>
    <n v="85.5"/>
    <s v="ML Engineer"/>
    <n v="-42.9"/>
    <n v="37"/>
    <x v="182"/>
    <n v="5.9"/>
    <n v="9.5"/>
    <n v="8.9"/>
    <s v="Bull Market"/>
  </r>
  <r>
    <s v="T788"/>
    <x v="19"/>
    <x v="0"/>
    <x v="2"/>
    <x v="0"/>
    <s v="Sep"/>
    <x v="1"/>
    <x v="756"/>
    <n v="2.7"/>
    <x v="1"/>
    <n v="4.4000000000000004"/>
    <x v="48"/>
    <n v="5896"/>
    <x v="0"/>
    <n v="50.9"/>
    <s v="Data Scientist"/>
    <n v="60.4"/>
    <n v="41.1"/>
    <x v="381"/>
    <n v="4.8"/>
    <n v="7.8"/>
    <n v="6.4"/>
    <s v="Bull Market"/>
  </r>
  <r>
    <s v="T789"/>
    <x v="2"/>
    <x v="0"/>
    <x v="3"/>
    <x v="0"/>
    <s v="Dec"/>
    <x v="2"/>
    <x v="757"/>
    <n v="4.3"/>
    <x v="2"/>
    <n v="5.0999999999999996"/>
    <x v="23"/>
    <n v="2079"/>
    <x v="0"/>
    <n v="86.5"/>
    <s v="Data Scientist"/>
    <n v="41.3"/>
    <n v="15.7"/>
    <x v="382"/>
    <n v="4.8"/>
    <n v="5.5"/>
    <n v="6.8"/>
    <s v="Stable"/>
  </r>
  <r>
    <s v="T790"/>
    <x v="2"/>
    <x v="0"/>
    <x v="3"/>
    <x v="2"/>
    <s v="Sep"/>
    <x v="1"/>
    <x v="758"/>
    <n v="11.7"/>
    <x v="3"/>
    <n v="12.1"/>
    <x v="5"/>
    <n v="5161"/>
    <x v="0"/>
    <n v="34.299999999999997"/>
    <s v="Data Scientist"/>
    <n v="-5.6"/>
    <n v="21.3"/>
    <x v="45"/>
    <n v="9"/>
    <n v="6.1"/>
    <n v="4.5"/>
    <s v="Stable"/>
  </r>
  <r>
    <s v="T791"/>
    <x v="10"/>
    <x v="3"/>
    <x v="1"/>
    <x v="3"/>
    <s v="Nov"/>
    <x v="1"/>
    <x v="759"/>
    <n v="16.8"/>
    <x v="2"/>
    <n v="4.5999999999999996"/>
    <x v="83"/>
    <n v="212"/>
    <x v="1"/>
    <n v="25.2"/>
    <s v="Frontend Developer"/>
    <n v="74.5"/>
    <n v="15.1"/>
    <x v="186"/>
    <n v="5.8"/>
    <n v="5"/>
    <n v="6.2"/>
    <s v="Recession"/>
  </r>
  <r>
    <s v="T792"/>
    <x v="18"/>
    <x v="0"/>
    <x v="1"/>
    <x v="0"/>
    <s v="Oct"/>
    <x v="2"/>
    <x v="760"/>
    <n v="8.6999999999999993"/>
    <x v="0"/>
    <n v="5.9"/>
    <x v="86"/>
    <n v="1182"/>
    <x v="1"/>
    <n v="45.2"/>
    <s v="ML Engineer"/>
    <n v="-16.2"/>
    <n v="23.8"/>
    <x v="383"/>
    <n v="5.2"/>
    <n v="5.0999999999999996"/>
    <n v="5.4"/>
    <s v="Stable"/>
  </r>
  <r>
    <s v="T793"/>
    <x v="17"/>
    <x v="0"/>
    <x v="0"/>
    <x v="2"/>
    <s v="Dec"/>
    <x v="0"/>
    <x v="761"/>
    <n v="1.6"/>
    <x v="1"/>
    <n v="3.4"/>
    <x v="42"/>
    <n v="2845"/>
    <x v="0"/>
    <n v="14.2"/>
    <s v="Data Scientist"/>
    <n v="-19.3"/>
    <n v="18.7"/>
    <x v="45"/>
    <n v="5.6"/>
    <n v="8.6999999999999993"/>
    <n v="8.5"/>
    <s v="Stable"/>
  </r>
  <r>
    <s v="T794"/>
    <x v="17"/>
    <x v="3"/>
    <x v="1"/>
    <x v="0"/>
    <s v="Oct"/>
    <x v="2"/>
    <x v="762"/>
    <n v="4.8"/>
    <x v="3"/>
    <n v="6.8"/>
    <x v="22"/>
    <n v="1085"/>
    <x v="1"/>
    <n v="16.7"/>
    <s v="DevOps Engineer"/>
    <n v="71.5"/>
    <n v="26.6"/>
    <x v="319"/>
    <n v="4.5"/>
    <n v="7.4"/>
    <n v="6.8"/>
    <s v="Stable"/>
  </r>
  <r>
    <s v="T795"/>
    <x v="18"/>
    <x v="0"/>
    <x v="1"/>
    <x v="3"/>
    <s v="Aug"/>
    <x v="0"/>
    <x v="763"/>
    <n v="17.3"/>
    <x v="0"/>
    <n v="5.8"/>
    <x v="69"/>
    <n v="7748"/>
    <x v="0"/>
    <n v="17.7"/>
    <s v="ML Engineer"/>
    <n v="-41.1"/>
    <n v="-0.4"/>
    <x v="276"/>
    <n v="6.5"/>
    <n v="6.6"/>
    <n v="4.4000000000000004"/>
    <s v="Stable"/>
  </r>
  <r>
    <s v="T796"/>
    <x v="15"/>
    <x v="2"/>
    <x v="5"/>
    <x v="0"/>
    <s v="Sep"/>
    <x v="0"/>
    <x v="764"/>
    <n v="16"/>
    <x v="3"/>
    <n v="1.8"/>
    <x v="23"/>
    <n v="1818"/>
    <x v="2"/>
    <n v="84.7"/>
    <s v="Software Engineer"/>
    <n v="-9"/>
    <n v="-0.8"/>
    <x v="300"/>
    <n v="2.8"/>
    <n v="6.3"/>
    <n v="4.5"/>
    <s v="Stable"/>
  </r>
  <r>
    <s v="T797"/>
    <x v="15"/>
    <x v="2"/>
    <x v="1"/>
    <x v="2"/>
    <s v="Sep"/>
    <x v="1"/>
    <x v="178"/>
    <n v="6.2"/>
    <x v="2"/>
    <n v="4.9000000000000004"/>
    <x v="40"/>
    <n v="1385"/>
    <x v="1"/>
    <n v="19.8"/>
    <s v="Frontend Developer"/>
    <n v="2.5"/>
    <n v="11.2"/>
    <x v="173"/>
    <n v="2.9"/>
    <n v="8.6"/>
    <n v="6.3"/>
    <s v="Bull Market"/>
  </r>
  <r>
    <s v="T798"/>
    <x v="2"/>
    <x v="3"/>
    <x v="3"/>
    <x v="2"/>
    <s v="Apr"/>
    <x v="0"/>
    <x v="765"/>
    <n v="8.5"/>
    <x v="1"/>
    <n v="4.8"/>
    <x v="52"/>
    <n v="4364"/>
    <x v="1"/>
    <n v="67.5"/>
    <s v="ML Engineer"/>
    <n v="47.2"/>
    <n v="-8.6"/>
    <x v="38"/>
    <n v="4"/>
    <n v="7.1"/>
    <n v="6.1"/>
    <s v="Bull Market"/>
  </r>
  <r>
    <s v="T799"/>
    <x v="0"/>
    <x v="1"/>
    <x v="5"/>
    <x v="3"/>
    <s v="Dec"/>
    <x v="1"/>
    <x v="766"/>
    <n v="27.3"/>
    <x v="2"/>
    <n v="5.2"/>
    <x v="5"/>
    <n v="1543"/>
    <x v="2"/>
    <n v="88"/>
    <s v="Cybersecurity Analyst"/>
    <n v="-33.799999999999997"/>
    <n v="33.5"/>
    <x v="14"/>
    <n v="4.8"/>
    <n v="7.2"/>
    <n v="3.6"/>
    <s v="Recession"/>
  </r>
  <r>
    <s v="T800"/>
    <x v="19"/>
    <x v="0"/>
    <x v="3"/>
    <x v="2"/>
    <s v="Feb"/>
    <x v="1"/>
    <x v="767"/>
    <n v="35.299999999999997"/>
    <x v="1"/>
    <n v="14.1"/>
    <x v="5"/>
    <n v="9385"/>
    <x v="0"/>
    <n v="25.8"/>
    <s v="ML Engineer"/>
    <n v="26"/>
    <n v="58.9"/>
    <x v="384"/>
    <n v="9.3000000000000007"/>
    <n v="5.5"/>
    <n v="3.8"/>
    <s v="Recession"/>
  </r>
  <r>
    <s v="T801"/>
    <x v="2"/>
    <x v="5"/>
    <x v="3"/>
    <x v="2"/>
    <s v="Mar"/>
    <x v="0"/>
    <x v="768"/>
    <n v="4.7"/>
    <x v="4"/>
    <n v="6.6"/>
    <x v="10"/>
    <n v="5453"/>
    <x v="0"/>
    <n v="85.5"/>
    <s v="Data Scientist"/>
    <n v="82.2"/>
    <n v="-6.9"/>
    <x v="134"/>
    <n v="7.3"/>
    <n v="6.4"/>
    <n v="6.1"/>
    <s v="Bull Market"/>
  </r>
  <r>
    <s v="T802"/>
    <x v="0"/>
    <x v="5"/>
    <x v="4"/>
    <x v="1"/>
    <s v="Jan"/>
    <x v="1"/>
    <x v="769"/>
    <n v="31.6"/>
    <x v="1"/>
    <n v="4.5999999999999996"/>
    <x v="5"/>
    <n v="463"/>
    <x v="1"/>
    <n v="84.2"/>
    <s v="Cybersecurity Analyst"/>
    <n v="-12.3"/>
    <n v="-10.7"/>
    <x v="170"/>
    <n v="7.2"/>
    <n v="2.2999999999999998"/>
    <n v="1.8"/>
    <s v="Recession"/>
  </r>
  <r>
    <s v="T803"/>
    <x v="9"/>
    <x v="0"/>
    <x v="3"/>
    <x v="0"/>
    <s v="Nov"/>
    <x v="0"/>
    <x v="770"/>
    <n v="7"/>
    <x v="3"/>
    <n v="12.4"/>
    <x v="5"/>
    <n v="1415"/>
    <x v="0"/>
    <n v="62.9"/>
    <s v="Data Scientist"/>
    <n v="39.5"/>
    <n v="10.1"/>
    <x v="96"/>
    <n v="8"/>
    <n v="8.1"/>
    <n v="6.4"/>
    <s v="Bull Market"/>
  </r>
  <r>
    <s v="T804"/>
    <x v="10"/>
    <x v="3"/>
    <x v="1"/>
    <x v="3"/>
    <s v="Aug"/>
    <x v="1"/>
    <x v="771"/>
    <n v="9.9"/>
    <x v="3"/>
    <n v="14.3"/>
    <x v="5"/>
    <n v="2364"/>
    <x v="0"/>
    <n v="75.400000000000006"/>
    <s v="Data Scientist"/>
    <n v="70.400000000000006"/>
    <n v="41.7"/>
    <x v="8"/>
    <n v="9.5"/>
    <n v="6.4"/>
    <n v="6.6"/>
    <s v="Stable"/>
  </r>
  <r>
    <s v="T805"/>
    <x v="2"/>
    <x v="1"/>
    <x v="4"/>
    <x v="3"/>
    <s v="Jul"/>
    <x v="0"/>
    <x v="772"/>
    <n v="35.1"/>
    <x v="2"/>
    <n v="8.6"/>
    <x v="5"/>
    <n v="1314"/>
    <x v="2"/>
    <n v="12.7"/>
    <s v="Data Scientist"/>
    <n v="16"/>
    <n v="30.8"/>
    <x v="141"/>
    <n v="9.8000000000000007"/>
    <n v="6.2"/>
    <n v="2.7"/>
    <s v="Recession"/>
  </r>
  <r>
    <s v="T806"/>
    <x v="9"/>
    <x v="0"/>
    <x v="0"/>
    <x v="1"/>
    <s v="Sep"/>
    <x v="2"/>
    <x v="773"/>
    <n v="21.4"/>
    <x v="3"/>
    <n v="1.7"/>
    <x v="18"/>
    <n v="1886"/>
    <x v="2"/>
    <n v="61.6"/>
    <s v="ML Engineer"/>
    <n v="83.9"/>
    <n v="1"/>
    <x v="97"/>
    <n v="2.4"/>
    <n v="6.5"/>
    <n v="3.7"/>
    <s v="Recession"/>
  </r>
  <r>
    <s v="T807"/>
    <x v="6"/>
    <x v="2"/>
    <x v="4"/>
    <x v="2"/>
    <s v="Oct"/>
    <x v="0"/>
    <x v="774"/>
    <n v="1"/>
    <x v="0"/>
    <n v="3.4"/>
    <x v="62"/>
    <n v="5386"/>
    <x v="0"/>
    <n v="58.6"/>
    <s v="Cybersecurity Analyst"/>
    <n v="86.2"/>
    <n v="-12"/>
    <x v="385"/>
    <n v="3.1"/>
    <n v="6.9"/>
    <n v="6.7"/>
    <s v="Stable"/>
  </r>
  <r>
    <s v="T808"/>
    <x v="12"/>
    <x v="0"/>
    <x v="2"/>
    <x v="0"/>
    <s v="Apr"/>
    <x v="1"/>
    <x v="775"/>
    <n v="3"/>
    <x v="3"/>
    <n v="6.1"/>
    <x v="34"/>
    <n v="5436"/>
    <x v="0"/>
    <n v="46.6"/>
    <s v="ML Engineer"/>
    <n v="58.3"/>
    <n v="17.7"/>
    <x v="188"/>
    <n v="6.3"/>
    <n v="6.2"/>
    <n v="8.3000000000000007"/>
    <s v="Bull Market"/>
  </r>
  <r>
    <s v="T809"/>
    <x v="1"/>
    <x v="4"/>
    <x v="2"/>
    <x v="2"/>
    <s v="May"/>
    <x v="1"/>
    <x v="776"/>
    <n v="6.1"/>
    <x v="1"/>
    <n v="2.1"/>
    <x v="80"/>
    <n v="739"/>
    <x v="1"/>
    <n v="36.799999999999997"/>
    <s v="Frontend Developer"/>
    <n v="-27.5"/>
    <n v="32.5"/>
    <x v="386"/>
    <n v="1.8"/>
    <n v="7.8"/>
    <n v="7.7"/>
    <s v="Stable"/>
  </r>
  <r>
    <s v="T810"/>
    <x v="17"/>
    <x v="0"/>
    <x v="1"/>
    <x v="2"/>
    <s v="Mar"/>
    <x v="2"/>
    <x v="777"/>
    <n v="4.8"/>
    <x v="4"/>
    <n v="3.4"/>
    <x v="36"/>
    <n v="5554"/>
    <x v="0"/>
    <n v="75.2"/>
    <s v="Data Scientist"/>
    <n v="85"/>
    <n v="60"/>
    <x v="210"/>
    <n v="2.1"/>
    <n v="7.4"/>
    <n v="8.3000000000000007"/>
    <s v="Bull Market"/>
  </r>
  <r>
    <s v="T811"/>
    <x v="15"/>
    <x v="2"/>
    <x v="4"/>
    <x v="1"/>
    <s v="Jul"/>
    <x v="2"/>
    <x v="778"/>
    <n v="9.1"/>
    <x v="0"/>
    <n v="3.7"/>
    <x v="35"/>
    <n v="3559"/>
    <x v="0"/>
    <n v="54.8"/>
    <s v="DevOps Engineer"/>
    <n v="-15"/>
    <n v="38.1"/>
    <x v="114"/>
    <n v="5"/>
    <n v="6.3"/>
    <n v="5.6"/>
    <s v="Stable"/>
  </r>
  <r>
    <s v="T812"/>
    <x v="1"/>
    <x v="6"/>
    <x v="0"/>
    <x v="2"/>
    <s v="Mar"/>
    <x v="2"/>
    <x v="779"/>
    <n v="1.2"/>
    <x v="0"/>
    <n v="6.4"/>
    <x v="56"/>
    <n v="3567"/>
    <x v="0"/>
    <n v="20.6"/>
    <s v="Product Manager"/>
    <n v="-39.299999999999997"/>
    <n v="-2.9"/>
    <x v="108"/>
    <n v="4.7"/>
    <n v="5.6"/>
    <n v="6.7"/>
    <s v="Stable"/>
  </r>
  <r>
    <s v="T813"/>
    <x v="1"/>
    <x v="1"/>
    <x v="0"/>
    <x v="3"/>
    <s v="Oct"/>
    <x v="2"/>
    <x v="780"/>
    <n v="14.9"/>
    <x v="3"/>
    <n v="8.6"/>
    <x v="5"/>
    <n v="5840"/>
    <x v="0"/>
    <n v="17.3"/>
    <s v="Software Engineer"/>
    <n v="46.9"/>
    <n v="53.8"/>
    <x v="210"/>
    <n v="9.3000000000000007"/>
    <n v="6.9"/>
    <n v="6.8"/>
    <s v="Stable"/>
  </r>
  <r>
    <s v="T814"/>
    <x v="7"/>
    <x v="4"/>
    <x v="3"/>
    <x v="2"/>
    <s v="Sep"/>
    <x v="1"/>
    <x v="781"/>
    <n v="10.8"/>
    <x v="0"/>
    <n v="4.5999999999999996"/>
    <x v="0"/>
    <n v="5397"/>
    <x v="1"/>
    <n v="58.1"/>
    <s v="Data Scientist"/>
    <n v="28.1"/>
    <n v="42.7"/>
    <x v="263"/>
    <n v="6.1"/>
    <n v="8.1999999999999993"/>
    <n v="8"/>
    <s v="Stable"/>
  </r>
  <r>
    <s v="T815"/>
    <x v="9"/>
    <x v="1"/>
    <x v="4"/>
    <x v="3"/>
    <s v="Nov"/>
    <x v="1"/>
    <x v="782"/>
    <n v="6.1"/>
    <x v="3"/>
    <n v="2"/>
    <x v="1"/>
    <n v="3115"/>
    <x v="1"/>
    <n v="82.4"/>
    <s v="Product Manager"/>
    <n v="88.2"/>
    <n v="20.9"/>
    <x v="221"/>
    <n v="3"/>
    <n v="5.9"/>
    <n v="6.6"/>
    <s v="Bull Market"/>
  </r>
  <r>
    <s v="T816"/>
    <x v="11"/>
    <x v="6"/>
    <x v="4"/>
    <x v="2"/>
    <s v="Nov"/>
    <x v="1"/>
    <x v="783"/>
    <n v="1.6"/>
    <x v="3"/>
    <n v="5.9"/>
    <x v="48"/>
    <n v="3265"/>
    <x v="0"/>
    <n v="88.9"/>
    <s v="DevOps Engineer"/>
    <n v="30.8"/>
    <n v="22.1"/>
    <x v="125"/>
    <n v="5"/>
    <n v="9.3000000000000007"/>
    <n v="6.2"/>
    <s v="Stable"/>
  </r>
  <r>
    <s v="T817"/>
    <x v="1"/>
    <x v="6"/>
    <x v="0"/>
    <x v="1"/>
    <s v="Jun"/>
    <x v="2"/>
    <x v="576"/>
    <n v="9.6999999999999993"/>
    <x v="2"/>
    <n v="3.5"/>
    <x v="12"/>
    <n v="1478"/>
    <x v="1"/>
    <n v="64.7"/>
    <s v="Frontend Developer"/>
    <n v="73.099999999999994"/>
    <n v="30.6"/>
    <x v="108"/>
    <n v="3"/>
    <n v="8.9"/>
    <n v="7.8"/>
    <s v="Stable"/>
  </r>
  <r>
    <s v="T818"/>
    <x v="1"/>
    <x v="6"/>
    <x v="3"/>
    <x v="2"/>
    <s v="Apr"/>
    <x v="0"/>
    <x v="784"/>
    <n v="3.7"/>
    <x v="2"/>
    <n v="3.6"/>
    <x v="11"/>
    <n v="1131"/>
    <x v="1"/>
    <n v="73.400000000000006"/>
    <s v="Cybersecurity Analyst"/>
    <n v="45.9"/>
    <n v="-18.3"/>
    <x v="254"/>
    <n v="5.0999999999999996"/>
    <n v="6.1"/>
    <n v="6.5"/>
    <s v="Bull Market"/>
  </r>
  <r>
    <s v="T819"/>
    <x v="13"/>
    <x v="5"/>
    <x v="0"/>
    <x v="0"/>
    <s v="Mar"/>
    <x v="2"/>
    <x v="785"/>
    <n v="10.199999999999999"/>
    <x v="4"/>
    <n v="0.9"/>
    <x v="22"/>
    <n v="1532"/>
    <x v="1"/>
    <n v="30.5"/>
    <s v="Product Manager"/>
    <n v="36.700000000000003"/>
    <n v="26.7"/>
    <x v="132"/>
    <n v="1.4"/>
    <n v="6.7"/>
    <n v="7.5"/>
    <s v="Recession"/>
  </r>
  <r>
    <s v="T820"/>
    <x v="5"/>
    <x v="3"/>
    <x v="3"/>
    <x v="2"/>
    <s v="Jun"/>
    <x v="2"/>
    <x v="786"/>
    <n v="2.6"/>
    <x v="4"/>
    <n v="4"/>
    <x v="5"/>
    <n v="2450"/>
    <x v="0"/>
    <n v="70.900000000000006"/>
    <s v="Product Manager"/>
    <n v="23.9"/>
    <n v="29.9"/>
    <x v="100"/>
    <n v="6.3"/>
    <n v="8.4"/>
    <n v="6.6"/>
    <s v="Bull Market"/>
  </r>
  <r>
    <s v="T821"/>
    <x v="1"/>
    <x v="0"/>
    <x v="3"/>
    <x v="1"/>
    <s v="Feb"/>
    <x v="1"/>
    <x v="405"/>
    <n v="8.5"/>
    <x v="4"/>
    <n v="7.3"/>
    <x v="51"/>
    <n v="7527"/>
    <x v="0"/>
    <n v="15.8"/>
    <s v="Data Scientist"/>
    <n v="-6.9"/>
    <n v="4.3"/>
    <x v="387"/>
    <n v="5.6"/>
    <n v="8.3000000000000007"/>
    <n v="4.5999999999999996"/>
    <s v="Recession"/>
  </r>
  <r>
    <s v="T822"/>
    <x v="2"/>
    <x v="0"/>
    <x v="2"/>
    <x v="2"/>
    <s v="Sep"/>
    <x v="1"/>
    <x v="787"/>
    <n v="5.4"/>
    <x v="1"/>
    <n v="3.6"/>
    <x v="56"/>
    <n v="1173"/>
    <x v="1"/>
    <n v="52"/>
    <s v="ML Engineer"/>
    <n v="-0.4"/>
    <n v="-0.1"/>
    <x v="341"/>
    <n v="3"/>
    <n v="6.2"/>
    <n v="5.2"/>
    <s v="Stable"/>
  </r>
  <r>
    <s v="T823"/>
    <x v="11"/>
    <x v="6"/>
    <x v="1"/>
    <x v="3"/>
    <s v="Mar"/>
    <x v="0"/>
    <x v="788"/>
    <n v="23.7"/>
    <x v="1"/>
    <n v="2.2000000000000002"/>
    <x v="48"/>
    <n v="1077"/>
    <x v="2"/>
    <n v="41.5"/>
    <s v="Data Scientist"/>
    <n v="12"/>
    <n v="23.1"/>
    <x v="23"/>
    <n v="2"/>
    <n v="4.9000000000000004"/>
    <n v="4.8"/>
    <s v="Recession"/>
  </r>
  <r>
    <s v="T824"/>
    <x v="17"/>
    <x v="0"/>
    <x v="3"/>
    <x v="3"/>
    <s v="Oct"/>
    <x v="1"/>
    <x v="495"/>
    <n v="9.6"/>
    <x v="0"/>
    <n v="7"/>
    <x v="5"/>
    <n v="1205"/>
    <x v="0"/>
    <n v="23.8"/>
    <s v="Data Scientist"/>
    <n v="54.2"/>
    <n v="46.6"/>
    <x v="25"/>
    <n v="9.1"/>
    <n v="9.1999999999999993"/>
    <n v="6.9"/>
    <s v="Bull Market"/>
  </r>
  <r>
    <s v="T825"/>
    <x v="12"/>
    <x v="5"/>
    <x v="0"/>
    <x v="1"/>
    <s v="Dec"/>
    <x v="0"/>
    <x v="789"/>
    <n v="38.6"/>
    <x v="0"/>
    <n v="2.1"/>
    <x v="5"/>
    <n v="976"/>
    <x v="2"/>
    <n v="22.9"/>
    <s v="Cloud Engineer"/>
    <n v="-35.299999999999997"/>
    <n v="5"/>
    <x v="34"/>
    <n v="2.5"/>
    <n v="5.6"/>
    <n v="2.9"/>
    <s v="Recession"/>
  </r>
  <r>
    <s v="T826"/>
    <x v="1"/>
    <x v="1"/>
    <x v="4"/>
    <x v="1"/>
    <s v="Apr"/>
    <x v="2"/>
    <x v="790"/>
    <n v="13.8"/>
    <x v="1"/>
    <n v="1.3"/>
    <x v="89"/>
    <n v="5080"/>
    <x v="0"/>
    <n v="58.2"/>
    <s v="Cloud Engineer"/>
    <n v="23.4"/>
    <n v="32.200000000000003"/>
    <x v="50"/>
    <n v="1.2"/>
    <n v="8.1"/>
    <n v="7.5"/>
    <s v="Stable"/>
  </r>
  <r>
    <s v="T827"/>
    <x v="4"/>
    <x v="1"/>
    <x v="5"/>
    <x v="3"/>
    <s v="Feb"/>
    <x v="2"/>
    <x v="791"/>
    <n v="4.5999999999999996"/>
    <x v="0"/>
    <n v="14.8"/>
    <x v="5"/>
    <n v="4129"/>
    <x v="0"/>
    <n v="65.7"/>
    <s v="Data Scientist"/>
    <n v="-25.5"/>
    <n v="-18.600000000000001"/>
    <x v="348"/>
    <n v="9.3000000000000007"/>
    <n v="5"/>
    <n v="4.5"/>
    <s v="Stable"/>
  </r>
  <r>
    <s v="T828"/>
    <x v="14"/>
    <x v="1"/>
    <x v="5"/>
    <x v="2"/>
    <s v="Oct"/>
    <x v="0"/>
    <x v="456"/>
    <n v="0.2"/>
    <x v="0"/>
    <n v="10.1"/>
    <x v="63"/>
    <n v="675"/>
    <x v="0"/>
    <n v="30.6"/>
    <s v="DevOps Engineer"/>
    <n v="-10.3"/>
    <n v="-11.8"/>
    <x v="83"/>
    <n v="9.1999999999999993"/>
    <n v="7.7"/>
    <n v="6.7"/>
    <s v="Bull Market"/>
  </r>
  <r>
    <s v="T829"/>
    <x v="19"/>
    <x v="0"/>
    <x v="0"/>
    <x v="3"/>
    <s v="Apr"/>
    <x v="1"/>
    <x v="792"/>
    <n v="3.3"/>
    <x v="0"/>
    <n v="9.9"/>
    <x v="5"/>
    <n v="1408"/>
    <x v="0"/>
    <n v="68.599999999999994"/>
    <s v="ML Engineer"/>
    <n v="65.400000000000006"/>
    <n v="59.8"/>
    <x v="388"/>
    <n v="9"/>
    <n v="8"/>
    <n v="7.7"/>
    <s v="Stable"/>
  </r>
  <r>
    <s v="T830"/>
    <x v="4"/>
    <x v="1"/>
    <x v="3"/>
    <x v="2"/>
    <s v="Aug"/>
    <x v="2"/>
    <x v="793"/>
    <n v="32.799999999999997"/>
    <x v="3"/>
    <n v="9.8000000000000007"/>
    <x v="5"/>
    <n v="340"/>
    <x v="2"/>
    <n v="83.1"/>
    <s v="Cybersecurity Analyst"/>
    <n v="44.4"/>
    <n v="33.799999999999997"/>
    <x v="232"/>
    <n v="7"/>
    <n v="5.6"/>
    <n v="3.7"/>
    <s v="Recession"/>
  </r>
  <r>
    <s v="T831"/>
    <x v="6"/>
    <x v="1"/>
    <x v="1"/>
    <x v="3"/>
    <s v="Jan"/>
    <x v="0"/>
    <x v="794"/>
    <n v="0.1"/>
    <x v="1"/>
    <n v="3.2"/>
    <x v="47"/>
    <n v="1844"/>
    <x v="1"/>
    <n v="66.3"/>
    <s v="Data Scientist"/>
    <n v="-15.3"/>
    <n v="7.5"/>
    <x v="14"/>
    <n v="4.8"/>
    <n v="9.1"/>
    <n v="8"/>
    <s v="Bull Market"/>
  </r>
  <r>
    <s v="T832"/>
    <x v="9"/>
    <x v="0"/>
    <x v="5"/>
    <x v="1"/>
    <s v="May"/>
    <x v="2"/>
    <x v="795"/>
    <n v="38.1"/>
    <x v="0"/>
    <n v="3"/>
    <x v="5"/>
    <n v="3737"/>
    <x v="1"/>
    <n v="77.099999999999994"/>
    <s v="Data Scientist"/>
    <n v="63.5"/>
    <n v="-6.8"/>
    <x v="41"/>
    <n v="2"/>
    <n v="3.9"/>
    <n v="2"/>
    <s v="Recession"/>
  </r>
  <r>
    <s v="T833"/>
    <x v="17"/>
    <x v="3"/>
    <x v="2"/>
    <x v="3"/>
    <s v="Sep"/>
    <x v="1"/>
    <x v="796"/>
    <n v="11.6"/>
    <x v="0"/>
    <n v="3.8"/>
    <x v="44"/>
    <n v="860"/>
    <x v="1"/>
    <n v="39"/>
    <s v="ML Engineer"/>
    <n v="38.6"/>
    <n v="6.2"/>
    <x v="35"/>
    <n v="3.4"/>
    <n v="7.3"/>
    <n v="5.5"/>
    <s v="Stable"/>
  </r>
  <r>
    <s v="T834"/>
    <x v="2"/>
    <x v="2"/>
    <x v="2"/>
    <x v="2"/>
    <s v="Sep"/>
    <x v="1"/>
    <x v="797"/>
    <n v="5"/>
    <x v="3"/>
    <n v="4.7"/>
    <x v="39"/>
    <n v="1774"/>
    <x v="1"/>
    <n v="27.1"/>
    <s v="ML Engineer"/>
    <n v="-5.8"/>
    <n v="40.9"/>
    <x v="233"/>
    <n v="2.8"/>
    <n v="6.7"/>
    <n v="8.1"/>
    <s v="Stable"/>
  </r>
  <r>
    <s v="T835"/>
    <x v="2"/>
    <x v="5"/>
    <x v="5"/>
    <x v="3"/>
    <s v="Oct"/>
    <x v="2"/>
    <x v="798"/>
    <n v="10.7"/>
    <x v="3"/>
    <n v="15.4"/>
    <x v="14"/>
    <n v="3881"/>
    <x v="0"/>
    <n v="74.8"/>
    <s v="Data Scientist"/>
    <n v="-17.600000000000001"/>
    <n v="43.8"/>
    <x v="2"/>
    <n v="9.1"/>
    <n v="9.3000000000000007"/>
    <n v="6.6"/>
    <s v="Stable"/>
  </r>
  <r>
    <s v="T836"/>
    <x v="6"/>
    <x v="2"/>
    <x v="3"/>
    <x v="3"/>
    <s v="Jun"/>
    <x v="1"/>
    <x v="799"/>
    <n v="34.4"/>
    <x v="2"/>
    <n v="10.4"/>
    <x v="5"/>
    <n v="1730"/>
    <x v="1"/>
    <n v="13.8"/>
    <s v="Cloud Engineer"/>
    <n v="83.9"/>
    <n v="33.200000000000003"/>
    <x v="173"/>
    <n v="9"/>
    <n v="6.4"/>
    <n v="4"/>
    <s v="Recession"/>
  </r>
  <r>
    <s v="T837"/>
    <x v="7"/>
    <x v="4"/>
    <x v="0"/>
    <x v="3"/>
    <s v="Mar"/>
    <x v="2"/>
    <x v="800"/>
    <n v="7.4"/>
    <x v="4"/>
    <n v="3.9"/>
    <x v="36"/>
    <n v="1272"/>
    <x v="1"/>
    <n v="81.2"/>
    <s v="Software Engineer"/>
    <n v="31"/>
    <n v="59.5"/>
    <x v="231"/>
    <n v="2.4"/>
    <n v="9.6999999999999993"/>
    <n v="8.4"/>
    <s v="Stable"/>
  </r>
  <r>
    <s v="T838"/>
    <x v="2"/>
    <x v="2"/>
    <x v="2"/>
    <x v="1"/>
    <s v="Oct"/>
    <x v="0"/>
    <x v="801"/>
    <n v="13.4"/>
    <x v="4"/>
    <n v="7.9"/>
    <x v="26"/>
    <n v="4068"/>
    <x v="1"/>
    <n v="21.8"/>
    <s v="Frontend Developer"/>
    <n v="73.400000000000006"/>
    <n v="53.3"/>
    <x v="313"/>
    <n v="5.0999999999999996"/>
    <n v="8.1999999999999993"/>
    <n v="6.8"/>
    <s v="Stable"/>
  </r>
  <r>
    <s v="T839"/>
    <x v="4"/>
    <x v="0"/>
    <x v="2"/>
    <x v="0"/>
    <s v="May"/>
    <x v="0"/>
    <x v="802"/>
    <n v="9.5"/>
    <x v="0"/>
    <n v="13"/>
    <x v="33"/>
    <n v="1463"/>
    <x v="0"/>
    <n v="84.9"/>
    <s v="Data Scientist"/>
    <n v="38.5"/>
    <n v="10.9"/>
    <x v="258"/>
    <n v="8.3000000000000007"/>
    <n v="6.3"/>
    <n v="5.6"/>
    <s v="Stable"/>
  </r>
  <r>
    <s v="T840"/>
    <x v="7"/>
    <x v="4"/>
    <x v="1"/>
    <x v="2"/>
    <s v="Jan"/>
    <x v="1"/>
    <x v="803"/>
    <n v="7.6"/>
    <x v="0"/>
    <n v="1.1000000000000001"/>
    <x v="81"/>
    <n v="5285"/>
    <x v="0"/>
    <n v="57.1"/>
    <s v="Software Engineer"/>
    <n v="25.8"/>
    <n v="-17.3"/>
    <x v="281"/>
    <n v="1.2"/>
    <n v="6.2"/>
    <n v="5.9"/>
    <s v="Bull Market"/>
  </r>
  <r>
    <s v="T841"/>
    <x v="5"/>
    <x v="3"/>
    <x v="1"/>
    <x v="0"/>
    <s v="Jul"/>
    <x v="1"/>
    <x v="804"/>
    <n v="5.2"/>
    <x v="4"/>
    <n v="9.1"/>
    <x v="51"/>
    <n v="3727"/>
    <x v="1"/>
    <n v="22.9"/>
    <s v="Data Scientist"/>
    <n v="-15.4"/>
    <n v="25.1"/>
    <x v="106"/>
    <n v="7.2"/>
    <n v="8.6"/>
    <n v="6.4"/>
    <s v="Stable"/>
  </r>
  <r>
    <s v="T842"/>
    <x v="15"/>
    <x v="2"/>
    <x v="2"/>
    <x v="3"/>
    <s v="Oct"/>
    <x v="0"/>
    <x v="805"/>
    <n v="20.399999999999999"/>
    <x v="4"/>
    <n v="4.3"/>
    <x v="5"/>
    <n v="818"/>
    <x v="1"/>
    <n v="11.8"/>
    <s v="DevOps Engineer"/>
    <n v="-11.7"/>
    <n v="46.5"/>
    <x v="131"/>
    <n v="6.8"/>
    <n v="6.5"/>
    <n v="4.9000000000000004"/>
    <s v="Recession"/>
  </r>
  <r>
    <s v="T843"/>
    <x v="1"/>
    <x v="4"/>
    <x v="0"/>
    <x v="2"/>
    <s v="May"/>
    <x v="2"/>
    <x v="806"/>
    <n v="3.9"/>
    <x v="1"/>
    <n v="4.0999999999999996"/>
    <x v="76"/>
    <n v="1445"/>
    <x v="1"/>
    <n v="81.900000000000006"/>
    <s v="Data Scientist"/>
    <n v="78.7"/>
    <n v="44.5"/>
    <x v="389"/>
    <n v="4.4000000000000004"/>
    <n v="7.2"/>
    <n v="7.7"/>
    <s v="Stable"/>
  </r>
  <r>
    <s v="T844"/>
    <x v="1"/>
    <x v="0"/>
    <x v="2"/>
    <x v="1"/>
    <s v="Apr"/>
    <x v="1"/>
    <x v="807"/>
    <n v="28.5"/>
    <x v="0"/>
    <n v="2.1"/>
    <x v="48"/>
    <n v="8529"/>
    <x v="1"/>
    <n v="71.2"/>
    <s v="Data Scientist"/>
    <n v="-23.8"/>
    <n v="15.2"/>
    <x v="303"/>
    <n v="2.2000000000000002"/>
    <n v="6.7"/>
    <n v="2.9"/>
    <s v="Recession"/>
  </r>
  <r>
    <s v="T845"/>
    <x v="2"/>
    <x v="3"/>
    <x v="4"/>
    <x v="2"/>
    <s v="Oct"/>
    <x v="0"/>
    <x v="808"/>
    <n v="7.2"/>
    <x v="2"/>
    <n v="2.8"/>
    <x v="24"/>
    <n v="2916"/>
    <x v="1"/>
    <n v="60.1"/>
    <s v="Product Manager"/>
    <n v="49.7"/>
    <n v="51.5"/>
    <x v="49"/>
    <n v="4.3"/>
    <n v="8.4"/>
    <n v="7.8"/>
    <s v="Stable"/>
  </r>
  <r>
    <s v="T846"/>
    <x v="13"/>
    <x v="5"/>
    <x v="4"/>
    <x v="3"/>
    <s v="May"/>
    <x v="2"/>
    <x v="809"/>
    <n v="4.9000000000000004"/>
    <x v="3"/>
    <n v="6.4"/>
    <x v="82"/>
    <n v="4338"/>
    <x v="0"/>
    <n v="76.599999999999994"/>
    <s v="ML Engineer"/>
    <n v="40.6"/>
    <n v="56.3"/>
    <x v="365"/>
    <n v="8.4"/>
    <n v="9.5"/>
    <n v="8.3000000000000007"/>
    <s v="Bull Market"/>
  </r>
  <r>
    <s v="T847"/>
    <x v="1"/>
    <x v="6"/>
    <x v="4"/>
    <x v="1"/>
    <s v="Feb"/>
    <x v="2"/>
    <x v="810"/>
    <n v="0.4"/>
    <x v="0"/>
    <n v="4.3"/>
    <x v="68"/>
    <n v="4720"/>
    <x v="0"/>
    <n v="14.1"/>
    <s v="Data Scientist"/>
    <n v="79.8"/>
    <n v="27.5"/>
    <x v="2"/>
    <n v="5.8"/>
    <n v="9"/>
    <n v="7"/>
    <s v="Bull Market"/>
  </r>
  <r>
    <s v="T848"/>
    <x v="12"/>
    <x v="5"/>
    <x v="2"/>
    <x v="1"/>
    <s v="Jul"/>
    <x v="2"/>
    <x v="811"/>
    <n v="16"/>
    <x v="4"/>
    <n v="5"/>
    <x v="5"/>
    <n v="1095"/>
    <x v="1"/>
    <n v="24"/>
    <s v="Frontend Developer"/>
    <n v="33.299999999999997"/>
    <n v="46.3"/>
    <x v="181"/>
    <n v="6.2"/>
    <n v="8.4"/>
    <n v="4.9000000000000004"/>
    <s v="Recession"/>
  </r>
  <r>
    <s v="T849"/>
    <x v="6"/>
    <x v="1"/>
    <x v="4"/>
    <x v="0"/>
    <s v="Dec"/>
    <x v="2"/>
    <x v="812"/>
    <n v="19.100000000000001"/>
    <x v="0"/>
    <n v="4.8"/>
    <x v="5"/>
    <n v="625"/>
    <x v="2"/>
    <n v="57.7"/>
    <s v="Cloud Engineer"/>
    <n v="34.9"/>
    <n v="-11.4"/>
    <x v="273"/>
    <n v="4.5999999999999996"/>
    <n v="4.2"/>
    <n v="4.0999999999999996"/>
    <s v="Recession"/>
  </r>
  <r>
    <s v="T850"/>
    <x v="12"/>
    <x v="5"/>
    <x v="0"/>
    <x v="2"/>
    <s v="Apr"/>
    <x v="2"/>
    <x v="813"/>
    <n v="0.8"/>
    <x v="4"/>
    <n v="13.6"/>
    <x v="56"/>
    <n v="3829"/>
    <x v="0"/>
    <n v="30.7"/>
    <s v="Frontend Developer"/>
    <n v="45.8"/>
    <n v="37.1"/>
    <x v="318"/>
    <n v="8.1999999999999993"/>
    <n v="10"/>
    <n v="8"/>
    <s v="Bull Market"/>
  </r>
  <r>
    <s v="T851"/>
    <x v="13"/>
    <x v="5"/>
    <x v="1"/>
    <x v="2"/>
    <s v="Feb"/>
    <x v="1"/>
    <x v="814"/>
    <n v="9.5"/>
    <x v="4"/>
    <n v="5.8"/>
    <x v="0"/>
    <n v="5684"/>
    <x v="0"/>
    <n v="30.1"/>
    <s v="Software Engineer"/>
    <n v="-8"/>
    <n v="-12.6"/>
    <x v="30"/>
    <n v="4.4000000000000004"/>
    <n v="7.3"/>
    <n v="4.9000000000000004"/>
    <s v="Bull Market"/>
  </r>
  <r>
    <s v="T852"/>
    <x v="2"/>
    <x v="5"/>
    <x v="1"/>
    <x v="1"/>
    <s v="Aug"/>
    <x v="0"/>
    <x v="815"/>
    <n v="13.4"/>
    <x v="0"/>
    <n v="8.8000000000000007"/>
    <x v="78"/>
    <n v="953"/>
    <x v="1"/>
    <n v="34.299999999999997"/>
    <s v="Frontend Developer"/>
    <n v="-34.1"/>
    <n v="-22.8"/>
    <x v="390"/>
    <n v="6.6"/>
    <n v="6.2"/>
    <n v="4.5999999999999996"/>
    <s v="Recession"/>
  </r>
  <r>
    <s v="T853"/>
    <x v="8"/>
    <x v="4"/>
    <x v="5"/>
    <x v="0"/>
    <s v="Oct"/>
    <x v="2"/>
    <x v="816"/>
    <n v="15.6"/>
    <x v="1"/>
    <n v="1.5"/>
    <x v="64"/>
    <n v="418"/>
    <x v="2"/>
    <n v="65.099999999999994"/>
    <s v="Cloud Engineer"/>
    <n v="6.4"/>
    <n v="-11.7"/>
    <x v="144"/>
    <n v="1.2"/>
    <n v="5.8"/>
    <n v="4.5"/>
    <s v="Recession"/>
  </r>
  <r>
    <s v="T854"/>
    <x v="4"/>
    <x v="1"/>
    <x v="5"/>
    <x v="0"/>
    <s v="Oct"/>
    <x v="0"/>
    <x v="817"/>
    <n v="15"/>
    <x v="0"/>
    <n v="3.8"/>
    <x v="5"/>
    <n v="5911"/>
    <x v="0"/>
    <n v="51.9"/>
    <s v="Cloud Engineer"/>
    <n v="70.400000000000006"/>
    <n v="33.9"/>
    <x v="391"/>
    <n v="4.4000000000000004"/>
    <n v="7.9"/>
    <n v="6.3"/>
    <s v="Stable"/>
  </r>
  <r>
    <s v="T855"/>
    <x v="0"/>
    <x v="5"/>
    <x v="4"/>
    <x v="1"/>
    <s v="Feb"/>
    <x v="0"/>
    <x v="818"/>
    <n v="4.4000000000000004"/>
    <x v="4"/>
    <n v="9"/>
    <x v="46"/>
    <n v="941"/>
    <x v="1"/>
    <n v="74"/>
    <s v="Cybersecurity Analyst"/>
    <n v="-38.4"/>
    <n v="29.1"/>
    <x v="392"/>
    <n v="5.3"/>
    <n v="8.8000000000000007"/>
    <n v="7.5"/>
    <s v="Stable"/>
  </r>
  <r>
    <s v="T856"/>
    <x v="9"/>
    <x v="0"/>
    <x v="2"/>
    <x v="1"/>
    <s v="Jul"/>
    <x v="2"/>
    <x v="819"/>
    <n v="3.7"/>
    <x v="2"/>
    <n v="5.2"/>
    <x v="5"/>
    <n v="1283"/>
    <x v="1"/>
    <n v="69.7"/>
    <s v="Data Scientist"/>
    <n v="-16.2"/>
    <n v="19.600000000000001"/>
    <x v="267"/>
    <n v="6.9"/>
    <n v="6.2"/>
    <n v="7.2"/>
    <s v="Bull Market"/>
  </r>
  <r>
    <s v="T857"/>
    <x v="18"/>
    <x v="0"/>
    <x v="4"/>
    <x v="3"/>
    <s v="Feb"/>
    <x v="2"/>
    <x v="820"/>
    <n v="35.200000000000003"/>
    <x v="2"/>
    <n v="7.8"/>
    <x v="43"/>
    <n v="8073"/>
    <x v="1"/>
    <n v="14.2"/>
    <s v="ML Engineer"/>
    <n v="47.5"/>
    <n v="6.5"/>
    <x v="300"/>
    <n v="4.8"/>
    <n v="4"/>
    <n v="3.8"/>
    <s v="Recession"/>
  </r>
  <r>
    <s v="T858"/>
    <x v="17"/>
    <x v="0"/>
    <x v="1"/>
    <x v="3"/>
    <s v="Nov"/>
    <x v="1"/>
    <x v="821"/>
    <n v="9.6999999999999993"/>
    <x v="1"/>
    <n v="9.3000000000000007"/>
    <x v="49"/>
    <n v="9238"/>
    <x v="3"/>
    <n v="83.4"/>
    <s v="Data Scientist"/>
    <n v="-36.700000000000003"/>
    <n v="-11.7"/>
    <x v="339"/>
    <n v="8.6"/>
    <n v="6.2"/>
    <n v="4.3"/>
    <s v="Bull Market"/>
  </r>
  <r>
    <s v="T859"/>
    <x v="15"/>
    <x v="2"/>
    <x v="3"/>
    <x v="2"/>
    <s v="Feb"/>
    <x v="1"/>
    <x v="822"/>
    <n v="27.2"/>
    <x v="2"/>
    <n v="3.9"/>
    <x v="26"/>
    <n v="1579"/>
    <x v="2"/>
    <n v="27.5"/>
    <s v="Frontend Developer"/>
    <n v="52.3"/>
    <n v="51.1"/>
    <x v="392"/>
    <n v="4.7"/>
    <n v="6.6"/>
    <n v="5.7"/>
    <s v="Recession"/>
  </r>
  <r>
    <s v="T860"/>
    <x v="8"/>
    <x v="6"/>
    <x v="4"/>
    <x v="0"/>
    <s v="Oct"/>
    <x v="2"/>
    <x v="823"/>
    <n v="8.1"/>
    <x v="1"/>
    <n v="6.1"/>
    <x v="48"/>
    <n v="829"/>
    <x v="0"/>
    <n v="12.4"/>
    <s v="Data Scientist"/>
    <n v="-29.7"/>
    <n v="-11.7"/>
    <x v="101"/>
    <n v="9.1"/>
    <n v="6.5"/>
    <n v="4.8"/>
    <s v="Stable"/>
  </r>
  <r>
    <s v="T861"/>
    <x v="8"/>
    <x v="6"/>
    <x v="0"/>
    <x v="0"/>
    <s v="Nov"/>
    <x v="1"/>
    <x v="824"/>
    <n v="15.4"/>
    <x v="3"/>
    <n v="10.8"/>
    <x v="5"/>
    <n v="1620"/>
    <x v="1"/>
    <n v="39.299999999999997"/>
    <s v="Product Manager"/>
    <n v="40.9"/>
    <n v="1.7"/>
    <x v="31"/>
    <n v="8.4"/>
    <n v="6.8"/>
    <n v="5.4"/>
    <s v="Stable"/>
  </r>
  <r>
    <s v="T862"/>
    <x v="2"/>
    <x v="0"/>
    <x v="1"/>
    <x v="0"/>
    <s v="May"/>
    <x v="1"/>
    <x v="825"/>
    <n v="3.8"/>
    <x v="1"/>
    <n v="6.6"/>
    <x v="22"/>
    <n v="5964"/>
    <x v="0"/>
    <n v="25.3"/>
    <s v="ML Engineer"/>
    <n v="21.2"/>
    <n v="56.3"/>
    <x v="393"/>
    <n v="4.9000000000000004"/>
    <n v="8.6"/>
    <n v="7.9"/>
    <s v="Bull Market"/>
  </r>
  <r>
    <s v="T863"/>
    <x v="16"/>
    <x v="2"/>
    <x v="0"/>
    <x v="1"/>
    <s v="Aug"/>
    <x v="2"/>
    <x v="826"/>
    <n v="24.6"/>
    <x v="2"/>
    <n v="12.9"/>
    <x v="3"/>
    <n v="1950"/>
    <x v="1"/>
    <n v="44.3"/>
    <s v="Cloud Engineer"/>
    <n v="46.8"/>
    <n v="16.7"/>
    <x v="228"/>
    <n v="9.1"/>
    <n v="5.8"/>
    <n v="5.2"/>
    <s v="Recession"/>
  </r>
  <r>
    <s v="T864"/>
    <x v="8"/>
    <x v="6"/>
    <x v="3"/>
    <x v="3"/>
    <s v="Feb"/>
    <x v="2"/>
    <x v="638"/>
    <n v="8.8000000000000007"/>
    <x v="2"/>
    <n v="9.3000000000000007"/>
    <x v="5"/>
    <n v="306"/>
    <x v="1"/>
    <n v="26.4"/>
    <s v="ML Engineer"/>
    <n v="51.4"/>
    <n v="41.1"/>
    <x v="289"/>
    <n v="8"/>
    <n v="6.3"/>
    <n v="5.9"/>
    <s v="Recession"/>
  </r>
  <r>
    <s v="T865"/>
    <x v="1"/>
    <x v="4"/>
    <x v="0"/>
    <x v="1"/>
    <s v="Jul"/>
    <x v="2"/>
    <x v="827"/>
    <n v="32.799999999999997"/>
    <x v="4"/>
    <n v="7.6"/>
    <x v="5"/>
    <n v="87"/>
    <x v="2"/>
    <n v="79.5"/>
    <s v="Frontend Developer"/>
    <n v="51.2"/>
    <n v="-2.1"/>
    <x v="356"/>
    <n v="6"/>
    <n v="3.7"/>
    <n v="2.5"/>
    <s v="Recession"/>
  </r>
  <r>
    <s v="T866"/>
    <x v="2"/>
    <x v="2"/>
    <x v="3"/>
    <x v="3"/>
    <s v="Nov"/>
    <x v="0"/>
    <x v="828"/>
    <n v="0.5"/>
    <x v="1"/>
    <n v="7.9"/>
    <x v="25"/>
    <n v="4570"/>
    <x v="0"/>
    <n v="40.9"/>
    <s v="Cloud Engineer"/>
    <n v="23.6"/>
    <n v="11.2"/>
    <x v="326"/>
    <n v="5.9"/>
    <n v="6.7"/>
    <n v="6.7"/>
    <s v="Bull Market"/>
  </r>
  <r>
    <s v="T867"/>
    <x v="19"/>
    <x v="0"/>
    <x v="3"/>
    <x v="1"/>
    <s v="Nov"/>
    <x v="0"/>
    <x v="829"/>
    <n v="38.1"/>
    <x v="4"/>
    <n v="2.6"/>
    <x v="28"/>
    <n v="5108"/>
    <x v="1"/>
    <n v="18.8"/>
    <s v="ML Engineer"/>
    <n v="-23.7"/>
    <n v="23.7"/>
    <x v="16"/>
    <n v="1.7"/>
    <n v="2.7"/>
    <n v="2.4"/>
    <s v="Recession"/>
  </r>
  <r>
    <s v="T868"/>
    <x v="17"/>
    <x v="3"/>
    <x v="5"/>
    <x v="3"/>
    <s v="Feb"/>
    <x v="0"/>
    <x v="830"/>
    <n v="37.299999999999997"/>
    <x v="1"/>
    <n v="4.5999999999999996"/>
    <x v="5"/>
    <n v="203"/>
    <x v="2"/>
    <n v="71.099999999999994"/>
    <s v="Product Manager"/>
    <n v="-2"/>
    <n v="28.6"/>
    <x v="325"/>
    <n v="4.5"/>
    <n v="5.3"/>
    <n v="3.5"/>
    <s v="Recession"/>
  </r>
  <r>
    <s v="T869"/>
    <x v="18"/>
    <x v="0"/>
    <x v="0"/>
    <x v="3"/>
    <s v="Mar"/>
    <x v="0"/>
    <x v="787"/>
    <n v="13.9"/>
    <x v="4"/>
    <n v="6.9"/>
    <x v="8"/>
    <n v="7832"/>
    <x v="0"/>
    <n v="60.3"/>
    <s v="ML Engineer"/>
    <n v="-10.4"/>
    <n v="26.1"/>
    <x v="55"/>
    <n v="4.4000000000000004"/>
    <n v="7.8"/>
    <n v="6.4"/>
    <s v="Stable"/>
  </r>
  <r>
    <s v="T870"/>
    <x v="11"/>
    <x v="6"/>
    <x v="3"/>
    <x v="0"/>
    <s v="Jun"/>
    <x v="0"/>
    <x v="831"/>
    <n v="1.5"/>
    <x v="4"/>
    <n v="2.6"/>
    <x v="77"/>
    <n v="4091"/>
    <x v="1"/>
    <n v="55.7"/>
    <s v="Software Engineer"/>
    <n v="68.3"/>
    <n v="41.7"/>
    <x v="36"/>
    <n v="1.6"/>
    <n v="8.8000000000000007"/>
    <n v="9.6"/>
    <s v="Stable"/>
  </r>
  <r>
    <s v="T871"/>
    <x v="2"/>
    <x v="5"/>
    <x v="1"/>
    <x v="2"/>
    <s v="Oct"/>
    <x v="2"/>
    <x v="204"/>
    <n v="5.6"/>
    <x v="2"/>
    <n v="7.1"/>
    <x v="8"/>
    <n v="5195"/>
    <x v="0"/>
    <n v="25.8"/>
    <s v="Product Manager"/>
    <n v="-36.200000000000003"/>
    <n v="-6.3"/>
    <x v="144"/>
    <n v="7.3"/>
    <n v="4.5"/>
    <n v="5.5"/>
    <s v="Stable"/>
  </r>
  <r>
    <s v="T872"/>
    <x v="6"/>
    <x v="2"/>
    <x v="4"/>
    <x v="2"/>
    <s v="Nov"/>
    <x v="1"/>
    <x v="832"/>
    <n v="9.3000000000000007"/>
    <x v="0"/>
    <n v="2.2000000000000002"/>
    <x v="81"/>
    <n v="1649"/>
    <x v="1"/>
    <n v="70.7"/>
    <s v="Cybersecurity Analyst"/>
    <n v="26.4"/>
    <n v="42.3"/>
    <x v="117"/>
    <n v="2.2999999999999998"/>
    <n v="9.4"/>
    <n v="8.6"/>
    <s v="Stable"/>
  </r>
  <r>
    <s v="T873"/>
    <x v="12"/>
    <x v="5"/>
    <x v="3"/>
    <x v="2"/>
    <s v="Sep"/>
    <x v="2"/>
    <x v="833"/>
    <n v="14.7"/>
    <x v="1"/>
    <n v="7.3"/>
    <x v="5"/>
    <n v="3335"/>
    <x v="1"/>
    <n v="28"/>
    <s v="Data Scientist"/>
    <n v="25.7"/>
    <n v="-14.3"/>
    <x v="31"/>
    <n v="5.4"/>
    <n v="4.7"/>
    <n v="4.4000000000000004"/>
    <s v="Stable"/>
  </r>
  <r>
    <s v="T874"/>
    <x v="12"/>
    <x v="5"/>
    <x v="4"/>
    <x v="1"/>
    <s v="Jul"/>
    <x v="0"/>
    <x v="834"/>
    <n v="16.5"/>
    <x v="2"/>
    <n v="12"/>
    <x v="5"/>
    <n v="5912"/>
    <x v="0"/>
    <n v="37.4"/>
    <s v="Product Manager"/>
    <n v="30.9"/>
    <n v="1.7"/>
    <x v="31"/>
    <n v="8.9"/>
    <n v="7"/>
    <n v="4.5"/>
    <s v="Stable"/>
  </r>
  <r>
    <s v="T875"/>
    <x v="2"/>
    <x v="2"/>
    <x v="0"/>
    <x v="1"/>
    <s v="Feb"/>
    <x v="2"/>
    <x v="835"/>
    <n v="5.2"/>
    <x v="3"/>
    <n v="2.9"/>
    <x v="70"/>
    <n v="4440"/>
    <x v="0"/>
    <n v="38.6"/>
    <s v="Frontend Developer"/>
    <n v="-31.4"/>
    <n v="32.1"/>
    <x v="286"/>
    <n v="3.7"/>
    <n v="6.3"/>
    <n v="8.5"/>
    <s v="Stable"/>
  </r>
  <r>
    <s v="T876"/>
    <x v="9"/>
    <x v="0"/>
    <x v="3"/>
    <x v="3"/>
    <s v="Aug"/>
    <x v="0"/>
    <x v="836"/>
    <n v="5.6"/>
    <x v="2"/>
    <n v="3.8"/>
    <x v="6"/>
    <n v="2397"/>
    <x v="1"/>
    <n v="10.8"/>
    <s v="Data Scientist"/>
    <n v="27"/>
    <n v="57.7"/>
    <x v="394"/>
    <n v="3"/>
    <n v="9.1"/>
    <n v="8.5"/>
    <s v="Stable"/>
  </r>
  <r>
    <s v="T877"/>
    <x v="16"/>
    <x v="2"/>
    <x v="3"/>
    <x v="3"/>
    <s v="May"/>
    <x v="0"/>
    <x v="837"/>
    <n v="39.700000000000003"/>
    <x v="1"/>
    <n v="10.4"/>
    <x v="5"/>
    <n v="1992"/>
    <x v="2"/>
    <n v="73.2"/>
    <s v="Data Scientist"/>
    <n v="40.299999999999997"/>
    <n v="47.5"/>
    <x v="273"/>
    <n v="7.9"/>
    <n v="6.3"/>
    <n v="4.2"/>
    <s v="Recession"/>
  </r>
  <r>
    <s v="T878"/>
    <x v="17"/>
    <x v="0"/>
    <x v="0"/>
    <x v="0"/>
    <s v="Dec"/>
    <x v="0"/>
    <x v="56"/>
    <n v="3.3"/>
    <x v="4"/>
    <n v="1.3"/>
    <x v="77"/>
    <n v="6662"/>
    <x v="0"/>
    <n v="14.2"/>
    <s v="ML Engineer"/>
    <n v="11.1"/>
    <n v="43.1"/>
    <x v="395"/>
    <n v="1.1000000000000001"/>
    <n v="7.9"/>
    <n v="8.1"/>
    <s v="Bull Market"/>
  </r>
  <r>
    <s v="T879"/>
    <x v="2"/>
    <x v="0"/>
    <x v="5"/>
    <x v="1"/>
    <s v="Feb"/>
    <x v="0"/>
    <x v="838"/>
    <n v="3"/>
    <x v="2"/>
    <n v="9.1999999999999993"/>
    <x v="73"/>
    <n v="3400"/>
    <x v="0"/>
    <n v="24.6"/>
    <s v="ML Engineer"/>
    <n v="51.8"/>
    <n v="7"/>
    <x v="131"/>
    <n v="6.2"/>
    <n v="7"/>
    <n v="5.9"/>
    <s v="Stable"/>
  </r>
  <r>
    <s v="T880"/>
    <x v="12"/>
    <x v="5"/>
    <x v="0"/>
    <x v="3"/>
    <s v="Mar"/>
    <x v="0"/>
    <x v="839"/>
    <n v="1.2"/>
    <x v="0"/>
    <n v="8.9"/>
    <x v="82"/>
    <n v="3874"/>
    <x v="0"/>
    <n v="38.799999999999997"/>
    <s v="Cloud Engineer"/>
    <n v="57.7"/>
    <n v="14.1"/>
    <x v="40"/>
    <n v="5.5"/>
    <n v="7.9"/>
    <n v="6.8"/>
    <s v="Stable"/>
  </r>
  <r>
    <s v="T881"/>
    <x v="6"/>
    <x v="2"/>
    <x v="4"/>
    <x v="3"/>
    <s v="Jul"/>
    <x v="1"/>
    <x v="840"/>
    <n v="23.3"/>
    <x v="0"/>
    <n v="7.2"/>
    <x v="15"/>
    <n v="1941"/>
    <x v="1"/>
    <n v="44.9"/>
    <s v="Software Engineer"/>
    <n v="85.8"/>
    <n v="-2.4"/>
    <x v="349"/>
    <n v="5.5"/>
    <n v="5.8"/>
    <n v="2.9"/>
    <s v="Recession"/>
  </r>
  <r>
    <s v="T882"/>
    <x v="2"/>
    <x v="5"/>
    <x v="3"/>
    <x v="1"/>
    <s v="May"/>
    <x v="1"/>
    <x v="608"/>
    <n v="2.2999999999999998"/>
    <x v="1"/>
    <n v="5.4"/>
    <x v="45"/>
    <n v="4366"/>
    <x v="0"/>
    <n v="17.899999999999999"/>
    <s v="ML Engineer"/>
    <n v="9.1"/>
    <n v="38.799999999999997"/>
    <x v="219"/>
    <n v="4.4000000000000004"/>
    <n v="6.2"/>
    <n v="8.6999999999999993"/>
    <s v="Bull Market"/>
  </r>
  <r>
    <s v="T883"/>
    <x v="6"/>
    <x v="1"/>
    <x v="2"/>
    <x v="2"/>
    <s v="Aug"/>
    <x v="0"/>
    <x v="841"/>
    <n v="15.2"/>
    <x v="3"/>
    <n v="1"/>
    <x v="68"/>
    <n v="4297"/>
    <x v="1"/>
    <n v="84.6"/>
    <s v="Product Manager"/>
    <n v="61.1"/>
    <n v="39.9"/>
    <x v="95"/>
    <n v="1.6"/>
    <n v="8.8000000000000007"/>
    <n v="7.1"/>
    <s v="Stable"/>
  </r>
  <r>
    <s v="T884"/>
    <x v="2"/>
    <x v="3"/>
    <x v="2"/>
    <x v="2"/>
    <s v="Nov"/>
    <x v="2"/>
    <x v="842"/>
    <n v="37.700000000000003"/>
    <x v="3"/>
    <n v="5.4"/>
    <x v="5"/>
    <n v="1867"/>
    <x v="2"/>
    <n v="81.8"/>
    <s v="Data Scientist"/>
    <n v="87"/>
    <n v="9.1"/>
    <x v="128"/>
    <n v="5"/>
    <n v="2.9"/>
    <n v="1.7"/>
    <s v="Recession"/>
  </r>
  <r>
    <s v="T885"/>
    <x v="14"/>
    <x v="1"/>
    <x v="4"/>
    <x v="3"/>
    <s v="Aug"/>
    <x v="2"/>
    <x v="843"/>
    <n v="36"/>
    <x v="2"/>
    <n v="9.5"/>
    <x v="5"/>
    <n v="1100"/>
    <x v="2"/>
    <n v="59.2"/>
    <s v="DevOps Engineer"/>
    <n v="17.3"/>
    <n v="34.700000000000003"/>
    <x v="279"/>
    <n v="6.5"/>
    <n v="4.5"/>
    <n v="4.0999999999999996"/>
    <s v="Recession"/>
  </r>
  <r>
    <s v="T886"/>
    <x v="19"/>
    <x v="0"/>
    <x v="1"/>
    <x v="0"/>
    <s v="Nov"/>
    <x v="2"/>
    <x v="844"/>
    <n v="1"/>
    <x v="2"/>
    <n v="6.8"/>
    <x v="32"/>
    <n v="2211"/>
    <x v="1"/>
    <n v="81.3"/>
    <s v="ML Engineer"/>
    <n v="39.299999999999997"/>
    <n v="47"/>
    <x v="396"/>
    <n v="4.7"/>
    <n v="7.4"/>
    <n v="9.1999999999999993"/>
    <s v="Bull Market"/>
  </r>
  <r>
    <s v="T887"/>
    <x v="3"/>
    <x v="1"/>
    <x v="0"/>
    <x v="3"/>
    <s v="Apr"/>
    <x v="2"/>
    <x v="268"/>
    <n v="3.3"/>
    <x v="4"/>
    <n v="3.3"/>
    <x v="61"/>
    <n v="1476"/>
    <x v="1"/>
    <n v="70.599999999999994"/>
    <s v="DevOps Engineer"/>
    <n v="-31.3"/>
    <n v="39.700000000000003"/>
    <x v="131"/>
    <n v="3.7"/>
    <n v="9.9"/>
    <n v="8.5"/>
    <s v="Bull Market"/>
  </r>
  <r>
    <s v="T888"/>
    <x v="13"/>
    <x v="5"/>
    <x v="1"/>
    <x v="0"/>
    <s v="Nov"/>
    <x v="0"/>
    <x v="845"/>
    <n v="17.600000000000001"/>
    <x v="0"/>
    <n v="1"/>
    <x v="78"/>
    <n v="4689"/>
    <x v="1"/>
    <n v="66.599999999999994"/>
    <s v="Cybersecurity Analyst"/>
    <n v="38.299999999999997"/>
    <n v="25.3"/>
    <x v="229"/>
    <n v="1.1000000000000001"/>
    <n v="6.9"/>
    <n v="5.2"/>
    <s v="Stable"/>
  </r>
  <r>
    <s v="T889"/>
    <x v="17"/>
    <x v="3"/>
    <x v="2"/>
    <x v="1"/>
    <s v="Aug"/>
    <x v="1"/>
    <x v="846"/>
    <n v="6.7"/>
    <x v="0"/>
    <n v="0.7"/>
    <x v="6"/>
    <n v="4712"/>
    <x v="1"/>
    <n v="56.5"/>
    <s v="Frontend Developer"/>
    <n v="44.9"/>
    <n v="32.1"/>
    <x v="397"/>
    <n v="1.1000000000000001"/>
    <n v="9.1"/>
    <n v="8.3000000000000007"/>
    <s v="Bull Market"/>
  </r>
  <r>
    <s v="T890"/>
    <x v="0"/>
    <x v="1"/>
    <x v="2"/>
    <x v="1"/>
    <s v="Jun"/>
    <x v="2"/>
    <x v="391"/>
    <n v="6"/>
    <x v="1"/>
    <n v="14"/>
    <x v="5"/>
    <n v="3054"/>
    <x v="0"/>
    <n v="59.7"/>
    <s v="Cybersecurity Analyst"/>
    <n v="-21.4"/>
    <n v="46.5"/>
    <x v="263"/>
    <n v="8.4"/>
    <n v="9.9"/>
    <n v="6.6"/>
    <s v="Stable"/>
  </r>
  <r>
    <s v="T891"/>
    <x v="3"/>
    <x v="1"/>
    <x v="1"/>
    <x v="3"/>
    <s v="May"/>
    <x v="0"/>
    <x v="847"/>
    <n v="7.2"/>
    <x v="0"/>
    <n v="3.6"/>
    <x v="16"/>
    <n v="5263"/>
    <x v="0"/>
    <n v="30.7"/>
    <s v="Cybersecurity Analyst"/>
    <n v="18.399999999999999"/>
    <n v="26.5"/>
    <x v="398"/>
    <n v="3.4"/>
    <n v="8.9"/>
    <n v="7.2"/>
    <s v="Bull Market"/>
  </r>
  <r>
    <s v="T892"/>
    <x v="6"/>
    <x v="2"/>
    <x v="2"/>
    <x v="1"/>
    <s v="Nov"/>
    <x v="0"/>
    <x v="724"/>
    <n v="1.6"/>
    <x v="4"/>
    <n v="6"/>
    <x v="84"/>
    <n v="4723"/>
    <x v="0"/>
    <n v="13.7"/>
    <s v="Software Engineer"/>
    <n v="-1.1000000000000001"/>
    <n v="59.7"/>
    <x v="399"/>
    <n v="7.2"/>
    <n v="7.6"/>
    <n v="7.2"/>
    <s v="Bull Market"/>
  </r>
  <r>
    <s v="T893"/>
    <x v="19"/>
    <x v="0"/>
    <x v="5"/>
    <x v="0"/>
    <s v="Aug"/>
    <x v="1"/>
    <x v="848"/>
    <n v="7.6"/>
    <x v="1"/>
    <n v="4.4000000000000004"/>
    <x v="52"/>
    <n v="2598"/>
    <x v="1"/>
    <n v="15"/>
    <s v="Data Scientist"/>
    <n v="40.5"/>
    <n v="28.6"/>
    <x v="308"/>
    <n v="5.5"/>
    <n v="8.6999999999999993"/>
    <n v="7"/>
    <s v="Bull Market"/>
  </r>
  <r>
    <s v="T894"/>
    <x v="18"/>
    <x v="0"/>
    <x v="5"/>
    <x v="3"/>
    <s v="Aug"/>
    <x v="1"/>
    <x v="849"/>
    <n v="8.8000000000000007"/>
    <x v="0"/>
    <n v="9.5"/>
    <x v="5"/>
    <n v="1077"/>
    <x v="0"/>
    <n v="88.8"/>
    <s v="ML Engineer"/>
    <n v="20.100000000000001"/>
    <n v="-5.8"/>
    <x v="363"/>
    <n v="7.5"/>
    <n v="5"/>
    <n v="4.3"/>
    <s v="Bull Market"/>
  </r>
  <r>
    <s v="T895"/>
    <x v="0"/>
    <x v="2"/>
    <x v="2"/>
    <x v="1"/>
    <s v="Feb"/>
    <x v="1"/>
    <x v="850"/>
    <n v="1.5"/>
    <x v="2"/>
    <n v="5.9"/>
    <x v="7"/>
    <n v="3987"/>
    <x v="0"/>
    <n v="77.400000000000006"/>
    <s v="Software Engineer"/>
    <n v="-17.3"/>
    <n v="40.9"/>
    <x v="158"/>
    <n v="3.6"/>
    <n v="7.3"/>
    <n v="8.5"/>
    <s v="Bull Market"/>
  </r>
  <r>
    <s v="T896"/>
    <x v="7"/>
    <x v="4"/>
    <x v="5"/>
    <x v="1"/>
    <s v="Nov"/>
    <x v="0"/>
    <x v="851"/>
    <n v="28.9"/>
    <x v="1"/>
    <n v="8.8000000000000007"/>
    <x v="5"/>
    <n v="829"/>
    <x v="1"/>
    <n v="21.5"/>
    <s v="Data Scientist"/>
    <n v="11.2"/>
    <n v="3.8"/>
    <x v="295"/>
    <n v="6.2"/>
    <n v="6.8"/>
    <n v="4.0999999999999996"/>
    <s v="Recession"/>
  </r>
  <r>
    <s v="T897"/>
    <x v="0"/>
    <x v="5"/>
    <x v="5"/>
    <x v="2"/>
    <s v="Feb"/>
    <x v="2"/>
    <x v="852"/>
    <n v="6.2"/>
    <x v="4"/>
    <n v="2.5"/>
    <x v="19"/>
    <n v="2609"/>
    <x v="1"/>
    <n v="27.5"/>
    <s v="DevOps Engineer"/>
    <n v="44"/>
    <n v="-11.6"/>
    <x v="400"/>
    <n v="1.6"/>
    <n v="5.5"/>
    <n v="7.3"/>
    <s v="Bull Market"/>
  </r>
  <r>
    <s v="T898"/>
    <x v="0"/>
    <x v="1"/>
    <x v="0"/>
    <x v="2"/>
    <s v="Sep"/>
    <x v="1"/>
    <x v="742"/>
    <n v="3.3"/>
    <x v="0"/>
    <n v="3.4"/>
    <x v="70"/>
    <n v="2006"/>
    <x v="0"/>
    <n v="46.3"/>
    <s v="DevOps Engineer"/>
    <n v="36.299999999999997"/>
    <n v="-1.2"/>
    <x v="279"/>
    <n v="2"/>
    <n v="8.5"/>
    <n v="7.6"/>
    <s v="Stable"/>
  </r>
  <r>
    <s v="T899"/>
    <x v="12"/>
    <x v="0"/>
    <x v="2"/>
    <x v="0"/>
    <s v="Mar"/>
    <x v="2"/>
    <x v="853"/>
    <n v="17.899999999999999"/>
    <x v="1"/>
    <n v="14.1"/>
    <x v="5"/>
    <n v="8256"/>
    <x v="0"/>
    <n v="22.4"/>
    <s v="Data Scientist"/>
    <n v="1.1000000000000001"/>
    <n v="38.299999999999997"/>
    <x v="318"/>
    <n v="8.6999999999999993"/>
    <n v="7.7"/>
    <n v="4.9000000000000004"/>
    <s v="Stable"/>
  </r>
  <r>
    <s v="T900"/>
    <x v="19"/>
    <x v="0"/>
    <x v="2"/>
    <x v="2"/>
    <s v="Sep"/>
    <x v="0"/>
    <x v="854"/>
    <n v="3.9"/>
    <x v="1"/>
    <n v="2.8"/>
    <x v="45"/>
    <n v="4788"/>
    <x v="0"/>
    <n v="29.2"/>
    <s v="Data Scientist"/>
    <n v="21.5"/>
    <n v="19.600000000000001"/>
    <x v="232"/>
    <n v="2.9"/>
    <n v="8.8000000000000007"/>
    <n v="7.2"/>
    <s v="Stable"/>
  </r>
  <r>
    <s v="T901"/>
    <x v="2"/>
    <x v="0"/>
    <x v="2"/>
    <x v="1"/>
    <s v="Jul"/>
    <x v="0"/>
    <x v="855"/>
    <n v="12.8"/>
    <x v="4"/>
    <n v="1.3"/>
    <x v="78"/>
    <n v="9530"/>
    <x v="0"/>
    <n v="37.5"/>
    <s v="ML Engineer"/>
    <n v="19.3"/>
    <n v="5.7"/>
    <x v="280"/>
    <n v="1.4"/>
    <n v="6.8"/>
    <n v="5.6"/>
    <s v="Stable"/>
  </r>
  <r>
    <s v="T902"/>
    <x v="2"/>
    <x v="0"/>
    <x v="1"/>
    <x v="3"/>
    <s v="Nov"/>
    <x v="1"/>
    <x v="856"/>
    <n v="10.1"/>
    <x v="1"/>
    <n v="8"/>
    <x v="7"/>
    <n v="8328"/>
    <x v="3"/>
    <n v="52.8"/>
    <s v="Data Scientist"/>
    <n v="62.9"/>
    <n v="-8.6"/>
    <x v="149"/>
    <n v="8.1"/>
    <n v="4.8"/>
    <n v="4.7"/>
    <s v="Stable"/>
  </r>
  <r>
    <s v="T903"/>
    <x v="0"/>
    <x v="0"/>
    <x v="2"/>
    <x v="2"/>
    <s v="Jun"/>
    <x v="0"/>
    <x v="857"/>
    <n v="1.1000000000000001"/>
    <x v="0"/>
    <n v="12.3"/>
    <x v="40"/>
    <n v="9747"/>
    <x v="3"/>
    <n v="44.9"/>
    <s v="Data Scientist"/>
    <n v="81"/>
    <n v="-1.2"/>
    <x v="148"/>
    <n v="7.3"/>
    <n v="6.8"/>
    <n v="7.7"/>
    <s v="Stable"/>
  </r>
  <r>
    <s v="T904"/>
    <x v="16"/>
    <x v="2"/>
    <x v="1"/>
    <x v="3"/>
    <s v="Feb"/>
    <x v="2"/>
    <x v="858"/>
    <n v="7.6"/>
    <x v="4"/>
    <n v="8"/>
    <x v="2"/>
    <n v="1693"/>
    <x v="0"/>
    <n v="24.7"/>
    <s v="Frontend Developer"/>
    <n v="77.8"/>
    <n v="-14.7"/>
    <x v="141"/>
    <n v="9.9"/>
    <n v="4.8"/>
    <n v="5.2"/>
    <s v="Bull Market"/>
  </r>
  <r>
    <s v="T905"/>
    <x v="1"/>
    <x v="4"/>
    <x v="1"/>
    <x v="0"/>
    <s v="Jan"/>
    <x v="2"/>
    <x v="859"/>
    <n v="13.2"/>
    <x v="2"/>
    <n v="1.8"/>
    <x v="44"/>
    <n v="4723"/>
    <x v="1"/>
    <n v="86.4"/>
    <s v="Software Engineer"/>
    <n v="25.6"/>
    <n v="-15.3"/>
    <x v="201"/>
    <n v="1.2"/>
    <n v="6.5"/>
    <n v="6.1"/>
    <s v="Stable"/>
  </r>
  <r>
    <s v="T906"/>
    <x v="0"/>
    <x v="5"/>
    <x v="0"/>
    <x v="1"/>
    <s v="Jul"/>
    <x v="1"/>
    <x v="860"/>
    <n v="20.9"/>
    <x v="0"/>
    <n v="3.7"/>
    <x v="41"/>
    <n v="839"/>
    <x v="2"/>
    <n v="19.100000000000001"/>
    <s v="Product Manager"/>
    <n v="27.2"/>
    <n v="30.2"/>
    <x v="109"/>
    <n v="3.7"/>
    <n v="6.1"/>
    <n v="6.1"/>
    <s v="Recession"/>
  </r>
  <r>
    <s v="T907"/>
    <x v="9"/>
    <x v="1"/>
    <x v="0"/>
    <x v="1"/>
    <s v="Dec"/>
    <x v="2"/>
    <x v="861"/>
    <n v="29"/>
    <x v="0"/>
    <n v="3.9"/>
    <x v="52"/>
    <n v="497"/>
    <x v="2"/>
    <n v="86"/>
    <s v="ML Engineer"/>
    <n v="4"/>
    <n v="36.200000000000003"/>
    <x v="317"/>
    <n v="2.5"/>
    <n v="7"/>
    <n v="4.2"/>
    <s v="Recession"/>
  </r>
  <r>
    <s v="T908"/>
    <x v="7"/>
    <x v="4"/>
    <x v="2"/>
    <x v="0"/>
    <s v="Sep"/>
    <x v="1"/>
    <x v="862"/>
    <n v="2.8"/>
    <x v="3"/>
    <n v="9.6"/>
    <x v="76"/>
    <n v="4715"/>
    <x v="0"/>
    <n v="84"/>
    <s v="Data Scientist"/>
    <n v="21.9"/>
    <n v="-6.9"/>
    <x v="40"/>
    <n v="8.5"/>
    <n v="8.3000000000000007"/>
    <n v="6.6"/>
    <s v="Bull Market"/>
  </r>
  <r>
    <s v="T909"/>
    <x v="5"/>
    <x v="3"/>
    <x v="2"/>
    <x v="1"/>
    <s v="Dec"/>
    <x v="0"/>
    <x v="863"/>
    <n v="14.6"/>
    <x v="3"/>
    <n v="6.1"/>
    <x v="5"/>
    <n v="5625"/>
    <x v="0"/>
    <n v="42.3"/>
    <s v="Software Engineer"/>
    <n v="-22.8"/>
    <n v="25.9"/>
    <x v="157"/>
    <n v="7.8"/>
    <n v="6.7"/>
    <n v="6.3"/>
    <s v="Stable"/>
  </r>
  <r>
    <s v="T910"/>
    <x v="8"/>
    <x v="6"/>
    <x v="2"/>
    <x v="2"/>
    <s v="Sep"/>
    <x v="2"/>
    <x v="864"/>
    <n v="35"/>
    <x v="1"/>
    <n v="5.6"/>
    <x v="48"/>
    <n v="1776"/>
    <x v="2"/>
    <n v="56.9"/>
    <s v="Frontend Developer"/>
    <n v="0.5"/>
    <n v="36.799999999999997"/>
    <x v="155"/>
    <n v="7"/>
    <n v="4.8"/>
    <n v="3.5"/>
    <s v="Recession"/>
  </r>
  <r>
    <s v="T911"/>
    <x v="2"/>
    <x v="3"/>
    <x v="5"/>
    <x v="3"/>
    <s v="Aug"/>
    <x v="0"/>
    <x v="865"/>
    <n v="3.1"/>
    <x v="2"/>
    <n v="5.9"/>
    <x v="71"/>
    <n v="2402"/>
    <x v="1"/>
    <n v="32.299999999999997"/>
    <s v="ML Engineer"/>
    <n v="26"/>
    <n v="2.6"/>
    <x v="401"/>
    <n v="3.9"/>
    <n v="5.5"/>
    <n v="6.9"/>
    <s v="Bull Market"/>
  </r>
  <r>
    <s v="T912"/>
    <x v="8"/>
    <x v="6"/>
    <x v="2"/>
    <x v="0"/>
    <s v="Jul"/>
    <x v="0"/>
    <x v="866"/>
    <n v="4.0999999999999996"/>
    <x v="2"/>
    <n v="12.4"/>
    <x v="32"/>
    <n v="4579"/>
    <x v="0"/>
    <n v="11.3"/>
    <s v="Cloud Engineer"/>
    <n v="39.700000000000003"/>
    <n v="-18.8"/>
    <x v="382"/>
    <n v="9.3000000000000007"/>
    <n v="6.6"/>
    <n v="6"/>
    <s v="Bull Market"/>
  </r>
  <r>
    <s v="T913"/>
    <x v="3"/>
    <x v="1"/>
    <x v="5"/>
    <x v="2"/>
    <s v="Jun"/>
    <x v="2"/>
    <x v="867"/>
    <n v="9.5"/>
    <x v="1"/>
    <n v="2.4"/>
    <x v="31"/>
    <n v="4462"/>
    <x v="0"/>
    <n v="68.3"/>
    <s v="Cloud Engineer"/>
    <n v="-9.1999999999999993"/>
    <n v="17.100000000000001"/>
    <x v="153"/>
    <n v="2.6"/>
    <n v="6.2"/>
    <n v="5.8"/>
    <s v="Stable"/>
  </r>
  <r>
    <s v="T914"/>
    <x v="6"/>
    <x v="1"/>
    <x v="0"/>
    <x v="2"/>
    <s v="Apr"/>
    <x v="2"/>
    <x v="284"/>
    <n v="2.5"/>
    <x v="1"/>
    <n v="4"/>
    <x v="81"/>
    <n v="1851"/>
    <x v="0"/>
    <n v="16.8"/>
    <s v="Frontend Developer"/>
    <n v="-15.4"/>
    <n v="35.1"/>
    <x v="288"/>
    <n v="2.7"/>
    <n v="8.6"/>
    <n v="8.4"/>
    <s v="Bull Market"/>
  </r>
  <r>
    <s v="T915"/>
    <x v="15"/>
    <x v="2"/>
    <x v="2"/>
    <x v="0"/>
    <s v="May"/>
    <x v="0"/>
    <x v="868"/>
    <n v="13.6"/>
    <x v="3"/>
    <n v="7.7"/>
    <x v="23"/>
    <n v="1603"/>
    <x v="1"/>
    <n v="17.100000000000001"/>
    <s v="Product Manager"/>
    <n v="-33"/>
    <n v="38.700000000000003"/>
    <x v="180"/>
    <n v="4.7"/>
    <n v="5.0999999999999996"/>
    <n v="6.7"/>
    <s v="Recession"/>
  </r>
  <r>
    <s v="T916"/>
    <x v="10"/>
    <x v="3"/>
    <x v="3"/>
    <x v="2"/>
    <s v="Sep"/>
    <x v="1"/>
    <x v="869"/>
    <n v="16.7"/>
    <x v="2"/>
    <n v="4.3"/>
    <x v="44"/>
    <n v="1518"/>
    <x v="1"/>
    <n v="27.6"/>
    <s v="Frontend Developer"/>
    <n v="37.9"/>
    <n v="-8"/>
    <x v="402"/>
    <n v="2.9"/>
    <n v="5.5"/>
    <n v="5.5"/>
    <s v="Stable"/>
  </r>
  <r>
    <s v="T917"/>
    <x v="2"/>
    <x v="3"/>
    <x v="2"/>
    <x v="1"/>
    <s v="Jun"/>
    <x v="0"/>
    <x v="870"/>
    <n v="14.7"/>
    <x v="2"/>
    <n v="5.5"/>
    <x v="0"/>
    <n v="1284"/>
    <x v="1"/>
    <n v="41.9"/>
    <s v="Frontend Developer"/>
    <n v="-27.1"/>
    <n v="37.799999999999997"/>
    <x v="274"/>
    <n v="5.2"/>
    <n v="8.5"/>
    <n v="7.1"/>
    <s v="Stable"/>
  </r>
  <r>
    <s v="T918"/>
    <x v="2"/>
    <x v="3"/>
    <x v="4"/>
    <x v="1"/>
    <s v="May"/>
    <x v="1"/>
    <x v="871"/>
    <n v="1.6"/>
    <x v="3"/>
    <n v="4.5999999999999996"/>
    <x v="32"/>
    <n v="3958"/>
    <x v="0"/>
    <n v="39"/>
    <s v="Frontend Developer"/>
    <n v="-24.8"/>
    <n v="29.7"/>
    <x v="191"/>
    <n v="3.7"/>
    <n v="6.6"/>
    <n v="8.1"/>
    <s v="Stable"/>
  </r>
  <r>
    <s v="T919"/>
    <x v="1"/>
    <x v="6"/>
    <x v="3"/>
    <x v="0"/>
    <s v="Aug"/>
    <x v="2"/>
    <x v="872"/>
    <n v="0.9"/>
    <x v="3"/>
    <n v="10.3"/>
    <x v="73"/>
    <n v="5941"/>
    <x v="3"/>
    <n v="30.8"/>
    <s v="Cloud Engineer"/>
    <n v="9.6999999999999993"/>
    <n v="16.3"/>
    <x v="79"/>
    <n v="7.3"/>
    <n v="7"/>
    <n v="6.4"/>
    <s v="Bull Market"/>
  </r>
  <r>
    <s v="T920"/>
    <x v="5"/>
    <x v="3"/>
    <x v="4"/>
    <x v="2"/>
    <s v="Jun"/>
    <x v="1"/>
    <x v="873"/>
    <n v="33.1"/>
    <x v="2"/>
    <n v="7.3"/>
    <x v="5"/>
    <n v="159"/>
    <x v="2"/>
    <n v="76.599999999999994"/>
    <s v="Product Manager"/>
    <n v="56.5"/>
    <n v="15.2"/>
    <x v="403"/>
    <n v="6"/>
    <n v="2.9"/>
    <n v="3.5"/>
    <s v="Recession"/>
  </r>
  <r>
    <s v="T921"/>
    <x v="8"/>
    <x v="6"/>
    <x v="5"/>
    <x v="1"/>
    <s v="Jun"/>
    <x v="0"/>
    <x v="351"/>
    <n v="7.7"/>
    <x v="3"/>
    <n v="2.5"/>
    <x v="73"/>
    <n v="5751"/>
    <x v="0"/>
    <n v="42"/>
    <s v="ML Engineer"/>
    <n v="74.599999999999994"/>
    <n v="-22"/>
    <x v="142"/>
    <n v="3.4"/>
    <n v="4"/>
    <n v="5.4"/>
    <s v="Bull Market"/>
  </r>
  <r>
    <s v="T922"/>
    <x v="8"/>
    <x v="6"/>
    <x v="3"/>
    <x v="0"/>
    <s v="Jun"/>
    <x v="1"/>
    <x v="874"/>
    <n v="11.1"/>
    <x v="2"/>
    <n v="4.0999999999999996"/>
    <x v="17"/>
    <n v="534"/>
    <x v="1"/>
    <n v="11.6"/>
    <s v="Data Scientist"/>
    <n v="51"/>
    <n v="8.8000000000000007"/>
    <x v="215"/>
    <n v="4.0999999999999996"/>
    <n v="5.6"/>
    <n v="6.1"/>
    <s v="Recession"/>
  </r>
  <r>
    <s v="T923"/>
    <x v="16"/>
    <x v="2"/>
    <x v="2"/>
    <x v="0"/>
    <s v="Oct"/>
    <x v="0"/>
    <x v="875"/>
    <n v="37.299999999999997"/>
    <x v="3"/>
    <n v="10.1"/>
    <x v="5"/>
    <n v="1852"/>
    <x v="2"/>
    <n v="20.7"/>
    <s v="Software Engineer"/>
    <n v="-40.299999999999997"/>
    <n v="45.9"/>
    <x v="17"/>
    <n v="7.3"/>
    <n v="4.3"/>
    <n v="4.5999999999999996"/>
    <s v="Recession"/>
  </r>
  <r>
    <s v="T924"/>
    <x v="1"/>
    <x v="1"/>
    <x v="1"/>
    <x v="2"/>
    <s v="Sep"/>
    <x v="1"/>
    <x v="876"/>
    <n v="14.8"/>
    <x v="1"/>
    <n v="5.5"/>
    <x v="5"/>
    <n v="1076"/>
    <x v="0"/>
    <n v="61.8"/>
    <s v="Cybersecurity Analyst"/>
    <n v="-23.3"/>
    <n v="-15.1"/>
    <x v="149"/>
    <n v="7.6"/>
    <n v="5.4"/>
    <n v="3.9"/>
    <s v="Stable"/>
  </r>
  <r>
    <s v="T925"/>
    <x v="1"/>
    <x v="6"/>
    <x v="4"/>
    <x v="3"/>
    <s v="May"/>
    <x v="2"/>
    <x v="877"/>
    <n v="8"/>
    <x v="0"/>
    <n v="10.8"/>
    <x v="73"/>
    <n v="2874"/>
    <x v="1"/>
    <n v="27.4"/>
    <s v="Software Engineer"/>
    <n v="36.9"/>
    <n v="44.9"/>
    <x v="377"/>
    <n v="8"/>
    <n v="6.4"/>
    <n v="6.8"/>
    <s v="Bull Market"/>
  </r>
  <r>
    <s v="T926"/>
    <x v="15"/>
    <x v="2"/>
    <x v="1"/>
    <x v="0"/>
    <s v="Jun"/>
    <x v="2"/>
    <x v="878"/>
    <n v="35.799999999999997"/>
    <x v="1"/>
    <n v="1.9"/>
    <x v="51"/>
    <n v="1787"/>
    <x v="2"/>
    <n v="66.3"/>
    <s v="Cybersecurity Analyst"/>
    <n v="48.6"/>
    <n v="54.8"/>
    <x v="122"/>
    <n v="1.9"/>
    <n v="5.9"/>
    <n v="4.8"/>
    <s v="Recession"/>
  </r>
  <r>
    <s v="T927"/>
    <x v="6"/>
    <x v="1"/>
    <x v="0"/>
    <x v="0"/>
    <s v="Feb"/>
    <x v="0"/>
    <x v="879"/>
    <n v="13.2"/>
    <x v="4"/>
    <n v="4.3"/>
    <x v="64"/>
    <n v="4907"/>
    <x v="0"/>
    <n v="48"/>
    <s v="Cloud Engineer"/>
    <n v="-44"/>
    <n v="-15.6"/>
    <x v="382"/>
    <n v="3.1"/>
    <n v="7.2"/>
    <n v="5.2"/>
    <s v="Stable"/>
  </r>
  <r>
    <s v="T928"/>
    <x v="15"/>
    <x v="2"/>
    <x v="4"/>
    <x v="1"/>
    <s v="Aug"/>
    <x v="1"/>
    <x v="880"/>
    <n v="25.3"/>
    <x v="4"/>
    <n v="9.6"/>
    <x v="5"/>
    <n v="1379"/>
    <x v="2"/>
    <n v="16.399999999999999"/>
    <s v="Cybersecurity Analyst"/>
    <n v="19.899999999999999"/>
    <n v="37.799999999999997"/>
    <x v="174"/>
    <n v="7.2"/>
    <n v="4.5999999999999996"/>
    <n v="4.2"/>
    <s v="Recession"/>
  </r>
  <r>
    <s v="T929"/>
    <x v="17"/>
    <x v="3"/>
    <x v="0"/>
    <x v="2"/>
    <s v="Oct"/>
    <x v="2"/>
    <x v="881"/>
    <n v="14.5"/>
    <x v="4"/>
    <n v="2.1"/>
    <x v="40"/>
    <n v="3089"/>
    <x v="1"/>
    <n v="22.8"/>
    <s v="Cybersecurity Analyst"/>
    <n v="36.299999999999997"/>
    <n v="28.3"/>
    <x v="83"/>
    <n v="1.4"/>
    <n v="6.2"/>
    <n v="6.9"/>
    <s v="Stable"/>
  </r>
  <r>
    <s v="T930"/>
    <x v="12"/>
    <x v="0"/>
    <x v="3"/>
    <x v="3"/>
    <s v="Mar"/>
    <x v="1"/>
    <x v="882"/>
    <n v="16.600000000000001"/>
    <x v="3"/>
    <n v="3.7"/>
    <x v="86"/>
    <n v="2456"/>
    <x v="1"/>
    <n v="42.7"/>
    <s v="ML Engineer"/>
    <n v="44.9"/>
    <n v="17.3"/>
    <x v="174"/>
    <n v="3.6"/>
    <n v="7"/>
    <n v="5.6"/>
    <s v="Stable"/>
  </r>
  <r>
    <s v="T931"/>
    <x v="12"/>
    <x v="0"/>
    <x v="2"/>
    <x v="2"/>
    <s v="Nov"/>
    <x v="2"/>
    <x v="883"/>
    <n v="14.3"/>
    <x v="0"/>
    <n v="9.5"/>
    <x v="63"/>
    <n v="5229"/>
    <x v="0"/>
    <n v="31.7"/>
    <s v="Data Scientist"/>
    <n v="53"/>
    <n v="27"/>
    <x v="32"/>
    <n v="6.3"/>
    <n v="8.4"/>
    <n v="5"/>
    <s v="Recession"/>
  </r>
  <r>
    <s v="T932"/>
    <x v="6"/>
    <x v="2"/>
    <x v="0"/>
    <x v="0"/>
    <s v="Aug"/>
    <x v="2"/>
    <x v="884"/>
    <n v="20.7"/>
    <x v="1"/>
    <n v="5.9"/>
    <x v="2"/>
    <n v="1137"/>
    <x v="2"/>
    <n v="13.4"/>
    <s v="Frontend Developer"/>
    <n v="33.9"/>
    <n v="-18.100000000000001"/>
    <x v="404"/>
    <n v="3.5"/>
    <n v="6.6"/>
    <n v="4.9000000000000004"/>
    <s v="Recession"/>
  </r>
  <r>
    <s v="T933"/>
    <x v="18"/>
    <x v="0"/>
    <x v="1"/>
    <x v="2"/>
    <s v="Sep"/>
    <x v="1"/>
    <x v="885"/>
    <n v="17.399999999999999"/>
    <x v="1"/>
    <n v="5.9"/>
    <x v="5"/>
    <n v="2478"/>
    <x v="0"/>
    <n v="78.900000000000006"/>
    <s v="Data Scientist"/>
    <n v="84.6"/>
    <n v="48.5"/>
    <x v="405"/>
    <n v="8.1999999999999993"/>
    <n v="7.6"/>
    <n v="6.4"/>
    <s v="Stable"/>
  </r>
  <r>
    <s v="T934"/>
    <x v="10"/>
    <x v="3"/>
    <x v="2"/>
    <x v="0"/>
    <s v="Jun"/>
    <x v="1"/>
    <x v="886"/>
    <n v="21.5"/>
    <x v="0"/>
    <n v="5.9"/>
    <x v="9"/>
    <n v="206"/>
    <x v="1"/>
    <n v="89"/>
    <s v="DevOps Engineer"/>
    <n v="-22"/>
    <n v="54.5"/>
    <x v="256"/>
    <n v="7.8"/>
    <n v="6.8"/>
    <n v="6.2"/>
    <s v="Recession"/>
  </r>
  <r>
    <s v="T935"/>
    <x v="10"/>
    <x v="3"/>
    <x v="3"/>
    <x v="1"/>
    <s v="Jan"/>
    <x v="0"/>
    <x v="887"/>
    <n v="17"/>
    <x v="3"/>
    <n v="3.6"/>
    <x v="47"/>
    <n v="3348"/>
    <x v="0"/>
    <n v="18.899999999999999"/>
    <s v="ML Engineer"/>
    <n v="-21.1"/>
    <n v="-12.2"/>
    <x v="355"/>
    <n v="3.8"/>
    <n v="3.7"/>
    <n v="4.4000000000000004"/>
    <s v="Stable"/>
  </r>
  <r>
    <s v="T936"/>
    <x v="8"/>
    <x v="4"/>
    <x v="0"/>
    <x v="0"/>
    <s v="Feb"/>
    <x v="0"/>
    <x v="888"/>
    <n v="11.6"/>
    <x v="4"/>
    <n v="13.5"/>
    <x v="43"/>
    <n v="952"/>
    <x v="1"/>
    <n v="35.200000000000003"/>
    <s v="Data Scientist"/>
    <n v="18.3"/>
    <n v="24.6"/>
    <x v="107"/>
    <n v="8.6"/>
    <n v="8.3000000000000007"/>
    <n v="6.7"/>
    <s v="Recession"/>
  </r>
  <r>
    <s v="T937"/>
    <x v="9"/>
    <x v="0"/>
    <x v="2"/>
    <x v="1"/>
    <s v="Nov"/>
    <x v="1"/>
    <x v="889"/>
    <n v="1.9"/>
    <x v="1"/>
    <n v="8.5"/>
    <x v="76"/>
    <n v="3297"/>
    <x v="0"/>
    <n v="15.7"/>
    <s v="ML Engineer"/>
    <n v="-4.4000000000000004"/>
    <n v="14.4"/>
    <x v="119"/>
    <n v="9"/>
    <n v="8.1999999999999993"/>
    <n v="6.9"/>
    <s v="Stable"/>
  </r>
  <r>
    <s v="T938"/>
    <x v="10"/>
    <x v="3"/>
    <x v="0"/>
    <x v="1"/>
    <s v="Apr"/>
    <x v="2"/>
    <x v="890"/>
    <n v="8.6999999999999993"/>
    <x v="2"/>
    <n v="3.6"/>
    <x v="62"/>
    <n v="1419"/>
    <x v="1"/>
    <n v="10.8"/>
    <s v="Cloud Engineer"/>
    <n v="18"/>
    <n v="50.6"/>
    <x v="18"/>
    <n v="2.4"/>
    <n v="7.7"/>
    <n v="7.3"/>
    <s v="Recession"/>
  </r>
  <r>
    <s v="T939"/>
    <x v="2"/>
    <x v="5"/>
    <x v="1"/>
    <x v="0"/>
    <s v="Aug"/>
    <x v="2"/>
    <x v="891"/>
    <n v="17.100000000000001"/>
    <x v="4"/>
    <n v="11.5"/>
    <x v="5"/>
    <n v="165"/>
    <x v="1"/>
    <n v="66.400000000000006"/>
    <s v="Software Engineer"/>
    <n v="-32.200000000000003"/>
    <n v="43.3"/>
    <x v="85"/>
    <n v="7.3"/>
    <n v="8.4"/>
    <n v="5.4"/>
    <s v="Recession"/>
  </r>
  <r>
    <s v="T940"/>
    <x v="0"/>
    <x v="0"/>
    <x v="0"/>
    <x v="3"/>
    <s v="Jun"/>
    <x v="0"/>
    <x v="892"/>
    <n v="0.7"/>
    <x v="3"/>
    <n v="12.5"/>
    <x v="11"/>
    <n v="7123"/>
    <x v="3"/>
    <n v="51.8"/>
    <s v="ML Engineer"/>
    <n v="76.2"/>
    <n v="-9.6999999999999993"/>
    <x v="333"/>
    <n v="8.5"/>
    <n v="7.9"/>
    <n v="6.3"/>
    <s v="Bull Market"/>
  </r>
  <r>
    <s v="T941"/>
    <x v="10"/>
    <x v="3"/>
    <x v="1"/>
    <x v="2"/>
    <s v="Jun"/>
    <x v="2"/>
    <x v="88"/>
    <n v="6.8"/>
    <x v="1"/>
    <n v="5.5"/>
    <x v="5"/>
    <n v="2406"/>
    <x v="1"/>
    <n v="16.399999999999999"/>
    <s v="ML Engineer"/>
    <n v="-9.3000000000000007"/>
    <n v="-2"/>
    <x v="406"/>
    <n v="9.1999999999999993"/>
    <n v="4.5"/>
    <n v="5.5"/>
    <s v="Bull Market"/>
  </r>
  <r>
    <s v="T942"/>
    <x v="9"/>
    <x v="0"/>
    <x v="3"/>
    <x v="0"/>
    <s v="Aug"/>
    <x v="1"/>
    <x v="893"/>
    <n v="27"/>
    <x v="2"/>
    <n v="9.4"/>
    <x v="5"/>
    <n v="9725"/>
    <x v="0"/>
    <n v="42.1"/>
    <s v="Data Scientist"/>
    <n v="59.7"/>
    <n v="23.6"/>
    <x v="333"/>
    <n v="7"/>
    <n v="3.6"/>
    <n v="3.7"/>
    <s v="Recession"/>
  </r>
  <r>
    <s v="T943"/>
    <x v="14"/>
    <x v="1"/>
    <x v="4"/>
    <x v="1"/>
    <s v="Jun"/>
    <x v="2"/>
    <x v="894"/>
    <n v="28.8"/>
    <x v="2"/>
    <n v="8.5"/>
    <x v="5"/>
    <n v="1809"/>
    <x v="2"/>
    <n v="84.6"/>
    <s v="Cybersecurity Analyst"/>
    <n v="79.099999999999994"/>
    <n v="-22.6"/>
    <x v="295"/>
    <n v="8.5"/>
    <n v="6"/>
    <n v="2.7"/>
    <s v="Recession"/>
  </r>
  <r>
    <s v="T944"/>
    <x v="2"/>
    <x v="5"/>
    <x v="0"/>
    <x v="0"/>
    <s v="Aug"/>
    <x v="2"/>
    <x v="750"/>
    <n v="5.9"/>
    <x v="2"/>
    <n v="4"/>
    <x v="54"/>
    <n v="2397"/>
    <x v="1"/>
    <n v="59"/>
    <s v="Cloud Engineer"/>
    <n v="36.700000000000003"/>
    <n v="38"/>
    <x v="371"/>
    <n v="6"/>
    <n v="9.6"/>
    <n v="7.5"/>
    <s v="Stable"/>
  </r>
  <r>
    <s v="T945"/>
    <x v="8"/>
    <x v="4"/>
    <x v="4"/>
    <x v="1"/>
    <s v="Aug"/>
    <x v="1"/>
    <x v="895"/>
    <n v="2.5"/>
    <x v="3"/>
    <n v="7.7"/>
    <x v="5"/>
    <n v="2583"/>
    <x v="0"/>
    <n v="35.9"/>
    <s v="Cloud Engineer"/>
    <n v="5.9"/>
    <n v="39.9"/>
    <x v="163"/>
    <n v="7.1"/>
    <n v="9.1"/>
    <n v="6.3"/>
    <s v="Bull Market"/>
  </r>
  <r>
    <s v="T946"/>
    <x v="10"/>
    <x v="3"/>
    <x v="3"/>
    <x v="2"/>
    <s v="May"/>
    <x v="1"/>
    <x v="896"/>
    <n v="14.5"/>
    <x v="2"/>
    <n v="8.6"/>
    <x v="5"/>
    <n v="836"/>
    <x v="1"/>
    <n v="85.4"/>
    <s v="Product Manager"/>
    <n v="-23.5"/>
    <n v="22"/>
    <x v="300"/>
    <n v="7.1"/>
    <n v="7.9"/>
    <n v="6"/>
    <s v="Recession"/>
  </r>
  <r>
    <s v="T947"/>
    <x v="12"/>
    <x v="0"/>
    <x v="5"/>
    <x v="2"/>
    <s v="Oct"/>
    <x v="2"/>
    <x v="897"/>
    <n v="5.2"/>
    <x v="0"/>
    <n v="10"/>
    <x v="30"/>
    <n v="8741"/>
    <x v="3"/>
    <n v="70.3"/>
    <s v="ML Engineer"/>
    <n v="-41.9"/>
    <n v="16.100000000000001"/>
    <x v="265"/>
    <n v="6.3"/>
    <n v="6.8"/>
    <n v="7.5"/>
    <s v="Bull Market"/>
  </r>
  <r>
    <s v="T948"/>
    <x v="2"/>
    <x v="0"/>
    <x v="3"/>
    <x v="0"/>
    <s v="Nov"/>
    <x v="1"/>
    <x v="898"/>
    <n v="8.5"/>
    <x v="0"/>
    <n v="1.7"/>
    <x v="64"/>
    <n v="7343"/>
    <x v="0"/>
    <n v="43.7"/>
    <s v="ML Engineer"/>
    <n v="40.200000000000003"/>
    <n v="56.2"/>
    <x v="407"/>
    <n v="2.6"/>
    <n v="6.9"/>
    <n v="8.9"/>
    <s v="Recession"/>
  </r>
  <r>
    <s v="T949"/>
    <x v="3"/>
    <x v="1"/>
    <x v="4"/>
    <x v="1"/>
    <s v="Apr"/>
    <x v="1"/>
    <x v="899"/>
    <n v="13"/>
    <x v="3"/>
    <n v="7.4"/>
    <x v="5"/>
    <n v="3910"/>
    <x v="1"/>
    <n v="87.3"/>
    <s v="Data Scientist"/>
    <n v="27.8"/>
    <n v="-23.5"/>
    <x v="300"/>
    <n v="5.7"/>
    <n v="4"/>
    <n v="4.8"/>
    <s v="Stable"/>
  </r>
  <r>
    <s v="T950"/>
    <x v="0"/>
    <x v="5"/>
    <x v="4"/>
    <x v="3"/>
    <s v="Apr"/>
    <x v="1"/>
    <x v="900"/>
    <n v="2.5"/>
    <x v="2"/>
    <n v="7"/>
    <x v="85"/>
    <n v="5161"/>
    <x v="0"/>
    <n v="54.3"/>
    <s v="Cloud Engineer"/>
    <n v="75"/>
    <n v="51.1"/>
    <x v="87"/>
    <n v="7.1"/>
    <n v="6.4"/>
    <n v="9"/>
    <s v="Bull Market"/>
  </r>
  <r>
    <s v="T951"/>
    <x v="12"/>
    <x v="5"/>
    <x v="0"/>
    <x v="1"/>
    <s v="Dec"/>
    <x v="0"/>
    <x v="901"/>
    <n v="9"/>
    <x v="2"/>
    <n v="6"/>
    <x v="18"/>
    <n v="2319"/>
    <x v="0"/>
    <n v="82.3"/>
    <s v="DevOps Engineer"/>
    <n v="-43"/>
    <n v="27.5"/>
    <x v="5"/>
    <n v="5.8"/>
    <n v="5.4"/>
    <n v="6.3"/>
    <s v="Stable"/>
  </r>
  <r>
    <s v="T952"/>
    <x v="12"/>
    <x v="5"/>
    <x v="5"/>
    <x v="1"/>
    <s v="Nov"/>
    <x v="2"/>
    <x v="902"/>
    <n v="14.7"/>
    <x v="4"/>
    <n v="4.4000000000000004"/>
    <x v="35"/>
    <n v="5556"/>
    <x v="1"/>
    <n v="65"/>
    <s v="ML Engineer"/>
    <n v="26.5"/>
    <n v="56.7"/>
    <x v="270"/>
    <n v="4"/>
    <n v="6.4"/>
    <n v="6.2"/>
    <s v="Stable"/>
  </r>
  <r>
    <s v="T953"/>
    <x v="10"/>
    <x v="3"/>
    <x v="0"/>
    <x v="0"/>
    <s v="Dec"/>
    <x v="1"/>
    <x v="903"/>
    <n v="12.3"/>
    <x v="4"/>
    <n v="4.4000000000000004"/>
    <x v="63"/>
    <n v="3840"/>
    <x v="0"/>
    <n v="41.5"/>
    <s v="Cybersecurity Analyst"/>
    <n v="83.2"/>
    <n v="49.6"/>
    <x v="192"/>
    <n v="4.8"/>
    <n v="8.1"/>
    <n v="5.6"/>
    <s v="Stable"/>
  </r>
  <r>
    <s v="T954"/>
    <x v="18"/>
    <x v="0"/>
    <x v="0"/>
    <x v="0"/>
    <s v="Apr"/>
    <x v="0"/>
    <x v="904"/>
    <n v="8.4"/>
    <x v="2"/>
    <n v="5.0999999999999996"/>
    <x v="5"/>
    <n v="8024"/>
    <x v="3"/>
    <n v="82.8"/>
    <s v="ML Engineer"/>
    <n v="80.5"/>
    <n v="25.8"/>
    <x v="397"/>
    <n v="8.1"/>
    <n v="6.2"/>
    <n v="5.3"/>
    <s v="Bull Market"/>
  </r>
  <r>
    <s v="T955"/>
    <x v="12"/>
    <x v="0"/>
    <x v="4"/>
    <x v="3"/>
    <s v="Jul"/>
    <x v="2"/>
    <x v="905"/>
    <n v="38.6"/>
    <x v="1"/>
    <n v="5.4"/>
    <x v="5"/>
    <n v="2862"/>
    <x v="2"/>
    <n v="80.7"/>
    <s v="Data Scientist"/>
    <n v="-14.7"/>
    <n v="29.7"/>
    <x v="190"/>
    <n v="4.2"/>
    <n v="2.8"/>
    <n v="2.9"/>
    <s v="Recession"/>
  </r>
  <r>
    <s v="T956"/>
    <x v="19"/>
    <x v="0"/>
    <x v="0"/>
    <x v="3"/>
    <s v="Jul"/>
    <x v="1"/>
    <x v="906"/>
    <n v="10.3"/>
    <x v="2"/>
    <n v="4.2"/>
    <x v="52"/>
    <n v="3614"/>
    <x v="1"/>
    <n v="23.8"/>
    <s v="Data Scientist"/>
    <n v="26.4"/>
    <n v="-9.9"/>
    <x v="285"/>
    <n v="5.4"/>
    <n v="4"/>
    <n v="4.5"/>
    <s v="Stable"/>
  </r>
  <r>
    <s v="T957"/>
    <x v="2"/>
    <x v="1"/>
    <x v="2"/>
    <x v="1"/>
    <s v="Dec"/>
    <x v="0"/>
    <x v="907"/>
    <n v="9.9"/>
    <x v="1"/>
    <n v="3.4"/>
    <x v="8"/>
    <n v="5678"/>
    <x v="0"/>
    <n v="47"/>
    <s v="Data Scientist"/>
    <n v="31.8"/>
    <n v="34.200000000000003"/>
    <x v="1"/>
    <n v="5.4"/>
    <n v="8.6999999999999993"/>
    <n v="6.7"/>
    <s v="Stable"/>
  </r>
  <r>
    <s v="T958"/>
    <x v="17"/>
    <x v="0"/>
    <x v="1"/>
    <x v="3"/>
    <s v="Sep"/>
    <x v="0"/>
    <x v="908"/>
    <n v="26.9"/>
    <x v="0"/>
    <n v="6.6"/>
    <x v="5"/>
    <n v="5557"/>
    <x v="0"/>
    <n v="15.4"/>
    <s v="Data Scientist"/>
    <n v="42.7"/>
    <n v="-4.3"/>
    <x v="110"/>
    <n v="9.3000000000000007"/>
    <n v="4.5999999999999996"/>
    <n v="3.2"/>
    <s v="Recession"/>
  </r>
  <r>
    <s v="T959"/>
    <x v="8"/>
    <x v="4"/>
    <x v="1"/>
    <x v="1"/>
    <s v="Aug"/>
    <x v="1"/>
    <x v="909"/>
    <n v="12.3"/>
    <x v="1"/>
    <n v="2.7"/>
    <x v="72"/>
    <n v="1879"/>
    <x v="1"/>
    <n v="82.1"/>
    <s v="Frontend Developer"/>
    <n v="44.2"/>
    <n v="0.8"/>
    <x v="79"/>
    <n v="2.7"/>
    <n v="6.4"/>
    <n v="5.7"/>
    <s v="Recession"/>
  </r>
  <r>
    <s v="T960"/>
    <x v="13"/>
    <x v="5"/>
    <x v="2"/>
    <x v="1"/>
    <s v="Mar"/>
    <x v="1"/>
    <x v="74"/>
    <n v="3.8"/>
    <x v="0"/>
    <n v="11.1"/>
    <x v="68"/>
    <n v="1699"/>
    <x v="0"/>
    <n v="22.4"/>
    <s v="Software Engineer"/>
    <n v="73.7"/>
    <n v="-17"/>
    <x v="1"/>
    <n v="7.8"/>
    <n v="5"/>
    <n v="6.7"/>
    <s v="Stable"/>
  </r>
  <r>
    <s v="T961"/>
    <x v="6"/>
    <x v="2"/>
    <x v="0"/>
    <x v="3"/>
    <s v="Jun"/>
    <x v="2"/>
    <x v="90"/>
    <n v="32.700000000000003"/>
    <x v="2"/>
    <n v="7.3"/>
    <x v="5"/>
    <n v="117"/>
    <x v="2"/>
    <n v="25"/>
    <s v="DevOps Engineer"/>
    <n v="60"/>
    <n v="14.2"/>
    <x v="85"/>
    <n v="8.8000000000000007"/>
    <n v="5.0999999999999996"/>
    <n v="3.3"/>
    <s v="Recession"/>
  </r>
  <r>
    <s v="T962"/>
    <x v="2"/>
    <x v="1"/>
    <x v="1"/>
    <x v="1"/>
    <s v="Sep"/>
    <x v="1"/>
    <x v="621"/>
    <n v="6.4"/>
    <x v="2"/>
    <n v="6.4"/>
    <x v="60"/>
    <n v="5473"/>
    <x v="0"/>
    <n v="28.7"/>
    <s v="Cybersecurity Analyst"/>
    <n v="70.8"/>
    <n v="-16.7"/>
    <x v="408"/>
    <n v="7.1"/>
    <n v="6.7"/>
    <n v="5.2"/>
    <s v="Bull Market"/>
  </r>
  <r>
    <s v="T963"/>
    <x v="9"/>
    <x v="1"/>
    <x v="0"/>
    <x v="3"/>
    <s v="Jun"/>
    <x v="2"/>
    <x v="910"/>
    <n v="5.4"/>
    <x v="4"/>
    <n v="2.9"/>
    <x v="73"/>
    <n v="3448"/>
    <x v="0"/>
    <n v="32.1"/>
    <s v="Frontend Developer"/>
    <n v="-29.3"/>
    <n v="20.7"/>
    <x v="81"/>
    <n v="3.4"/>
    <n v="5.9"/>
    <n v="6.4"/>
    <s v="Bull Market"/>
  </r>
  <r>
    <s v="T964"/>
    <x v="9"/>
    <x v="0"/>
    <x v="5"/>
    <x v="1"/>
    <s v="Apr"/>
    <x v="1"/>
    <x v="911"/>
    <n v="27.4"/>
    <x v="2"/>
    <n v="10"/>
    <x v="5"/>
    <n v="7978"/>
    <x v="1"/>
    <n v="34.799999999999997"/>
    <s v="ML Engineer"/>
    <n v="42.5"/>
    <n v="32.6"/>
    <x v="311"/>
    <n v="7.9"/>
    <n v="3.9"/>
    <n v="4.3"/>
    <s v="Recession"/>
  </r>
  <r>
    <s v="T965"/>
    <x v="12"/>
    <x v="0"/>
    <x v="2"/>
    <x v="3"/>
    <s v="Sep"/>
    <x v="1"/>
    <x v="912"/>
    <n v="6.8"/>
    <x v="2"/>
    <n v="3.3"/>
    <x v="88"/>
    <n v="6640"/>
    <x v="0"/>
    <n v="43"/>
    <s v="Data Scientist"/>
    <n v="70.099999999999994"/>
    <n v="52.2"/>
    <x v="310"/>
    <n v="2"/>
    <n v="8.1999999999999993"/>
    <n v="7.4"/>
    <s v="Stable"/>
  </r>
  <r>
    <s v="T966"/>
    <x v="11"/>
    <x v="6"/>
    <x v="4"/>
    <x v="1"/>
    <s v="Sep"/>
    <x v="2"/>
    <x v="913"/>
    <n v="16.3"/>
    <x v="0"/>
    <n v="7.3"/>
    <x v="5"/>
    <n v="669"/>
    <x v="1"/>
    <n v="71.3"/>
    <s v="Frontend Developer"/>
    <n v="-31.9"/>
    <n v="31.7"/>
    <x v="271"/>
    <n v="9.1"/>
    <n v="5.6"/>
    <n v="5.7"/>
    <s v="Stable"/>
  </r>
  <r>
    <s v="T967"/>
    <x v="8"/>
    <x v="6"/>
    <x v="1"/>
    <x v="0"/>
    <s v="Apr"/>
    <x v="0"/>
    <x v="914"/>
    <n v="2.9"/>
    <x v="0"/>
    <n v="9.3000000000000007"/>
    <x v="5"/>
    <n v="977"/>
    <x v="0"/>
    <n v="56.7"/>
    <s v="Software Engineer"/>
    <n v="-39"/>
    <n v="5.8"/>
    <x v="385"/>
    <n v="8.1999999999999993"/>
    <n v="6.2"/>
    <n v="6.8"/>
    <s v="Stable"/>
  </r>
  <r>
    <s v="T968"/>
    <x v="1"/>
    <x v="0"/>
    <x v="3"/>
    <x v="1"/>
    <s v="Mar"/>
    <x v="0"/>
    <x v="915"/>
    <n v="13.3"/>
    <x v="2"/>
    <n v="2.4"/>
    <x v="6"/>
    <n v="9293"/>
    <x v="0"/>
    <n v="71.400000000000006"/>
    <s v="ML Engineer"/>
    <n v="-24.7"/>
    <n v="54.9"/>
    <x v="368"/>
    <n v="1.5"/>
    <n v="7.9"/>
    <n v="6.6"/>
    <s v="Stable"/>
  </r>
  <r>
    <s v="T969"/>
    <x v="6"/>
    <x v="1"/>
    <x v="4"/>
    <x v="3"/>
    <s v="May"/>
    <x v="1"/>
    <x v="916"/>
    <n v="5.2"/>
    <x v="4"/>
    <n v="5.6"/>
    <x v="35"/>
    <n v="4753"/>
    <x v="0"/>
    <n v="67.900000000000006"/>
    <s v="ML Engineer"/>
    <n v="18.3"/>
    <n v="33.299999999999997"/>
    <x v="154"/>
    <n v="4.9000000000000004"/>
    <n v="8.6999999999999993"/>
    <n v="5.9"/>
    <s v="Stable"/>
  </r>
  <r>
    <s v="T970"/>
    <x v="11"/>
    <x v="6"/>
    <x v="0"/>
    <x v="1"/>
    <s v="Jul"/>
    <x v="0"/>
    <x v="49"/>
    <n v="17.2"/>
    <x v="3"/>
    <n v="6.9"/>
    <x v="5"/>
    <n v="1675"/>
    <x v="1"/>
    <n v="66.7"/>
    <s v="Software Engineer"/>
    <n v="-31.9"/>
    <n v="-17.2"/>
    <x v="369"/>
    <n v="6.2"/>
    <n v="3.7"/>
    <n v="3.7"/>
    <s v="Recession"/>
  </r>
  <r>
    <s v="T971"/>
    <x v="9"/>
    <x v="0"/>
    <x v="4"/>
    <x v="0"/>
    <s v="Dec"/>
    <x v="1"/>
    <x v="917"/>
    <n v="9.1999999999999993"/>
    <x v="0"/>
    <n v="5.4"/>
    <x v="39"/>
    <n v="1206"/>
    <x v="0"/>
    <n v="60.9"/>
    <s v="Data Scientist"/>
    <n v="64.900000000000006"/>
    <n v="48.5"/>
    <x v="104"/>
    <n v="5.9"/>
    <n v="9"/>
    <n v="7.5"/>
    <s v="Bull Market"/>
  </r>
  <r>
    <s v="T972"/>
    <x v="12"/>
    <x v="5"/>
    <x v="2"/>
    <x v="0"/>
    <s v="May"/>
    <x v="0"/>
    <x v="918"/>
    <n v="11.2"/>
    <x v="1"/>
    <n v="2.1"/>
    <x v="74"/>
    <n v="479"/>
    <x v="1"/>
    <n v="11.9"/>
    <s v="Cybersecurity Analyst"/>
    <n v="89.7"/>
    <n v="56.2"/>
    <x v="11"/>
    <n v="1.4"/>
    <n v="7.9"/>
    <n v="7.5"/>
    <s v="Recession"/>
  </r>
  <r>
    <s v="T973"/>
    <x v="14"/>
    <x v="1"/>
    <x v="5"/>
    <x v="3"/>
    <s v="May"/>
    <x v="1"/>
    <x v="919"/>
    <n v="29.6"/>
    <x v="3"/>
    <n v="6.1"/>
    <x v="50"/>
    <n v="993"/>
    <x v="2"/>
    <n v="27.2"/>
    <s v="Software Engineer"/>
    <n v="27.8"/>
    <n v="29.2"/>
    <x v="121"/>
    <n v="3.7"/>
    <n v="4.9000000000000004"/>
    <n v="3.5"/>
    <s v="Recession"/>
  </r>
  <r>
    <s v="T974"/>
    <x v="2"/>
    <x v="1"/>
    <x v="0"/>
    <x v="1"/>
    <s v="Feb"/>
    <x v="0"/>
    <x v="920"/>
    <n v="12.4"/>
    <x v="1"/>
    <n v="5"/>
    <x v="3"/>
    <n v="1826"/>
    <x v="1"/>
    <n v="22.9"/>
    <s v="Software Engineer"/>
    <n v="-42.6"/>
    <n v="10.8"/>
    <x v="76"/>
    <n v="5.0999999999999996"/>
    <n v="5.4"/>
    <n v="5.7"/>
    <s v="Recession"/>
  </r>
  <r>
    <s v="T975"/>
    <x v="4"/>
    <x v="1"/>
    <x v="0"/>
    <x v="3"/>
    <s v="Jul"/>
    <x v="2"/>
    <x v="921"/>
    <n v="5.6"/>
    <x v="4"/>
    <n v="7.6"/>
    <x v="30"/>
    <n v="535"/>
    <x v="1"/>
    <n v="45.4"/>
    <s v="Cloud Engineer"/>
    <n v="26"/>
    <n v="43.2"/>
    <x v="409"/>
    <n v="6.8"/>
    <n v="7.4"/>
    <n v="7.2"/>
    <s v="Bull Market"/>
  </r>
  <r>
    <s v="T976"/>
    <x v="15"/>
    <x v="2"/>
    <x v="3"/>
    <x v="1"/>
    <s v="Jul"/>
    <x v="0"/>
    <x v="922"/>
    <n v="5.4"/>
    <x v="0"/>
    <n v="10.5"/>
    <x v="23"/>
    <n v="1349"/>
    <x v="0"/>
    <n v="59.1"/>
    <s v="Product Manager"/>
    <n v="76.599999999999994"/>
    <n v="-22.3"/>
    <x v="330"/>
    <n v="7.4"/>
    <n v="3.9"/>
    <n v="5.5"/>
    <s v="Bull Market"/>
  </r>
  <r>
    <s v="T977"/>
    <x v="3"/>
    <x v="1"/>
    <x v="0"/>
    <x v="2"/>
    <s v="Aug"/>
    <x v="1"/>
    <x v="923"/>
    <n v="39.299999999999997"/>
    <x v="3"/>
    <n v="3.8"/>
    <x v="26"/>
    <n v="107"/>
    <x v="2"/>
    <n v="79.599999999999994"/>
    <s v="DevOps Engineer"/>
    <n v="-34.1"/>
    <n v="52.6"/>
    <x v="410"/>
    <n v="3.2"/>
    <n v="5.5"/>
    <n v="4.4000000000000004"/>
    <s v="Recession"/>
  </r>
  <r>
    <s v="T978"/>
    <x v="9"/>
    <x v="1"/>
    <x v="0"/>
    <x v="0"/>
    <s v="May"/>
    <x v="0"/>
    <x v="924"/>
    <n v="1.3"/>
    <x v="1"/>
    <n v="8.3000000000000007"/>
    <x v="20"/>
    <n v="657"/>
    <x v="0"/>
    <n v="59.3"/>
    <s v="Cybersecurity Analyst"/>
    <n v="14.5"/>
    <n v="58.7"/>
    <x v="411"/>
    <n v="5.3"/>
    <n v="10"/>
    <n v="9.5"/>
    <s v="Bull Market"/>
  </r>
  <r>
    <s v="T979"/>
    <x v="9"/>
    <x v="1"/>
    <x v="1"/>
    <x v="3"/>
    <s v="Apr"/>
    <x v="2"/>
    <x v="925"/>
    <n v="1.8"/>
    <x v="2"/>
    <n v="4.5999999999999996"/>
    <x v="59"/>
    <n v="5913"/>
    <x v="0"/>
    <n v="16.5"/>
    <s v="Software Engineer"/>
    <n v="9"/>
    <n v="-14.8"/>
    <x v="223"/>
    <n v="3.6"/>
    <n v="6.5"/>
    <n v="6.7"/>
    <s v="Bull Market"/>
  </r>
  <r>
    <s v="T980"/>
    <x v="2"/>
    <x v="3"/>
    <x v="2"/>
    <x v="1"/>
    <s v="Oct"/>
    <x v="2"/>
    <x v="926"/>
    <n v="7.9"/>
    <x v="0"/>
    <n v="1.4"/>
    <x v="36"/>
    <n v="1432"/>
    <x v="1"/>
    <n v="17.2"/>
    <s v="DevOps Engineer"/>
    <n v="-20.8"/>
    <n v="-10.199999999999999"/>
    <x v="374"/>
    <n v="1.5"/>
    <n v="4.8"/>
    <n v="5.6"/>
    <s v="Stable"/>
  </r>
  <r>
    <s v="T981"/>
    <x v="2"/>
    <x v="3"/>
    <x v="5"/>
    <x v="0"/>
    <s v="Jul"/>
    <x v="0"/>
    <x v="927"/>
    <n v="1.8"/>
    <x v="3"/>
    <n v="3.9"/>
    <x v="88"/>
    <n v="1269"/>
    <x v="1"/>
    <n v="43.1"/>
    <s v="Data Scientist"/>
    <n v="10.5"/>
    <n v="-6.3"/>
    <x v="29"/>
    <n v="4"/>
    <n v="7.3"/>
    <n v="7.6"/>
    <s v="Bull Market"/>
  </r>
  <r>
    <s v="T982"/>
    <x v="4"/>
    <x v="1"/>
    <x v="5"/>
    <x v="3"/>
    <s v="Nov"/>
    <x v="1"/>
    <x v="928"/>
    <n v="14.8"/>
    <x v="0"/>
    <n v="5.6"/>
    <x v="82"/>
    <n v="1086"/>
    <x v="1"/>
    <n v="35.1"/>
    <s v="Cloud Engineer"/>
    <n v="44.8"/>
    <n v="-22.7"/>
    <x v="337"/>
    <n v="4.5"/>
    <n v="6.3"/>
    <n v="3.7"/>
    <s v="Recession"/>
  </r>
  <r>
    <s v="T983"/>
    <x v="14"/>
    <x v="1"/>
    <x v="3"/>
    <x v="1"/>
    <s v="Aug"/>
    <x v="1"/>
    <x v="353"/>
    <n v="9"/>
    <x v="4"/>
    <n v="1"/>
    <x v="74"/>
    <n v="1267"/>
    <x v="1"/>
    <n v="61.8"/>
    <s v="Data Scientist"/>
    <n v="-29.6"/>
    <n v="19.2"/>
    <x v="122"/>
    <n v="1.1000000000000001"/>
    <n v="8.6999999999999993"/>
    <n v="8"/>
    <s v="Bull Market"/>
  </r>
  <r>
    <s v="T984"/>
    <x v="2"/>
    <x v="3"/>
    <x v="5"/>
    <x v="0"/>
    <s v="Apr"/>
    <x v="2"/>
    <x v="929"/>
    <n v="5.7"/>
    <x v="2"/>
    <n v="8.8000000000000007"/>
    <x v="5"/>
    <n v="1223"/>
    <x v="0"/>
    <n v="58.6"/>
    <s v="Product Manager"/>
    <n v="55"/>
    <n v="-13.1"/>
    <x v="218"/>
    <n v="9"/>
    <n v="7.8"/>
    <n v="4.5"/>
    <s v="Bull Market"/>
  </r>
  <r>
    <s v="T985"/>
    <x v="5"/>
    <x v="3"/>
    <x v="2"/>
    <x v="2"/>
    <s v="Jul"/>
    <x v="2"/>
    <x v="930"/>
    <n v="37.200000000000003"/>
    <x v="0"/>
    <n v="3.9"/>
    <x v="5"/>
    <n v="590"/>
    <x v="2"/>
    <n v="45.9"/>
    <s v="Product Manager"/>
    <n v="-35.6"/>
    <n v="35"/>
    <x v="311"/>
    <n v="3.6"/>
    <n v="7"/>
    <n v="2.9"/>
    <s v="Recession"/>
  </r>
  <r>
    <s v="T986"/>
    <x v="17"/>
    <x v="3"/>
    <x v="4"/>
    <x v="1"/>
    <s v="Oct"/>
    <x v="1"/>
    <x v="931"/>
    <n v="21.5"/>
    <x v="0"/>
    <n v="3.7"/>
    <x v="35"/>
    <n v="1268"/>
    <x v="2"/>
    <n v="81.599999999999994"/>
    <s v="Software Engineer"/>
    <n v="31.2"/>
    <n v="40.5"/>
    <x v="159"/>
    <n v="2.8"/>
    <n v="7.8"/>
    <n v="4.5"/>
    <s v="Recession"/>
  </r>
  <r>
    <s v="T987"/>
    <x v="5"/>
    <x v="3"/>
    <x v="4"/>
    <x v="3"/>
    <s v="Oct"/>
    <x v="1"/>
    <x v="932"/>
    <n v="8.9"/>
    <x v="0"/>
    <n v="14.5"/>
    <x v="5"/>
    <n v="1164"/>
    <x v="0"/>
    <n v="14.9"/>
    <s v="DevOps Engineer"/>
    <n v="-36.4"/>
    <n v="-11.5"/>
    <x v="110"/>
    <n v="8.6999999999999993"/>
    <n v="6.2"/>
    <n v="5.5"/>
    <s v="Stable"/>
  </r>
  <r>
    <s v="T988"/>
    <x v="2"/>
    <x v="5"/>
    <x v="3"/>
    <x v="3"/>
    <s v="Mar"/>
    <x v="1"/>
    <x v="541"/>
    <n v="32.200000000000003"/>
    <x v="2"/>
    <n v="4.3"/>
    <x v="57"/>
    <n v="1080"/>
    <x v="2"/>
    <n v="20.6"/>
    <s v="Frontend Developer"/>
    <n v="77.400000000000006"/>
    <n v="34.299999999999997"/>
    <x v="45"/>
    <n v="3.4"/>
    <n v="7"/>
    <n v="3.3"/>
    <s v="Recession"/>
  </r>
  <r>
    <s v="T989"/>
    <x v="1"/>
    <x v="6"/>
    <x v="4"/>
    <x v="1"/>
    <s v="Jan"/>
    <x v="0"/>
    <x v="933"/>
    <n v="36.700000000000003"/>
    <x v="0"/>
    <n v="9.4"/>
    <x v="5"/>
    <n v="729"/>
    <x v="2"/>
    <n v="79.7"/>
    <s v="Frontend Developer"/>
    <n v="34.200000000000003"/>
    <n v="-1.1000000000000001"/>
    <x v="296"/>
    <n v="5.7"/>
    <n v="5.2"/>
    <n v="2.9"/>
    <s v="Recession"/>
  </r>
  <r>
    <s v="T990"/>
    <x v="17"/>
    <x v="3"/>
    <x v="4"/>
    <x v="1"/>
    <s v="Sep"/>
    <x v="0"/>
    <x v="934"/>
    <n v="12"/>
    <x v="4"/>
    <n v="1.3"/>
    <x v="62"/>
    <n v="1538"/>
    <x v="1"/>
    <n v="57.2"/>
    <s v="Data Scientist"/>
    <n v="-10.3"/>
    <n v="38.200000000000003"/>
    <x v="265"/>
    <n v="1.2"/>
    <n v="7.3"/>
    <n v="7.2"/>
    <s v="Stable"/>
  </r>
  <r>
    <s v="T991"/>
    <x v="6"/>
    <x v="2"/>
    <x v="3"/>
    <x v="0"/>
    <s v="Jul"/>
    <x v="0"/>
    <x v="935"/>
    <n v="4.5"/>
    <x v="0"/>
    <n v="2.8"/>
    <x v="13"/>
    <n v="5064"/>
    <x v="0"/>
    <n v="61"/>
    <s v="Cybersecurity Analyst"/>
    <n v="1.4"/>
    <n v="4.2"/>
    <x v="51"/>
    <n v="2.2000000000000002"/>
    <n v="7"/>
    <n v="7.4"/>
    <s v="Bull Market"/>
  </r>
  <r>
    <s v="T992"/>
    <x v="3"/>
    <x v="1"/>
    <x v="2"/>
    <x v="2"/>
    <s v="Aug"/>
    <x v="0"/>
    <x v="936"/>
    <n v="15.6"/>
    <x v="4"/>
    <n v="3.4"/>
    <x v="31"/>
    <n v="4230"/>
    <x v="1"/>
    <n v="45.2"/>
    <s v="Software Engineer"/>
    <n v="-37.6"/>
    <n v="12.2"/>
    <x v="155"/>
    <n v="3.2"/>
    <n v="7.7"/>
    <n v="6.4"/>
    <s v="Stable"/>
  </r>
  <r>
    <s v="T993"/>
    <x v="2"/>
    <x v="2"/>
    <x v="4"/>
    <x v="3"/>
    <s v="Sep"/>
    <x v="0"/>
    <x v="937"/>
    <n v="5.9"/>
    <x v="2"/>
    <n v="10.7"/>
    <x v="5"/>
    <n v="820"/>
    <x v="0"/>
    <n v="26.2"/>
    <s v="DevOps Engineer"/>
    <n v="39.4"/>
    <n v="3.9"/>
    <x v="7"/>
    <n v="9.8000000000000007"/>
    <n v="5.6"/>
    <n v="5"/>
    <s v="Stable"/>
  </r>
  <r>
    <s v="T994"/>
    <x v="11"/>
    <x v="6"/>
    <x v="5"/>
    <x v="0"/>
    <s v="Oct"/>
    <x v="0"/>
    <x v="938"/>
    <n v="4.4000000000000004"/>
    <x v="4"/>
    <n v="1"/>
    <x v="70"/>
    <n v="4462"/>
    <x v="0"/>
    <n v="84.6"/>
    <s v="Cloud Engineer"/>
    <n v="-13.1"/>
    <n v="36.1"/>
    <x v="221"/>
    <n v="1.6"/>
    <n v="6.4"/>
    <n v="7.7"/>
    <s v="Stable"/>
  </r>
  <r>
    <s v="T995"/>
    <x v="19"/>
    <x v="0"/>
    <x v="5"/>
    <x v="2"/>
    <s v="Jul"/>
    <x v="1"/>
    <x v="939"/>
    <n v="7.8"/>
    <x v="3"/>
    <n v="4.0999999999999996"/>
    <x v="38"/>
    <n v="7692"/>
    <x v="0"/>
    <n v="89.9"/>
    <s v="Data Scientist"/>
    <n v="29.6"/>
    <n v="22.1"/>
    <x v="204"/>
    <n v="4.9000000000000004"/>
    <n v="6"/>
    <n v="7.3"/>
    <s v="Stable"/>
  </r>
  <r>
    <s v="T996"/>
    <x v="17"/>
    <x v="3"/>
    <x v="0"/>
    <x v="2"/>
    <s v="Jan"/>
    <x v="0"/>
    <x v="940"/>
    <n v="8.1999999999999993"/>
    <x v="0"/>
    <n v="1.7"/>
    <x v="72"/>
    <n v="1604"/>
    <x v="1"/>
    <n v="57.7"/>
    <s v="ML Engineer"/>
    <n v="-36.200000000000003"/>
    <n v="-4.7"/>
    <x v="230"/>
    <n v="1.5"/>
    <n v="6.5"/>
    <n v="6.6"/>
    <s v="Bull Market"/>
  </r>
  <r>
    <s v="T997"/>
    <x v="3"/>
    <x v="1"/>
    <x v="1"/>
    <x v="2"/>
    <s v="Jul"/>
    <x v="1"/>
    <x v="941"/>
    <n v="7.4"/>
    <x v="1"/>
    <n v="5.0999999999999996"/>
    <x v="39"/>
    <n v="5924"/>
    <x v="0"/>
    <n v="50.9"/>
    <s v="Cloud Engineer"/>
    <n v="9.3000000000000007"/>
    <n v="32.5"/>
    <x v="228"/>
    <n v="4.3"/>
    <n v="8.3000000000000007"/>
    <n v="7.9"/>
    <s v="Bull Market"/>
  </r>
  <r>
    <s v="T998"/>
    <x v="2"/>
    <x v="2"/>
    <x v="5"/>
    <x v="0"/>
    <s v="Mar"/>
    <x v="0"/>
    <x v="942"/>
    <n v="4.9000000000000004"/>
    <x v="3"/>
    <n v="7.5"/>
    <x v="7"/>
    <n v="1370"/>
    <x v="1"/>
    <n v="16"/>
    <s v="Cybersecurity Analyst"/>
    <n v="39.5"/>
    <n v="-23.9"/>
    <x v="149"/>
    <n v="8.3000000000000007"/>
    <n v="6.4"/>
    <n v="6"/>
    <s v="Bull Market"/>
  </r>
  <r>
    <s v="T999"/>
    <x v="4"/>
    <x v="1"/>
    <x v="5"/>
    <x v="2"/>
    <s v="Feb"/>
    <x v="2"/>
    <x v="943"/>
    <n v="14.4"/>
    <x v="2"/>
    <n v="1.4"/>
    <x v="70"/>
    <n v="1687"/>
    <x v="2"/>
    <n v="56.8"/>
    <s v="Cloud Engineer"/>
    <n v="9.4"/>
    <n v="50"/>
    <x v="10"/>
    <n v="1.6"/>
    <n v="8.1"/>
    <n v="6.9"/>
    <s v="Recession"/>
  </r>
  <r>
    <s v="T1000"/>
    <x v="2"/>
    <x v="1"/>
    <x v="4"/>
    <x v="1"/>
    <s v="Apr"/>
    <x v="2"/>
    <x v="944"/>
    <n v="7.1"/>
    <x v="0"/>
    <n v="5.2"/>
    <x v="7"/>
    <n v="3059"/>
    <x v="0"/>
    <n v="43.9"/>
    <s v="ML Engineer"/>
    <n v="-26.7"/>
    <n v="15.4"/>
    <x v="15"/>
    <n v="3.7"/>
    <n v="7.7"/>
    <n v="7.3"/>
    <s v="Bull Market"/>
  </r>
  <r>
    <s v="T1001"/>
    <x v="15"/>
    <x v="2"/>
    <x v="1"/>
    <x v="3"/>
    <s v="Sep"/>
    <x v="0"/>
    <x v="945"/>
    <n v="13.6"/>
    <x v="4"/>
    <n v="2.9"/>
    <x v="7"/>
    <n v="4015"/>
    <x v="1"/>
    <n v="75"/>
    <s v="Data Scientist"/>
    <n v="-26.8"/>
    <n v="52.1"/>
    <x v="412"/>
    <n v="3.4"/>
    <n v="5.6"/>
    <n v="7"/>
    <s v="Stable"/>
  </r>
  <r>
    <s v="T1002"/>
    <x v="18"/>
    <x v="0"/>
    <x v="2"/>
    <x v="3"/>
    <s v="Jul"/>
    <x v="1"/>
    <x v="946"/>
    <n v="3"/>
    <x v="2"/>
    <n v="8.4"/>
    <x v="11"/>
    <n v="9318"/>
    <x v="0"/>
    <n v="52.3"/>
    <s v="Data Scientist"/>
    <n v="14.4"/>
    <n v="-10"/>
    <x v="413"/>
    <n v="5.3"/>
    <n v="5.5"/>
    <n v="5.4"/>
    <s v="Stable"/>
  </r>
  <r>
    <s v="T1003"/>
    <x v="0"/>
    <x v="5"/>
    <x v="4"/>
    <x v="1"/>
    <s v="Aug"/>
    <x v="0"/>
    <x v="947"/>
    <n v="39.1"/>
    <x v="2"/>
    <n v="6.5"/>
    <x v="5"/>
    <n v="1893"/>
    <x v="1"/>
    <n v="70.900000000000006"/>
    <s v="ML Engineer"/>
    <n v="57"/>
    <n v="45"/>
    <x v="259"/>
    <n v="9.6999999999999993"/>
    <n v="5.9"/>
    <n v="3.4"/>
    <s v="Recession"/>
  </r>
  <r>
    <s v="T1004"/>
    <x v="8"/>
    <x v="4"/>
    <x v="5"/>
    <x v="0"/>
    <s v="Jul"/>
    <x v="0"/>
    <x v="948"/>
    <n v="6.6"/>
    <x v="3"/>
    <n v="5"/>
    <x v="64"/>
    <n v="2279"/>
    <x v="1"/>
    <n v="87.1"/>
    <s v="DevOps Engineer"/>
    <n v="81.099999999999994"/>
    <n v="-16.2"/>
    <x v="88"/>
    <n v="3.2"/>
    <n v="4.4000000000000004"/>
    <n v="5.4"/>
    <s v="Bull Market"/>
  </r>
  <r>
    <s v="T1005"/>
    <x v="10"/>
    <x v="3"/>
    <x v="1"/>
    <x v="1"/>
    <s v="Apr"/>
    <x v="0"/>
    <x v="949"/>
    <n v="1.8"/>
    <x v="0"/>
    <n v="4.0999999999999996"/>
    <x v="65"/>
    <n v="1314"/>
    <x v="1"/>
    <n v="33.200000000000003"/>
    <s v="Frontend Developer"/>
    <n v="-13.8"/>
    <n v="19.100000000000001"/>
    <x v="292"/>
    <n v="6.1"/>
    <n v="6.3"/>
    <n v="6.9"/>
    <s v="Stable"/>
  </r>
  <r>
    <s v="T1006"/>
    <x v="0"/>
    <x v="5"/>
    <x v="5"/>
    <x v="1"/>
    <s v="Jul"/>
    <x v="0"/>
    <x v="950"/>
    <n v="15.6"/>
    <x v="2"/>
    <n v="4.0999999999999996"/>
    <x v="39"/>
    <n v="705"/>
    <x v="1"/>
    <n v="40.9"/>
    <s v="Cybersecurity Analyst"/>
    <n v="17"/>
    <n v="50.7"/>
    <x v="204"/>
    <n v="3.6"/>
    <n v="6.3"/>
    <n v="7.1"/>
    <s v="Recession"/>
  </r>
  <r>
    <s v="T1007"/>
    <x v="0"/>
    <x v="5"/>
    <x v="1"/>
    <x v="3"/>
    <s v="Jun"/>
    <x v="1"/>
    <x v="951"/>
    <n v="3.5"/>
    <x v="4"/>
    <n v="1.7"/>
    <x v="6"/>
    <n v="4862"/>
    <x v="1"/>
    <n v="72.5"/>
    <s v="Software Engineer"/>
    <n v="-0.3"/>
    <n v="-24.6"/>
    <x v="20"/>
    <n v="1.5"/>
    <n v="6"/>
    <n v="6.6"/>
    <s v="Stable"/>
  </r>
  <r>
    <s v="T1008"/>
    <x v="2"/>
    <x v="1"/>
    <x v="4"/>
    <x v="2"/>
    <s v="Oct"/>
    <x v="0"/>
    <x v="952"/>
    <n v="7.2"/>
    <x v="2"/>
    <n v="4"/>
    <x v="76"/>
    <n v="1599"/>
    <x v="1"/>
    <n v="20.2"/>
    <s v="Cloud Engineer"/>
    <n v="-9.6"/>
    <n v="21.7"/>
    <x v="257"/>
    <n v="3.7"/>
    <n v="8.8000000000000007"/>
    <n v="6.8"/>
    <s v="Stable"/>
  </r>
  <r>
    <s v="T1009"/>
    <x v="7"/>
    <x v="4"/>
    <x v="0"/>
    <x v="0"/>
    <s v="Nov"/>
    <x v="2"/>
    <x v="5"/>
    <n v="2.6"/>
    <x v="3"/>
    <n v="1.4"/>
    <x v="19"/>
    <n v="2320"/>
    <x v="1"/>
    <n v="53.6"/>
    <s v="ML Engineer"/>
    <n v="57.7"/>
    <n v="31.3"/>
    <x v="105"/>
    <n v="1.6"/>
    <n v="6.5"/>
    <n v="7.5"/>
    <s v="Bull Market"/>
  </r>
  <r>
    <s v="T1010"/>
    <x v="1"/>
    <x v="0"/>
    <x v="3"/>
    <x v="3"/>
    <s v="Jul"/>
    <x v="2"/>
    <x v="953"/>
    <n v="9.6999999999999993"/>
    <x v="3"/>
    <n v="4.9000000000000004"/>
    <x v="39"/>
    <n v="5993"/>
    <x v="0"/>
    <n v="24"/>
    <s v="ML Engineer"/>
    <n v="0.9"/>
    <n v="60"/>
    <x v="414"/>
    <n v="6.9"/>
    <n v="7.5"/>
    <n v="8.5"/>
    <s v="Bull Market"/>
  </r>
  <r>
    <s v="T1011"/>
    <x v="17"/>
    <x v="0"/>
    <x v="5"/>
    <x v="2"/>
    <s v="May"/>
    <x v="2"/>
    <x v="954"/>
    <n v="33.9"/>
    <x v="0"/>
    <n v="2.8"/>
    <x v="69"/>
    <n v="2087"/>
    <x v="2"/>
    <n v="15.5"/>
    <s v="Data Scientist"/>
    <n v="9.1999999999999993"/>
    <n v="14.6"/>
    <x v="168"/>
    <n v="3.4"/>
    <n v="5.0999999999999996"/>
    <n v="3.5"/>
    <s v="Recession"/>
  </r>
  <r>
    <s v="T1012"/>
    <x v="12"/>
    <x v="5"/>
    <x v="5"/>
    <x v="3"/>
    <s v="Aug"/>
    <x v="1"/>
    <x v="955"/>
    <n v="1.3"/>
    <x v="0"/>
    <n v="1.8"/>
    <x v="19"/>
    <n v="5696"/>
    <x v="0"/>
    <n v="53.7"/>
    <s v="DevOps Engineer"/>
    <n v="6.6"/>
    <n v="-10.5"/>
    <x v="223"/>
    <n v="3"/>
    <n v="6.3"/>
    <n v="7.2"/>
    <s v="Bull Market"/>
  </r>
  <r>
    <s v="T1013"/>
    <x v="3"/>
    <x v="1"/>
    <x v="5"/>
    <x v="2"/>
    <s v="Jul"/>
    <x v="0"/>
    <x v="956"/>
    <n v="2.9"/>
    <x v="4"/>
    <n v="12.9"/>
    <x v="18"/>
    <n v="3328"/>
    <x v="0"/>
    <n v="19.100000000000001"/>
    <s v="Cloud Engineer"/>
    <n v="30.2"/>
    <n v="48.7"/>
    <x v="412"/>
    <n v="7.9"/>
    <n v="9.6999999999999993"/>
    <n v="7.8"/>
    <s v="Bull Market"/>
  </r>
  <r>
    <s v="T1014"/>
    <x v="10"/>
    <x v="3"/>
    <x v="5"/>
    <x v="1"/>
    <s v="Feb"/>
    <x v="2"/>
    <x v="957"/>
    <n v="4.0999999999999996"/>
    <x v="2"/>
    <n v="3.9"/>
    <x v="47"/>
    <n v="1924"/>
    <x v="1"/>
    <n v="76"/>
    <s v="Product Manager"/>
    <n v="7.1"/>
    <n v="57.8"/>
    <x v="211"/>
    <n v="5.7"/>
    <n v="9.3000000000000007"/>
    <n v="9.4"/>
    <s v="Stable"/>
  </r>
  <r>
    <s v="T1015"/>
    <x v="17"/>
    <x v="0"/>
    <x v="5"/>
    <x v="3"/>
    <s v="Feb"/>
    <x v="2"/>
    <x v="958"/>
    <n v="4.4000000000000004"/>
    <x v="1"/>
    <n v="8.5"/>
    <x v="71"/>
    <n v="6758"/>
    <x v="0"/>
    <n v="64.2"/>
    <s v="ML Engineer"/>
    <n v="63.8"/>
    <n v="43.9"/>
    <x v="120"/>
    <n v="5.9"/>
    <n v="8.1999999999999993"/>
    <n v="7.9"/>
    <s v="Bull Market"/>
  </r>
  <r>
    <s v="T1016"/>
    <x v="1"/>
    <x v="4"/>
    <x v="5"/>
    <x v="2"/>
    <s v="May"/>
    <x v="0"/>
    <x v="177"/>
    <n v="8.4"/>
    <x v="2"/>
    <n v="3"/>
    <x v="47"/>
    <n v="1408"/>
    <x v="1"/>
    <n v="82.1"/>
    <s v="Cloud Engineer"/>
    <n v="-6.5"/>
    <n v="-17.899999999999999"/>
    <x v="363"/>
    <n v="2.7"/>
    <n v="5"/>
    <n v="5"/>
    <s v="Bull Market"/>
  </r>
  <r>
    <s v="T1017"/>
    <x v="18"/>
    <x v="0"/>
    <x v="4"/>
    <x v="3"/>
    <s v="Jan"/>
    <x v="0"/>
    <x v="959"/>
    <n v="3.5"/>
    <x v="2"/>
    <n v="4.3"/>
    <x v="78"/>
    <n v="3276"/>
    <x v="0"/>
    <n v="43.6"/>
    <s v="ML Engineer"/>
    <n v="13.6"/>
    <n v="52.1"/>
    <x v="22"/>
    <n v="4.0999999999999996"/>
    <n v="10"/>
    <n v="8.5"/>
    <s v="Bull Market"/>
  </r>
  <r>
    <s v="T1018"/>
    <x v="4"/>
    <x v="0"/>
    <x v="0"/>
    <x v="2"/>
    <s v="Apr"/>
    <x v="0"/>
    <x v="468"/>
    <n v="12.9"/>
    <x v="4"/>
    <n v="7.3"/>
    <x v="5"/>
    <n v="5350"/>
    <x v="0"/>
    <n v="69.900000000000006"/>
    <s v="ML Engineer"/>
    <n v="-19.100000000000001"/>
    <n v="-6"/>
    <x v="32"/>
    <n v="7.1"/>
    <n v="4.8"/>
    <n v="4.4000000000000004"/>
    <s v="Stable"/>
  </r>
  <r>
    <s v="T1019"/>
    <x v="1"/>
    <x v="0"/>
    <x v="2"/>
    <x v="0"/>
    <s v="Aug"/>
    <x v="0"/>
    <x v="960"/>
    <n v="16"/>
    <x v="1"/>
    <n v="1.4"/>
    <x v="0"/>
    <n v="2394"/>
    <x v="1"/>
    <n v="88.6"/>
    <s v="ML Engineer"/>
    <n v="-30.6"/>
    <n v="8.6"/>
    <x v="136"/>
    <n v="2"/>
    <n v="7.3"/>
    <n v="5.7"/>
    <s v="Recession"/>
  </r>
  <r>
    <s v="T1020"/>
    <x v="2"/>
    <x v="1"/>
    <x v="4"/>
    <x v="2"/>
    <s v="Dec"/>
    <x v="0"/>
    <x v="961"/>
    <n v="3.9"/>
    <x v="1"/>
    <n v="1.2"/>
    <x v="37"/>
    <n v="5959"/>
    <x v="0"/>
    <n v="70.5"/>
    <s v="Data Scientist"/>
    <n v="24.4"/>
    <n v="-11.6"/>
    <x v="369"/>
    <n v="1.3"/>
    <n v="8.1999999999999993"/>
    <n v="6.7"/>
    <s v="Stable"/>
  </r>
  <r>
    <s v="T1021"/>
    <x v="4"/>
    <x v="1"/>
    <x v="3"/>
    <x v="1"/>
    <s v="Jul"/>
    <x v="2"/>
    <x v="702"/>
    <n v="14.3"/>
    <x v="1"/>
    <n v="5.9"/>
    <x v="60"/>
    <n v="3916"/>
    <x v="1"/>
    <n v="56.6"/>
    <s v="Data Scientist"/>
    <n v="41.6"/>
    <n v="52.3"/>
    <x v="152"/>
    <n v="4.8"/>
    <n v="9.1999999999999993"/>
    <n v="7.2"/>
    <s v="Stable"/>
  </r>
  <r>
    <s v="T1022"/>
    <x v="6"/>
    <x v="2"/>
    <x v="5"/>
    <x v="3"/>
    <s v="Apr"/>
    <x v="1"/>
    <x v="962"/>
    <n v="1.3"/>
    <x v="0"/>
    <n v="1.8"/>
    <x v="79"/>
    <n v="3163"/>
    <x v="1"/>
    <n v="47.2"/>
    <s v="Cloud Engineer"/>
    <n v="-8.6"/>
    <n v="53.6"/>
    <x v="43"/>
    <n v="1.8"/>
    <n v="10"/>
    <n v="9.5"/>
    <s v="Bull Market"/>
  </r>
  <r>
    <s v="T1023"/>
    <x v="2"/>
    <x v="3"/>
    <x v="0"/>
    <x v="0"/>
    <s v="Aug"/>
    <x v="1"/>
    <x v="963"/>
    <n v="16.600000000000001"/>
    <x v="0"/>
    <n v="11.1"/>
    <x v="5"/>
    <n v="709"/>
    <x v="1"/>
    <n v="37.4"/>
    <s v="Product Manager"/>
    <n v="-44"/>
    <n v="31.4"/>
    <x v="297"/>
    <n v="9.6999999999999993"/>
    <n v="6"/>
    <n v="4.9000000000000004"/>
    <s v="Stable"/>
  </r>
  <r>
    <s v="T1024"/>
    <x v="6"/>
    <x v="1"/>
    <x v="0"/>
    <x v="2"/>
    <s v="Apr"/>
    <x v="1"/>
    <x v="964"/>
    <n v="2.1"/>
    <x v="4"/>
    <n v="8.3000000000000007"/>
    <x v="60"/>
    <n v="2983"/>
    <x v="1"/>
    <n v="56.6"/>
    <s v="Software Engineer"/>
    <n v="-9.4"/>
    <n v="55.9"/>
    <x v="415"/>
    <n v="6.6"/>
    <n v="7"/>
    <n v="8.4"/>
    <s v="Stable"/>
  </r>
  <r>
    <s v="T1025"/>
    <x v="8"/>
    <x v="4"/>
    <x v="3"/>
    <x v="3"/>
    <s v="Mar"/>
    <x v="2"/>
    <x v="965"/>
    <n v="0.3"/>
    <x v="1"/>
    <n v="1.6"/>
    <x v="88"/>
    <n v="5870"/>
    <x v="0"/>
    <n v="86.4"/>
    <s v="Frontend Developer"/>
    <n v="-32.4"/>
    <n v="56.8"/>
    <x v="172"/>
    <n v="1.5"/>
    <n v="8"/>
    <n v="8.6999999999999993"/>
    <s v="Bull Market"/>
  </r>
  <r>
    <s v="T1026"/>
    <x v="17"/>
    <x v="3"/>
    <x v="1"/>
    <x v="1"/>
    <s v="Nov"/>
    <x v="2"/>
    <x v="966"/>
    <n v="31.9"/>
    <x v="2"/>
    <n v="9.1"/>
    <x v="5"/>
    <n v="1151"/>
    <x v="1"/>
    <n v="17.5"/>
    <s v="ML Engineer"/>
    <n v="58.4"/>
    <n v="43.3"/>
    <x v="232"/>
    <n v="9.6"/>
    <n v="4.0999999999999996"/>
    <n v="4.5999999999999996"/>
    <s v="Recession"/>
  </r>
  <r>
    <s v="T1027"/>
    <x v="2"/>
    <x v="0"/>
    <x v="1"/>
    <x v="2"/>
    <s v="Mar"/>
    <x v="0"/>
    <x v="967"/>
    <n v="0.7"/>
    <x v="1"/>
    <n v="7.2"/>
    <x v="20"/>
    <n v="3176"/>
    <x v="0"/>
    <n v="80.599999999999994"/>
    <s v="Data Scientist"/>
    <n v="74"/>
    <n v="23"/>
    <x v="121"/>
    <n v="8.1999999999999993"/>
    <n v="5.8"/>
    <n v="8.4"/>
    <s v="Bull Market"/>
  </r>
  <r>
    <s v="T1028"/>
    <x v="0"/>
    <x v="2"/>
    <x v="2"/>
    <x v="0"/>
    <s v="Mar"/>
    <x v="2"/>
    <x v="968"/>
    <n v="39.9"/>
    <x v="4"/>
    <n v="6"/>
    <x v="5"/>
    <n v="658"/>
    <x v="2"/>
    <n v="77.5"/>
    <s v="ML Engineer"/>
    <n v="79.7"/>
    <n v="3.1"/>
    <x v="416"/>
    <n v="6.6"/>
    <n v="5.2"/>
    <n v="3"/>
    <s v="Recession"/>
  </r>
  <r>
    <s v="T1029"/>
    <x v="10"/>
    <x v="3"/>
    <x v="4"/>
    <x v="0"/>
    <s v="Jun"/>
    <x v="1"/>
    <x v="969"/>
    <n v="7.1"/>
    <x v="2"/>
    <n v="2.2000000000000002"/>
    <x v="70"/>
    <n v="2134"/>
    <x v="1"/>
    <n v="63"/>
    <s v="DevOps Engineer"/>
    <n v="31.3"/>
    <n v="46.6"/>
    <x v="181"/>
    <n v="1.6"/>
    <n v="9"/>
    <n v="8.6"/>
    <s v="Bull Market"/>
  </r>
  <r>
    <s v="T1030"/>
    <x v="2"/>
    <x v="1"/>
    <x v="4"/>
    <x v="3"/>
    <s v="May"/>
    <x v="2"/>
    <x v="970"/>
    <n v="13.1"/>
    <x v="0"/>
    <n v="7"/>
    <x v="5"/>
    <n v="986"/>
    <x v="0"/>
    <n v="70.7"/>
    <s v="Cybersecurity Analyst"/>
    <n v="-22.4"/>
    <n v="-6.7"/>
    <x v="349"/>
    <n v="9.8000000000000007"/>
    <n v="5.9"/>
    <n v="4.2"/>
    <s v="Stable"/>
  </r>
  <r>
    <s v="T1031"/>
    <x v="2"/>
    <x v="3"/>
    <x v="1"/>
    <x v="0"/>
    <s v="Sep"/>
    <x v="1"/>
    <x v="971"/>
    <n v="4.5999999999999996"/>
    <x v="0"/>
    <n v="11.7"/>
    <x v="5"/>
    <n v="1327"/>
    <x v="0"/>
    <n v="71.5"/>
    <s v="Cybersecurity Analyst"/>
    <n v="25.6"/>
    <n v="52.2"/>
    <x v="95"/>
    <n v="7.4"/>
    <n v="7.1"/>
    <n v="7.7"/>
    <s v="Stable"/>
  </r>
  <r>
    <s v="T1032"/>
    <x v="0"/>
    <x v="0"/>
    <x v="2"/>
    <x v="3"/>
    <s v="Nov"/>
    <x v="0"/>
    <x v="972"/>
    <n v="12.7"/>
    <x v="1"/>
    <n v="3"/>
    <x v="47"/>
    <n v="2880"/>
    <x v="1"/>
    <n v="35.1"/>
    <s v="ML Engineer"/>
    <n v="14.3"/>
    <n v="-24.8"/>
    <x v="176"/>
    <n v="2.6"/>
    <n v="6.8"/>
    <n v="5.0999999999999996"/>
    <s v="Stable"/>
  </r>
  <r>
    <s v="T1033"/>
    <x v="16"/>
    <x v="2"/>
    <x v="1"/>
    <x v="1"/>
    <s v="Apr"/>
    <x v="1"/>
    <x v="973"/>
    <n v="11.4"/>
    <x v="1"/>
    <n v="8.6999999999999993"/>
    <x v="5"/>
    <n v="4910"/>
    <x v="0"/>
    <n v="55.4"/>
    <s v="Software Engineer"/>
    <n v="0.3"/>
    <n v="3"/>
    <x v="184"/>
    <n v="8.1"/>
    <n v="6.6"/>
    <n v="4.5999999999999996"/>
    <s v="Stable"/>
  </r>
  <r>
    <s v="T1034"/>
    <x v="18"/>
    <x v="0"/>
    <x v="0"/>
    <x v="2"/>
    <s v="Feb"/>
    <x v="2"/>
    <x v="974"/>
    <n v="8.1999999999999993"/>
    <x v="4"/>
    <n v="7.5"/>
    <x v="75"/>
    <n v="5247"/>
    <x v="0"/>
    <n v="78.099999999999994"/>
    <s v="Data Scientist"/>
    <n v="-15"/>
    <n v="28"/>
    <x v="105"/>
    <n v="5.2"/>
    <n v="6.2"/>
    <n v="7.6"/>
    <s v="Bull Market"/>
  </r>
  <r>
    <s v="T1035"/>
    <x v="4"/>
    <x v="1"/>
    <x v="5"/>
    <x v="0"/>
    <s v="Oct"/>
    <x v="2"/>
    <x v="975"/>
    <n v="37.200000000000003"/>
    <x v="1"/>
    <n v="5.9"/>
    <x v="5"/>
    <n v="1677"/>
    <x v="1"/>
    <n v="48.3"/>
    <s v="Cybersecurity Analyst"/>
    <n v="64.900000000000006"/>
    <n v="9.6999999999999993"/>
    <x v="63"/>
    <n v="9"/>
    <n v="4.5999999999999996"/>
    <n v="3.3"/>
    <s v="Recession"/>
  </r>
  <r>
    <s v="T1036"/>
    <x v="15"/>
    <x v="2"/>
    <x v="1"/>
    <x v="2"/>
    <s v="Jun"/>
    <x v="0"/>
    <x v="976"/>
    <n v="3.5"/>
    <x v="4"/>
    <n v="5.7"/>
    <x v="1"/>
    <n v="1412"/>
    <x v="0"/>
    <n v="15"/>
    <s v="Data Scientist"/>
    <n v="-29.2"/>
    <n v="-8.1999999999999993"/>
    <x v="206"/>
    <n v="5"/>
    <n v="6.3"/>
    <n v="5.6"/>
    <s v="Bull Market"/>
  </r>
  <r>
    <s v="T1037"/>
    <x v="8"/>
    <x v="6"/>
    <x v="3"/>
    <x v="2"/>
    <s v="Mar"/>
    <x v="0"/>
    <x v="977"/>
    <n v="16"/>
    <x v="2"/>
    <n v="6.1"/>
    <x v="52"/>
    <n v="1025"/>
    <x v="1"/>
    <n v="67.3"/>
    <s v="Data Scientist"/>
    <n v="49.3"/>
    <n v="48.3"/>
    <x v="164"/>
    <n v="6.4"/>
    <n v="8.1999999999999993"/>
    <n v="6.1"/>
    <s v="Recession"/>
  </r>
  <r>
    <s v="T1038"/>
    <x v="12"/>
    <x v="0"/>
    <x v="4"/>
    <x v="1"/>
    <s v="Dec"/>
    <x v="0"/>
    <x v="978"/>
    <n v="26.7"/>
    <x v="2"/>
    <n v="8.3000000000000007"/>
    <x v="84"/>
    <n v="2069"/>
    <x v="1"/>
    <n v="36.5"/>
    <s v="Data Scientist"/>
    <n v="42.2"/>
    <n v="26"/>
    <x v="374"/>
    <n v="6"/>
    <n v="4.8"/>
    <n v="5.2"/>
    <s v="Recession"/>
  </r>
  <r>
    <s v="T1039"/>
    <x v="17"/>
    <x v="3"/>
    <x v="1"/>
    <x v="3"/>
    <s v="Aug"/>
    <x v="1"/>
    <x v="979"/>
    <n v="35.4"/>
    <x v="1"/>
    <n v="7.2"/>
    <x v="5"/>
    <n v="159"/>
    <x v="2"/>
    <n v="84"/>
    <s v="Software Engineer"/>
    <n v="-17.600000000000001"/>
    <n v="35.700000000000003"/>
    <x v="325"/>
    <n v="5.8"/>
    <n v="4.5999999999999996"/>
    <n v="3.5"/>
    <s v="Recession"/>
  </r>
  <r>
    <s v="T1040"/>
    <x v="11"/>
    <x v="6"/>
    <x v="1"/>
    <x v="0"/>
    <s v="Aug"/>
    <x v="0"/>
    <x v="453"/>
    <n v="14.8"/>
    <x v="3"/>
    <n v="6.5"/>
    <x v="24"/>
    <n v="1253"/>
    <x v="1"/>
    <n v="29.8"/>
    <s v="Cybersecurity Analyst"/>
    <n v="-22.1"/>
    <n v="49.5"/>
    <x v="208"/>
    <n v="5"/>
    <n v="5.7"/>
    <n v="6.4"/>
    <s v="Stable"/>
  </r>
  <r>
    <s v="T1041"/>
    <x v="16"/>
    <x v="2"/>
    <x v="4"/>
    <x v="3"/>
    <s v="Aug"/>
    <x v="0"/>
    <x v="980"/>
    <n v="25.7"/>
    <x v="0"/>
    <n v="2.4"/>
    <x v="8"/>
    <n v="1846"/>
    <x v="2"/>
    <n v="80.5"/>
    <s v="ML Engineer"/>
    <n v="75.599999999999994"/>
    <n v="51.1"/>
    <x v="289"/>
    <n v="1.7"/>
    <n v="8.3000000000000007"/>
    <n v="6.5"/>
    <s v="Recession"/>
  </r>
  <r>
    <s v="T1042"/>
    <x v="5"/>
    <x v="3"/>
    <x v="0"/>
    <x v="1"/>
    <s v="Dec"/>
    <x v="0"/>
    <x v="981"/>
    <n v="5.5"/>
    <x v="4"/>
    <n v="1.4"/>
    <x v="6"/>
    <n v="2033"/>
    <x v="1"/>
    <n v="51.2"/>
    <s v="Frontend Developer"/>
    <n v="33.200000000000003"/>
    <n v="56.7"/>
    <x v="365"/>
    <n v="1.3"/>
    <n v="7.2"/>
    <n v="8.3000000000000007"/>
    <s v="Stable"/>
  </r>
  <r>
    <s v="T1043"/>
    <x v="6"/>
    <x v="2"/>
    <x v="5"/>
    <x v="1"/>
    <s v="Mar"/>
    <x v="1"/>
    <x v="982"/>
    <n v="34.5"/>
    <x v="2"/>
    <n v="6"/>
    <x v="48"/>
    <n v="1170"/>
    <x v="2"/>
    <n v="22.2"/>
    <s v="ML Engineer"/>
    <n v="-40"/>
    <n v="9"/>
    <x v="363"/>
    <n v="4.8"/>
    <n v="3.7"/>
    <n v="2.9"/>
    <s v="Recession"/>
  </r>
  <r>
    <s v="T1044"/>
    <x v="4"/>
    <x v="1"/>
    <x v="1"/>
    <x v="2"/>
    <s v="Feb"/>
    <x v="1"/>
    <x v="983"/>
    <n v="39.6"/>
    <x v="3"/>
    <n v="1.7"/>
    <x v="5"/>
    <n v="919"/>
    <x v="2"/>
    <n v="13.6"/>
    <s v="ML Engineer"/>
    <n v="45.5"/>
    <n v="-12.7"/>
    <x v="417"/>
    <n v="2.7"/>
    <n v="1.5"/>
    <n v="1.2"/>
    <s v="Recession"/>
  </r>
  <r>
    <s v="T1045"/>
    <x v="14"/>
    <x v="1"/>
    <x v="0"/>
    <x v="0"/>
    <s v="Jan"/>
    <x v="0"/>
    <x v="984"/>
    <n v="12.7"/>
    <x v="1"/>
    <n v="7.4"/>
    <x v="10"/>
    <n v="1028"/>
    <x v="1"/>
    <n v="44.3"/>
    <s v="Frontend Developer"/>
    <n v="78.3"/>
    <n v="37.700000000000003"/>
    <x v="267"/>
    <n v="4.5"/>
    <n v="6.8"/>
    <n v="6.1"/>
    <s v="Stable"/>
  </r>
  <r>
    <s v="T1046"/>
    <x v="2"/>
    <x v="3"/>
    <x v="3"/>
    <x v="0"/>
    <s v="Dec"/>
    <x v="0"/>
    <x v="985"/>
    <n v="15"/>
    <x v="3"/>
    <n v="3.2"/>
    <x v="67"/>
    <n v="1999"/>
    <x v="2"/>
    <n v="69.400000000000006"/>
    <s v="ML Engineer"/>
    <n v="-5.2"/>
    <n v="-2.8"/>
    <x v="337"/>
    <n v="4.0999999999999996"/>
    <n v="5.6"/>
    <n v="4"/>
    <s v="Stable"/>
  </r>
  <r>
    <s v="T1047"/>
    <x v="14"/>
    <x v="1"/>
    <x v="2"/>
    <x v="2"/>
    <s v="Sep"/>
    <x v="2"/>
    <x v="986"/>
    <n v="1.6"/>
    <x v="3"/>
    <n v="13.1"/>
    <x v="5"/>
    <n v="2460"/>
    <x v="0"/>
    <n v="86.8"/>
    <s v="DevOps Engineer"/>
    <n v="-12.1"/>
    <n v="28.4"/>
    <x v="174"/>
    <n v="7.9"/>
    <n v="9.1999999999999993"/>
    <n v="5.9"/>
    <s v="Bull Market"/>
  </r>
  <r>
    <s v="T1048"/>
    <x v="16"/>
    <x v="2"/>
    <x v="5"/>
    <x v="1"/>
    <s v="Jul"/>
    <x v="2"/>
    <x v="987"/>
    <n v="5"/>
    <x v="1"/>
    <n v="8.4"/>
    <x v="58"/>
    <n v="964"/>
    <x v="1"/>
    <n v="27.6"/>
    <s v="Frontend Developer"/>
    <n v="86.7"/>
    <n v="-22"/>
    <x v="264"/>
    <n v="5.6"/>
    <n v="5.6"/>
    <n v="6.3"/>
    <s v="Bull Market"/>
  </r>
  <r>
    <s v="T1049"/>
    <x v="0"/>
    <x v="1"/>
    <x v="2"/>
    <x v="1"/>
    <s v="Apr"/>
    <x v="2"/>
    <x v="988"/>
    <n v="36.6"/>
    <x v="3"/>
    <n v="9.9"/>
    <x v="5"/>
    <n v="421"/>
    <x v="2"/>
    <n v="80.900000000000006"/>
    <s v="Cybersecurity Analyst"/>
    <n v="-26.9"/>
    <n v="20.9"/>
    <x v="29"/>
    <n v="5.9"/>
    <n v="5.9"/>
    <n v="2"/>
    <s v="Recession"/>
  </r>
  <r>
    <s v="T1050"/>
    <x v="11"/>
    <x v="6"/>
    <x v="0"/>
    <x v="2"/>
    <s v="Aug"/>
    <x v="0"/>
    <x v="989"/>
    <n v="12.5"/>
    <x v="4"/>
    <n v="12.7"/>
    <x v="52"/>
    <n v="869"/>
    <x v="0"/>
    <n v="10.4"/>
    <s v="Frontend Developer"/>
    <n v="44.7"/>
    <n v="-19.2"/>
    <x v="418"/>
    <n v="9.9"/>
    <n v="4.5999999999999996"/>
    <n v="4.5999999999999996"/>
    <s v="Recession"/>
  </r>
  <r>
    <s v="T1051"/>
    <x v="2"/>
    <x v="0"/>
    <x v="0"/>
    <x v="2"/>
    <s v="Aug"/>
    <x v="0"/>
    <x v="990"/>
    <n v="4.7"/>
    <x v="3"/>
    <n v="4.9000000000000004"/>
    <x v="35"/>
    <n v="2177"/>
    <x v="0"/>
    <n v="60.8"/>
    <s v="ML Engineer"/>
    <n v="-36.6"/>
    <n v="56"/>
    <x v="353"/>
    <n v="6.4"/>
    <n v="7.3"/>
    <n v="7.3"/>
    <s v="Bull Market"/>
  </r>
  <r>
    <s v="T1052"/>
    <x v="2"/>
    <x v="3"/>
    <x v="4"/>
    <x v="3"/>
    <s v="Mar"/>
    <x v="2"/>
    <x v="991"/>
    <n v="7.8"/>
    <x v="3"/>
    <n v="1"/>
    <x v="66"/>
    <n v="3816"/>
    <x v="1"/>
    <n v="40.6"/>
    <s v="Software Engineer"/>
    <n v="-28.8"/>
    <n v="-21.2"/>
    <x v="123"/>
    <n v="1.5"/>
    <n v="5.3"/>
    <n v="5"/>
    <s v="Stable"/>
  </r>
  <r>
    <s v="T1053"/>
    <x v="12"/>
    <x v="5"/>
    <x v="5"/>
    <x v="0"/>
    <s v="Feb"/>
    <x v="2"/>
    <x v="992"/>
    <n v="17.899999999999999"/>
    <x v="3"/>
    <n v="2.2000000000000002"/>
    <x v="30"/>
    <n v="2586"/>
    <x v="2"/>
    <n v="35.4"/>
    <s v="DevOps Engineer"/>
    <n v="-36.6"/>
    <n v="56.7"/>
    <x v="419"/>
    <n v="2.4"/>
    <n v="8.8000000000000007"/>
    <n v="7.2"/>
    <s v="Stable"/>
  </r>
  <r>
    <s v="T1054"/>
    <x v="0"/>
    <x v="0"/>
    <x v="5"/>
    <x v="3"/>
    <s v="Dec"/>
    <x v="1"/>
    <x v="993"/>
    <n v="38.700000000000003"/>
    <x v="2"/>
    <n v="5.9"/>
    <x v="5"/>
    <n v="3025"/>
    <x v="1"/>
    <n v="48.2"/>
    <s v="Data Scientist"/>
    <n v="60.7"/>
    <n v="54.6"/>
    <x v="122"/>
    <n v="5.5"/>
    <n v="5.6"/>
    <n v="4.3"/>
    <s v="Recession"/>
  </r>
  <r>
    <s v="T1055"/>
    <x v="1"/>
    <x v="1"/>
    <x v="2"/>
    <x v="2"/>
    <s v="Jan"/>
    <x v="0"/>
    <x v="714"/>
    <n v="2.8"/>
    <x v="1"/>
    <n v="1.2"/>
    <x v="19"/>
    <n v="3208"/>
    <x v="0"/>
    <n v="84.8"/>
    <s v="Product Manager"/>
    <n v="43.4"/>
    <n v="3.8"/>
    <x v="340"/>
    <n v="1.8"/>
    <n v="8.6"/>
    <n v="8.5"/>
    <s v="Bull Market"/>
  </r>
  <r>
    <s v="T1056"/>
    <x v="2"/>
    <x v="0"/>
    <x v="1"/>
    <x v="1"/>
    <s v="Jul"/>
    <x v="1"/>
    <x v="994"/>
    <n v="8.8000000000000007"/>
    <x v="3"/>
    <n v="10.7"/>
    <x v="82"/>
    <n v="3052"/>
    <x v="1"/>
    <n v="34.799999999999997"/>
    <s v="ML Engineer"/>
    <n v="-10.1"/>
    <n v="-20.3"/>
    <x v="295"/>
    <n v="6.5"/>
    <n v="6.4"/>
    <n v="5.8"/>
    <s v="Recession"/>
  </r>
  <r>
    <s v="T1057"/>
    <x v="5"/>
    <x v="3"/>
    <x v="1"/>
    <x v="1"/>
    <s v="Feb"/>
    <x v="1"/>
    <x v="995"/>
    <n v="4.5"/>
    <x v="2"/>
    <n v="10.8"/>
    <x v="15"/>
    <n v="3827"/>
    <x v="0"/>
    <n v="68.099999999999994"/>
    <s v="ML Engineer"/>
    <n v="88.3"/>
    <n v="55.1"/>
    <x v="420"/>
    <n v="7"/>
    <n v="8.6"/>
    <n v="8.1999999999999993"/>
    <s v="Stable"/>
  </r>
  <r>
    <s v="T1058"/>
    <x v="2"/>
    <x v="1"/>
    <x v="3"/>
    <x v="2"/>
    <s v="May"/>
    <x v="1"/>
    <x v="996"/>
    <n v="34.9"/>
    <x v="1"/>
    <n v="8.5"/>
    <x v="5"/>
    <n v="1451"/>
    <x v="1"/>
    <n v="22.2"/>
    <s v="Frontend Developer"/>
    <n v="4.4000000000000004"/>
    <n v="-11.9"/>
    <x v="421"/>
    <n v="5.7"/>
    <n v="5.8"/>
    <n v="2.4"/>
    <s v="Recession"/>
  </r>
  <r>
    <s v="T1059"/>
    <x v="6"/>
    <x v="1"/>
    <x v="0"/>
    <x v="1"/>
    <s v="Nov"/>
    <x v="0"/>
    <x v="997"/>
    <n v="2.7"/>
    <x v="3"/>
    <n v="6.2"/>
    <x v="5"/>
    <n v="3409"/>
    <x v="3"/>
    <n v="89.5"/>
    <s v="Cloud Engineer"/>
    <n v="20.5"/>
    <n v="-20.7"/>
    <x v="212"/>
    <n v="9.6999999999999993"/>
    <n v="5.4"/>
    <n v="5.0999999999999996"/>
    <s v="Bull Market"/>
  </r>
  <r>
    <s v="T1060"/>
    <x v="9"/>
    <x v="0"/>
    <x v="5"/>
    <x v="2"/>
    <s v="Jun"/>
    <x v="0"/>
    <x v="998"/>
    <n v="5.4"/>
    <x v="1"/>
    <n v="11.4"/>
    <x v="5"/>
    <n v="5284"/>
    <x v="3"/>
    <n v="81.5"/>
    <s v="ML Engineer"/>
    <n v="-27.7"/>
    <n v="35.6"/>
    <x v="289"/>
    <n v="8.8000000000000007"/>
    <n v="7.6"/>
    <n v="6.1"/>
    <s v="Stable"/>
  </r>
  <r>
    <s v="T1061"/>
    <x v="16"/>
    <x v="2"/>
    <x v="2"/>
    <x v="0"/>
    <s v="Dec"/>
    <x v="2"/>
    <x v="999"/>
    <n v="21.4"/>
    <x v="0"/>
    <n v="9.9"/>
    <x v="5"/>
    <n v="986"/>
    <x v="1"/>
    <n v="35.799999999999997"/>
    <s v="DevOps Engineer"/>
    <n v="21.9"/>
    <n v="33.9"/>
    <x v="180"/>
    <n v="5.9"/>
    <n v="7.6"/>
    <n v="4"/>
    <s v="Recession"/>
  </r>
  <r>
    <s v="T1062"/>
    <x v="2"/>
    <x v="3"/>
    <x v="3"/>
    <x v="1"/>
    <s v="Jun"/>
    <x v="0"/>
    <x v="608"/>
    <n v="7.6"/>
    <x v="2"/>
    <n v="8"/>
    <x v="57"/>
    <n v="4253"/>
    <x v="1"/>
    <n v="87.2"/>
    <s v="Cloud Engineer"/>
    <n v="-22.2"/>
    <n v="-7.7"/>
    <x v="380"/>
    <n v="6.8"/>
    <n v="4.4000000000000004"/>
    <n v="6"/>
    <s v="Bull Market"/>
  </r>
  <r>
    <s v="T1063"/>
    <x v="19"/>
    <x v="0"/>
    <x v="3"/>
    <x v="1"/>
    <s v="Apr"/>
    <x v="2"/>
    <x v="1000"/>
    <n v="15.8"/>
    <x v="1"/>
    <n v="2.6"/>
    <x v="24"/>
    <n v="7467"/>
    <x v="0"/>
    <n v="32.4"/>
    <s v="ML Engineer"/>
    <n v="86.5"/>
    <n v="-22.4"/>
    <x v="422"/>
    <n v="3.5"/>
    <n v="4.2"/>
    <n v="5.6"/>
    <s v="Recession"/>
  </r>
  <r>
    <s v="T1064"/>
    <x v="16"/>
    <x v="2"/>
    <x v="5"/>
    <x v="0"/>
    <s v="Jan"/>
    <x v="0"/>
    <x v="1001"/>
    <n v="23"/>
    <x v="0"/>
    <n v="2.9"/>
    <x v="30"/>
    <n v="1551"/>
    <x v="2"/>
    <n v="77.3"/>
    <s v="Data Scientist"/>
    <n v="51.4"/>
    <n v="-9.6"/>
    <x v="301"/>
    <n v="2.2000000000000002"/>
    <n v="3.3"/>
    <n v="3.4"/>
    <s v="Recession"/>
  </r>
  <r>
    <s v="T1065"/>
    <x v="9"/>
    <x v="0"/>
    <x v="1"/>
    <x v="1"/>
    <s v="Mar"/>
    <x v="0"/>
    <x v="1002"/>
    <n v="21.8"/>
    <x v="3"/>
    <n v="12.7"/>
    <x v="5"/>
    <n v="5487"/>
    <x v="0"/>
    <n v="28.9"/>
    <s v="Data Scientist"/>
    <n v="40.6"/>
    <n v="57.1"/>
    <x v="205"/>
    <n v="8.9"/>
    <n v="7.5"/>
    <n v="6.1"/>
    <s v="Recession"/>
  </r>
  <r>
    <s v="T1066"/>
    <x v="9"/>
    <x v="0"/>
    <x v="0"/>
    <x v="1"/>
    <s v="Jul"/>
    <x v="1"/>
    <x v="1003"/>
    <n v="31.8"/>
    <x v="3"/>
    <n v="6.3"/>
    <x v="5"/>
    <n v="2719"/>
    <x v="1"/>
    <n v="38"/>
    <s v="ML Engineer"/>
    <n v="2.1"/>
    <n v="2.8"/>
    <x v="46"/>
    <n v="7.9"/>
    <n v="6.4"/>
    <n v="3.5"/>
    <s v="Recession"/>
  </r>
  <r>
    <s v="T1067"/>
    <x v="2"/>
    <x v="2"/>
    <x v="2"/>
    <x v="3"/>
    <s v="Sep"/>
    <x v="1"/>
    <x v="1004"/>
    <n v="3.9"/>
    <x v="3"/>
    <n v="5.2"/>
    <x v="5"/>
    <n v="2902"/>
    <x v="0"/>
    <n v="21.1"/>
    <s v="Data Scientist"/>
    <n v="23.9"/>
    <n v="6.1"/>
    <x v="55"/>
    <n v="7.9"/>
    <n v="8"/>
    <n v="5.7"/>
    <s v="Bull Market"/>
  </r>
  <r>
    <s v="T1068"/>
    <x v="8"/>
    <x v="6"/>
    <x v="3"/>
    <x v="1"/>
    <s v="Mar"/>
    <x v="1"/>
    <x v="1005"/>
    <n v="5.6"/>
    <x v="1"/>
    <n v="7.1"/>
    <x v="5"/>
    <n v="3514"/>
    <x v="0"/>
    <n v="54.5"/>
    <s v="DevOps Engineer"/>
    <n v="33.299999999999997"/>
    <n v="32.5"/>
    <x v="423"/>
    <n v="5.9"/>
    <n v="6.2"/>
    <n v="6.6"/>
    <s v="Bull Market"/>
  </r>
  <r>
    <s v="T1069"/>
    <x v="15"/>
    <x v="2"/>
    <x v="1"/>
    <x v="0"/>
    <s v="Jul"/>
    <x v="0"/>
    <x v="1006"/>
    <n v="2.1"/>
    <x v="2"/>
    <n v="7.5"/>
    <x v="5"/>
    <n v="5960"/>
    <x v="3"/>
    <n v="89.5"/>
    <s v="Frontend Developer"/>
    <n v="44.4"/>
    <n v="7"/>
    <x v="391"/>
    <n v="9.6"/>
    <n v="8.6"/>
    <n v="5.6"/>
    <s v="Stable"/>
  </r>
  <r>
    <s v="T1070"/>
    <x v="1"/>
    <x v="6"/>
    <x v="0"/>
    <x v="3"/>
    <s v="Apr"/>
    <x v="1"/>
    <x v="1007"/>
    <n v="25.7"/>
    <x v="4"/>
    <n v="13.6"/>
    <x v="5"/>
    <n v="1375"/>
    <x v="1"/>
    <n v="76.400000000000006"/>
    <s v="Frontend Developer"/>
    <n v="-6.4"/>
    <n v="-20.8"/>
    <x v="41"/>
    <n v="9.1"/>
    <n v="4.0999999999999996"/>
    <n v="2.5"/>
    <s v="Recession"/>
  </r>
  <r>
    <s v="T1071"/>
    <x v="8"/>
    <x v="6"/>
    <x v="4"/>
    <x v="3"/>
    <s v="Sep"/>
    <x v="2"/>
    <x v="1008"/>
    <n v="16"/>
    <x v="3"/>
    <n v="2.1"/>
    <x v="45"/>
    <n v="1979"/>
    <x v="1"/>
    <n v="72"/>
    <s v="Cybersecurity Analyst"/>
    <n v="-37.6"/>
    <n v="17.3"/>
    <x v="294"/>
    <n v="2"/>
    <n v="4.9000000000000004"/>
    <n v="5.0999999999999996"/>
    <s v="Stable"/>
  </r>
  <r>
    <s v="T1072"/>
    <x v="7"/>
    <x v="4"/>
    <x v="3"/>
    <x v="1"/>
    <s v="Apr"/>
    <x v="2"/>
    <x v="1009"/>
    <n v="21.7"/>
    <x v="2"/>
    <n v="5"/>
    <x v="83"/>
    <n v="1974"/>
    <x v="2"/>
    <n v="23.1"/>
    <s v="DevOps Engineer"/>
    <n v="-21.1"/>
    <n v="14.3"/>
    <x v="174"/>
    <n v="4"/>
    <n v="4.3"/>
    <n v="5.2"/>
    <s v="Recession"/>
  </r>
  <r>
    <s v="T1073"/>
    <x v="2"/>
    <x v="2"/>
    <x v="5"/>
    <x v="3"/>
    <s v="May"/>
    <x v="1"/>
    <x v="1010"/>
    <n v="33.799999999999997"/>
    <x v="3"/>
    <n v="2.8"/>
    <x v="5"/>
    <n v="787"/>
    <x v="2"/>
    <n v="44"/>
    <s v="Cloud Engineer"/>
    <n v="71.5"/>
    <n v="2.5"/>
    <x v="344"/>
    <n v="2.9"/>
    <n v="5.5"/>
    <n v="2.5"/>
    <s v="Recession"/>
  </r>
  <r>
    <s v="T1074"/>
    <x v="3"/>
    <x v="1"/>
    <x v="1"/>
    <x v="3"/>
    <s v="Dec"/>
    <x v="1"/>
    <x v="948"/>
    <n v="27.4"/>
    <x v="1"/>
    <n v="9.1999999999999993"/>
    <x v="5"/>
    <n v="1390"/>
    <x v="2"/>
    <n v="32.4"/>
    <s v="Cloud Engineer"/>
    <n v="-10.199999999999999"/>
    <n v="-18.600000000000001"/>
    <x v="424"/>
    <n v="6.2"/>
    <n v="4.3"/>
    <n v="3.6"/>
    <s v="Recession"/>
  </r>
  <r>
    <s v="T1075"/>
    <x v="1"/>
    <x v="0"/>
    <x v="3"/>
    <x v="2"/>
    <s v="May"/>
    <x v="2"/>
    <x v="55"/>
    <n v="3.6"/>
    <x v="0"/>
    <n v="6.1"/>
    <x v="71"/>
    <n v="2020"/>
    <x v="1"/>
    <n v="80.599999999999994"/>
    <s v="ML Engineer"/>
    <n v="60.5"/>
    <n v="3.2"/>
    <x v="333"/>
    <n v="4.0999999999999996"/>
    <n v="4.9000000000000004"/>
    <n v="7.5"/>
    <s v="Bull Market"/>
  </r>
  <r>
    <s v="T1076"/>
    <x v="8"/>
    <x v="4"/>
    <x v="5"/>
    <x v="3"/>
    <s v="Jul"/>
    <x v="0"/>
    <x v="1011"/>
    <n v="19.5"/>
    <x v="0"/>
    <n v="8.5"/>
    <x v="5"/>
    <n v="311"/>
    <x v="1"/>
    <n v="37.5"/>
    <s v="ML Engineer"/>
    <n v="55.6"/>
    <n v="14"/>
    <x v="56"/>
    <n v="7.5"/>
    <n v="6.7"/>
    <n v="5.2"/>
    <s v="Recession"/>
  </r>
  <r>
    <s v="T1077"/>
    <x v="2"/>
    <x v="1"/>
    <x v="2"/>
    <x v="0"/>
    <s v="May"/>
    <x v="2"/>
    <x v="1012"/>
    <n v="15.1"/>
    <x v="2"/>
    <n v="5"/>
    <x v="9"/>
    <n v="1303"/>
    <x v="1"/>
    <n v="19.100000000000001"/>
    <s v="Cybersecurity Analyst"/>
    <n v="54.6"/>
    <n v="39.700000000000003"/>
    <x v="121"/>
    <n v="5.2"/>
    <n v="7"/>
    <n v="5"/>
    <s v="Recession"/>
  </r>
  <r>
    <s v="T1078"/>
    <x v="12"/>
    <x v="5"/>
    <x v="1"/>
    <x v="2"/>
    <s v="Dec"/>
    <x v="1"/>
    <x v="1013"/>
    <n v="5.8"/>
    <x v="1"/>
    <n v="1.9"/>
    <x v="19"/>
    <n v="5584"/>
    <x v="1"/>
    <n v="20"/>
    <s v="ML Engineer"/>
    <n v="27.9"/>
    <n v="34.299999999999997"/>
    <x v="200"/>
    <n v="2.2000000000000002"/>
    <n v="8.1999999999999993"/>
    <n v="9.1"/>
    <s v="Stable"/>
  </r>
  <r>
    <s v="T1079"/>
    <x v="8"/>
    <x v="4"/>
    <x v="1"/>
    <x v="1"/>
    <s v="Nov"/>
    <x v="1"/>
    <x v="1014"/>
    <n v="8.6"/>
    <x v="2"/>
    <n v="2.4"/>
    <x v="12"/>
    <n v="1597"/>
    <x v="1"/>
    <n v="11.4"/>
    <s v="Cybersecurity Analyst"/>
    <n v="-23.6"/>
    <n v="-20.7"/>
    <x v="144"/>
    <n v="3.2"/>
    <n v="4.2"/>
    <n v="5.6"/>
    <s v="Recession"/>
  </r>
  <r>
    <s v="T1080"/>
    <x v="18"/>
    <x v="0"/>
    <x v="5"/>
    <x v="3"/>
    <s v="Nov"/>
    <x v="2"/>
    <x v="1015"/>
    <n v="5.0999999999999996"/>
    <x v="4"/>
    <n v="8.5"/>
    <x v="48"/>
    <n v="1134"/>
    <x v="1"/>
    <n v="38.4"/>
    <s v="ML Engineer"/>
    <n v="81.5"/>
    <n v="39"/>
    <x v="425"/>
    <n v="8.5"/>
    <n v="6.6"/>
    <n v="7.1"/>
    <s v="Stable"/>
  </r>
  <r>
    <s v="T1081"/>
    <x v="17"/>
    <x v="0"/>
    <x v="3"/>
    <x v="3"/>
    <s v="Mar"/>
    <x v="0"/>
    <x v="404"/>
    <n v="10.7"/>
    <x v="2"/>
    <n v="9"/>
    <x v="5"/>
    <n v="8445"/>
    <x v="3"/>
    <n v="29.7"/>
    <s v="ML Engineer"/>
    <n v="71.7"/>
    <n v="-8.1"/>
    <x v="349"/>
    <n v="7.8"/>
    <n v="6.7"/>
    <n v="4.0999999999999996"/>
    <s v="Stable"/>
  </r>
  <r>
    <s v="T1082"/>
    <x v="5"/>
    <x v="3"/>
    <x v="0"/>
    <x v="1"/>
    <s v="Mar"/>
    <x v="0"/>
    <x v="1016"/>
    <n v="2.2999999999999998"/>
    <x v="4"/>
    <n v="11.6"/>
    <x v="5"/>
    <n v="3427"/>
    <x v="0"/>
    <n v="78.900000000000006"/>
    <s v="Cybersecurity Analyst"/>
    <n v="-36.1"/>
    <n v="4.5"/>
    <x v="249"/>
    <n v="7.5"/>
    <n v="5.5"/>
    <n v="5.7"/>
    <s v="Stable"/>
  </r>
  <r>
    <s v="T1083"/>
    <x v="8"/>
    <x v="4"/>
    <x v="4"/>
    <x v="2"/>
    <s v="Jul"/>
    <x v="0"/>
    <x v="1017"/>
    <n v="17.899999999999999"/>
    <x v="1"/>
    <n v="4.5999999999999996"/>
    <x v="60"/>
    <n v="181"/>
    <x v="1"/>
    <n v="35.4"/>
    <s v="Cybersecurity Analyst"/>
    <n v="31.9"/>
    <n v="34.5"/>
    <x v="18"/>
    <n v="6.6"/>
    <n v="7.1"/>
    <n v="4.5"/>
    <s v="Recession"/>
  </r>
  <r>
    <s v="T1084"/>
    <x v="10"/>
    <x v="3"/>
    <x v="3"/>
    <x v="2"/>
    <s v="Jun"/>
    <x v="0"/>
    <x v="1018"/>
    <n v="7"/>
    <x v="2"/>
    <n v="7.3"/>
    <x v="5"/>
    <n v="3965"/>
    <x v="0"/>
    <n v="14.7"/>
    <s v="Data Scientist"/>
    <n v="-0.2"/>
    <n v="-8.3000000000000007"/>
    <x v="141"/>
    <n v="9"/>
    <n v="4.9000000000000004"/>
    <n v="6"/>
    <s v="Bull Market"/>
  </r>
  <r>
    <s v="T1085"/>
    <x v="1"/>
    <x v="6"/>
    <x v="3"/>
    <x v="0"/>
    <s v="Dec"/>
    <x v="0"/>
    <x v="1019"/>
    <n v="7.2"/>
    <x v="0"/>
    <n v="13.3"/>
    <x v="5"/>
    <n v="1419"/>
    <x v="1"/>
    <n v="66.400000000000006"/>
    <s v="Frontend Developer"/>
    <n v="0"/>
    <n v="-14.9"/>
    <x v="88"/>
    <n v="8.1"/>
    <n v="5.5"/>
    <n v="4"/>
    <s v="Stable"/>
  </r>
  <r>
    <s v="T1086"/>
    <x v="0"/>
    <x v="2"/>
    <x v="1"/>
    <x v="1"/>
    <s v="Jun"/>
    <x v="2"/>
    <x v="1020"/>
    <n v="7.5"/>
    <x v="4"/>
    <n v="7.4"/>
    <x v="26"/>
    <n v="382"/>
    <x v="0"/>
    <n v="81.8"/>
    <s v="DevOps Engineer"/>
    <n v="-11.9"/>
    <n v="-5.4"/>
    <x v="153"/>
    <n v="5.7"/>
    <n v="6.2"/>
    <n v="6"/>
    <s v="Bull Market"/>
  </r>
  <r>
    <s v="T1087"/>
    <x v="2"/>
    <x v="1"/>
    <x v="1"/>
    <x v="2"/>
    <s v="Sep"/>
    <x v="1"/>
    <x v="1021"/>
    <n v="3.8"/>
    <x v="2"/>
    <n v="9.9"/>
    <x v="9"/>
    <n v="5239"/>
    <x v="0"/>
    <n v="55.2"/>
    <s v="Product Manager"/>
    <n v="-25.4"/>
    <n v="56"/>
    <x v="378"/>
    <n v="6.4"/>
    <n v="8.3000000000000007"/>
    <n v="6.8"/>
    <s v="Stable"/>
  </r>
  <r>
    <s v="T1088"/>
    <x v="0"/>
    <x v="5"/>
    <x v="0"/>
    <x v="3"/>
    <s v="Nov"/>
    <x v="0"/>
    <x v="314"/>
    <n v="9.9"/>
    <x v="1"/>
    <n v="2.2000000000000002"/>
    <x v="22"/>
    <n v="3177"/>
    <x v="1"/>
    <n v="68.5"/>
    <s v="Product Manager"/>
    <n v="6.7"/>
    <n v="51.8"/>
    <x v="157"/>
    <n v="1.3"/>
    <n v="8.6999999999999993"/>
    <n v="8.1999999999999993"/>
    <s v="Bull Market"/>
  </r>
  <r>
    <s v="T1089"/>
    <x v="2"/>
    <x v="5"/>
    <x v="0"/>
    <x v="3"/>
    <s v="Apr"/>
    <x v="2"/>
    <x v="1022"/>
    <n v="7.1"/>
    <x v="2"/>
    <n v="10.3"/>
    <x v="5"/>
    <n v="4287"/>
    <x v="0"/>
    <n v="20.6"/>
    <s v="Software Engineer"/>
    <n v="-44.3"/>
    <n v="-24.3"/>
    <x v="402"/>
    <n v="6.9"/>
    <n v="4.8"/>
    <n v="4.7"/>
    <s v="Stable"/>
  </r>
  <r>
    <s v="T1090"/>
    <x v="4"/>
    <x v="1"/>
    <x v="0"/>
    <x v="2"/>
    <s v="Sep"/>
    <x v="2"/>
    <x v="1023"/>
    <n v="9.1999999999999993"/>
    <x v="1"/>
    <n v="8.6999999999999993"/>
    <x v="5"/>
    <n v="2242"/>
    <x v="0"/>
    <n v="11"/>
    <s v="Cloud Engineer"/>
    <n v="31.5"/>
    <n v="34.9"/>
    <x v="288"/>
    <n v="8"/>
    <n v="9.1"/>
    <n v="6.3"/>
    <s v="Stable"/>
  </r>
  <r>
    <s v="T1091"/>
    <x v="13"/>
    <x v="5"/>
    <x v="4"/>
    <x v="3"/>
    <s v="Mar"/>
    <x v="2"/>
    <x v="1024"/>
    <n v="9.8000000000000007"/>
    <x v="2"/>
    <n v="9.5"/>
    <x v="5"/>
    <n v="223"/>
    <x v="1"/>
    <n v="76.2"/>
    <s v="Frontend Developer"/>
    <n v="-22.7"/>
    <n v="31.2"/>
    <x v="426"/>
    <n v="5.7"/>
    <n v="8.5"/>
    <n v="6.8"/>
    <s v="Bull Market"/>
  </r>
  <r>
    <s v="T1092"/>
    <x v="6"/>
    <x v="2"/>
    <x v="2"/>
    <x v="1"/>
    <s v="May"/>
    <x v="2"/>
    <x v="1025"/>
    <n v="36.299999999999997"/>
    <x v="1"/>
    <n v="2.4"/>
    <x v="5"/>
    <n v="1054"/>
    <x v="2"/>
    <n v="11.9"/>
    <s v="ML Engineer"/>
    <n v="86.5"/>
    <n v="32.6"/>
    <x v="287"/>
    <n v="2.6"/>
    <n v="4.3"/>
    <n v="3.2"/>
    <s v="Recession"/>
  </r>
  <r>
    <s v="T1093"/>
    <x v="7"/>
    <x v="4"/>
    <x v="1"/>
    <x v="1"/>
    <s v="Jan"/>
    <x v="2"/>
    <x v="1026"/>
    <n v="5.2"/>
    <x v="4"/>
    <n v="2"/>
    <x v="4"/>
    <n v="4788"/>
    <x v="0"/>
    <n v="83.9"/>
    <s v="Cloud Engineer"/>
    <n v="14.7"/>
    <n v="21.5"/>
    <x v="300"/>
    <n v="2.5"/>
    <n v="7.2"/>
    <n v="7.5"/>
    <s v="Stable"/>
  </r>
  <r>
    <s v="T1094"/>
    <x v="4"/>
    <x v="1"/>
    <x v="2"/>
    <x v="1"/>
    <s v="Nov"/>
    <x v="0"/>
    <x v="1027"/>
    <n v="28.9"/>
    <x v="0"/>
    <n v="10.6"/>
    <x v="5"/>
    <n v="1726"/>
    <x v="2"/>
    <n v="38.9"/>
    <s v="Product Manager"/>
    <n v="70.900000000000006"/>
    <n v="8.8000000000000007"/>
    <x v="24"/>
    <n v="7.4"/>
    <n v="5.5"/>
    <n v="4.2"/>
    <s v="Recession"/>
  </r>
  <r>
    <s v="T1095"/>
    <x v="2"/>
    <x v="1"/>
    <x v="1"/>
    <x v="0"/>
    <s v="Mar"/>
    <x v="2"/>
    <x v="1028"/>
    <n v="6"/>
    <x v="1"/>
    <n v="6.6"/>
    <x v="73"/>
    <n v="321"/>
    <x v="1"/>
    <n v="36.700000000000003"/>
    <s v="Cloud Engineer"/>
    <n v="-1.3"/>
    <n v="17.100000000000001"/>
    <x v="157"/>
    <n v="7.7"/>
    <n v="6.8"/>
    <n v="6"/>
    <s v="Bull Market"/>
  </r>
  <r>
    <s v="T1096"/>
    <x v="9"/>
    <x v="1"/>
    <x v="1"/>
    <x v="2"/>
    <s v="Oct"/>
    <x v="2"/>
    <x v="1029"/>
    <n v="9.4"/>
    <x v="2"/>
    <n v="3"/>
    <x v="44"/>
    <n v="1348"/>
    <x v="1"/>
    <n v="38.200000000000003"/>
    <s v="Cloud Engineer"/>
    <n v="-38.4"/>
    <n v="-21.2"/>
    <x v="354"/>
    <n v="2.8"/>
    <n v="7.2"/>
    <n v="5.4"/>
    <s v="Bull Market"/>
  </r>
  <r>
    <s v="T1097"/>
    <x v="9"/>
    <x v="0"/>
    <x v="4"/>
    <x v="0"/>
    <s v="Jul"/>
    <x v="2"/>
    <x v="1030"/>
    <n v="17.3"/>
    <x v="1"/>
    <n v="3"/>
    <x v="28"/>
    <n v="8737"/>
    <x v="0"/>
    <n v="30.7"/>
    <s v="Data Scientist"/>
    <n v="74"/>
    <n v="21.5"/>
    <x v="132"/>
    <n v="4.7"/>
    <n v="6.9"/>
    <n v="5.4"/>
    <s v="Stable"/>
  </r>
  <r>
    <s v="T1098"/>
    <x v="3"/>
    <x v="1"/>
    <x v="0"/>
    <x v="1"/>
    <s v="May"/>
    <x v="0"/>
    <x v="1031"/>
    <n v="9.4"/>
    <x v="1"/>
    <n v="1.2"/>
    <x v="72"/>
    <n v="2140"/>
    <x v="1"/>
    <n v="49.3"/>
    <s v="Product Manager"/>
    <n v="49.8"/>
    <n v="42.4"/>
    <x v="168"/>
    <n v="1.1000000000000001"/>
    <n v="9"/>
    <n v="7.2"/>
    <s v="Bull Market"/>
  </r>
  <r>
    <s v="T1099"/>
    <x v="0"/>
    <x v="0"/>
    <x v="1"/>
    <x v="3"/>
    <s v="Jul"/>
    <x v="0"/>
    <x v="1032"/>
    <n v="11.5"/>
    <x v="0"/>
    <n v="7.1"/>
    <x v="5"/>
    <n v="6878"/>
    <x v="3"/>
    <n v="62.7"/>
    <s v="Data Scientist"/>
    <n v="41"/>
    <n v="-0.6"/>
    <x v="279"/>
    <n v="9.5"/>
    <n v="6.3"/>
    <n v="5.6"/>
    <s v="Stable"/>
  </r>
  <r>
    <s v="T1100"/>
    <x v="3"/>
    <x v="1"/>
    <x v="0"/>
    <x v="1"/>
    <s v="May"/>
    <x v="2"/>
    <x v="1033"/>
    <n v="2.2000000000000002"/>
    <x v="2"/>
    <n v="7.5"/>
    <x v="40"/>
    <n v="838"/>
    <x v="1"/>
    <n v="45.8"/>
    <s v="Cloud Engineer"/>
    <n v="85.4"/>
    <n v="44.6"/>
    <x v="11"/>
    <n v="5.0999999999999996"/>
    <n v="8.6"/>
    <n v="7.7"/>
    <s v="Stable"/>
  </r>
  <r>
    <s v="T1101"/>
    <x v="4"/>
    <x v="1"/>
    <x v="3"/>
    <x v="3"/>
    <s v="Dec"/>
    <x v="0"/>
    <x v="1034"/>
    <n v="16.2"/>
    <x v="3"/>
    <n v="3.5"/>
    <x v="58"/>
    <n v="3343"/>
    <x v="1"/>
    <n v="46.7"/>
    <s v="Cloud Engineer"/>
    <n v="72.900000000000006"/>
    <n v="-24.5"/>
    <x v="358"/>
    <n v="2.9"/>
    <n v="5.5"/>
    <n v="3.9"/>
    <s v="Stable"/>
  </r>
  <r>
    <s v="T1102"/>
    <x v="2"/>
    <x v="3"/>
    <x v="2"/>
    <x v="2"/>
    <s v="Feb"/>
    <x v="0"/>
    <x v="1035"/>
    <n v="4.5"/>
    <x v="4"/>
    <n v="3"/>
    <x v="61"/>
    <n v="2090"/>
    <x v="1"/>
    <n v="61.1"/>
    <s v="Cybersecurity Analyst"/>
    <n v="39.200000000000003"/>
    <n v="56.4"/>
    <x v="427"/>
    <n v="2.8"/>
    <n v="7.5"/>
    <n v="7.2"/>
    <s v="Stable"/>
  </r>
  <r>
    <s v="T1103"/>
    <x v="8"/>
    <x v="6"/>
    <x v="2"/>
    <x v="2"/>
    <s v="Jul"/>
    <x v="2"/>
    <x v="1036"/>
    <n v="26.6"/>
    <x v="0"/>
    <n v="2"/>
    <x v="83"/>
    <n v="1676"/>
    <x v="2"/>
    <n v="66.7"/>
    <s v="Cloud Engineer"/>
    <n v="60.2"/>
    <n v="4.9000000000000004"/>
    <x v="223"/>
    <n v="1.2"/>
    <n v="5.7"/>
    <n v="4.3"/>
    <s v="Recession"/>
  </r>
  <r>
    <s v="T1104"/>
    <x v="2"/>
    <x v="0"/>
    <x v="5"/>
    <x v="3"/>
    <s v="Jun"/>
    <x v="2"/>
    <x v="77"/>
    <n v="3.5"/>
    <x v="0"/>
    <n v="4.4000000000000004"/>
    <x v="45"/>
    <n v="6370"/>
    <x v="0"/>
    <n v="28.6"/>
    <s v="Data Scientist"/>
    <n v="86.9"/>
    <n v="34.9"/>
    <x v="308"/>
    <n v="3.7"/>
    <n v="6.3"/>
    <n v="7.5"/>
    <s v="Bull Market"/>
  </r>
  <r>
    <s v="T1105"/>
    <x v="19"/>
    <x v="0"/>
    <x v="3"/>
    <x v="3"/>
    <s v="Nov"/>
    <x v="2"/>
    <x v="1037"/>
    <n v="37.700000000000003"/>
    <x v="2"/>
    <n v="8.1"/>
    <x v="5"/>
    <n v="4059"/>
    <x v="1"/>
    <n v="14.4"/>
    <s v="ML Engineer"/>
    <n v="-36.4"/>
    <n v="59.7"/>
    <x v="164"/>
    <n v="8.1"/>
    <n v="7.6"/>
    <n v="4.7"/>
    <s v="Recession"/>
  </r>
  <r>
    <s v="T1106"/>
    <x v="8"/>
    <x v="6"/>
    <x v="1"/>
    <x v="0"/>
    <s v="Jan"/>
    <x v="0"/>
    <x v="368"/>
    <n v="9.3000000000000007"/>
    <x v="3"/>
    <n v="1.1000000000000001"/>
    <x v="6"/>
    <n v="3975"/>
    <x v="1"/>
    <n v="75.400000000000006"/>
    <s v="ML Engineer"/>
    <n v="16"/>
    <n v="45.5"/>
    <x v="428"/>
    <n v="1.6"/>
    <n v="8"/>
    <n v="8.3000000000000007"/>
    <s v="Bull Market"/>
  </r>
  <r>
    <s v="T1107"/>
    <x v="17"/>
    <x v="3"/>
    <x v="5"/>
    <x v="1"/>
    <s v="Aug"/>
    <x v="2"/>
    <x v="1038"/>
    <n v="11.6"/>
    <x v="3"/>
    <n v="10.9"/>
    <x v="49"/>
    <n v="5183"/>
    <x v="0"/>
    <n v="27.9"/>
    <s v="Data Scientist"/>
    <n v="-10.7"/>
    <n v="36.200000000000003"/>
    <x v="429"/>
    <n v="7.5"/>
    <n v="8.8000000000000007"/>
    <n v="6.4"/>
    <s v="Stable"/>
  </r>
  <r>
    <s v="T1108"/>
    <x v="17"/>
    <x v="3"/>
    <x v="4"/>
    <x v="3"/>
    <s v="Feb"/>
    <x v="2"/>
    <x v="1039"/>
    <n v="14.2"/>
    <x v="3"/>
    <n v="9.8000000000000007"/>
    <x v="5"/>
    <n v="3342"/>
    <x v="1"/>
    <n v="77.400000000000006"/>
    <s v="Cybersecurity Analyst"/>
    <n v="81.3"/>
    <n v="38.299999999999997"/>
    <x v="305"/>
    <n v="9.6"/>
    <n v="6.4"/>
    <n v="5"/>
    <s v="Stable"/>
  </r>
  <r>
    <s v="T1109"/>
    <x v="12"/>
    <x v="5"/>
    <x v="1"/>
    <x v="3"/>
    <s v="Jan"/>
    <x v="2"/>
    <x v="1040"/>
    <n v="3.7"/>
    <x v="4"/>
    <n v="4.5"/>
    <x v="7"/>
    <n v="4063"/>
    <x v="1"/>
    <n v="19.399999999999999"/>
    <s v="Cybersecurity Analyst"/>
    <n v="-38.200000000000003"/>
    <n v="22.6"/>
    <x v="0"/>
    <n v="4.2"/>
    <n v="6"/>
    <n v="6.1"/>
    <s v="Stable"/>
  </r>
  <r>
    <s v="T1110"/>
    <x v="1"/>
    <x v="0"/>
    <x v="4"/>
    <x v="3"/>
    <s v="Jan"/>
    <x v="0"/>
    <x v="1041"/>
    <n v="6.3"/>
    <x v="0"/>
    <n v="4.4000000000000004"/>
    <x v="83"/>
    <n v="8122"/>
    <x v="3"/>
    <n v="61.6"/>
    <s v="Data Scientist"/>
    <n v="56.3"/>
    <n v="38.799999999999997"/>
    <x v="28"/>
    <n v="6.8"/>
    <n v="7.5"/>
    <n v="6.9"/>
    <s v="Bull Market"/>
  </r>
  <r>
    <s v="T1111"/>
    <x v="12"/>
    <x v="5"/>
    <x v="2"/>
    <x v="3"/>
    <s v="May"/>
    <x v="2"/>
    <x v="1042"/>
    <n v="17.8"/>
    <x v="1"/>
    <n v="8.3000000000000007"/>
    <x v="5"/>
    <n v="1458"/>
    <x v="1"/>
    <n v="63.2"/>
    <s v="Software Engineer"/>
    <n v="-19.5"/>
    <n v="-13.8"/>
    <x v="330"/>
    <n v="8.3000000000000007"/>
    <n v="6.4"/>
    <n v="3.4"/>
    <s v="Recession"/>
  </r>
  <r>
    <s v="T1112"/>
    <x v="17"/>
    <x v="0"/>
    <x v="3"/>
    <x v="0"/>
    <s v="Sep"/>
    <x v="0"/>
    <x v="1043"/>
    <n v="15.1"/>
    <x v="1"/>
    <n v="8.8000000000000007"/>
    <x v="5"/>
    <n v="6179"/>
    <x v="0"/>
    <n v="64.8"/>
    <s v="ML Engineer"/>
    <n v="-32.6"/>
    <n v="-20.3"/>
    <x v="430"/>
    <n v="5.5"/>
    <n v="4.9000000000000004"/>
    <n v="4.8"/>
    <s v="Stable"/>
  </r>
  <r>
    <s v="T1113"/>
    <x v="13"/>
    <x v="5"/>
    <x v="0"/>
    <x v="2"/>
    <s v="Apr"/>
    <x v="2"/>
    <x v="1044"/>
    <n v="10.4"/>
    <x v="2"/>
    <n v="4.8"/>
    <x v="3"/>
    <n v="4477"/>
    <x v="0"/>
    <n v="17.600000000000001"/>
    <s v="Software Engineer"/>
    <n v="82.2"/>
    <n v="-10.3"/>
    <x v="145"/>
    <n v="5.4"/>
    <n v="5.5"/>
    <n v="5.5"/>
    <s v="Stable"/>
  </r>
  <r>
    <s v="T1114"/>
    <x v="14"/>
    <x v="1"/>
    <x v="2"/>
    <x v="1"/>
    <s v="Mar"/>
    <x v="2"/>
    <x v="1045"/>
    <n v="5.7"/>
    <x v="1"/>
    <n v="14.3"/>
    <x v="5"/>
    <n v="963"/>
    <x v="0"/>
    <n v="55"/>
    <s v="Cybersecurity Analyst"/>
    <n v="85.6"/>
    <n v="-13.1"/>
    <x v="186"/>
    <n v="9.6999999999999993"/>
    <n v="7.4"/>
    <n v="4.8"/>
    <s v="Bull Market"/>
  </r>
  <r>
    <s v="T1115"/>
    <x v="17"/>
    <x v="0"/>
    <x v="1"/>
    <x v="0"/>
    <s v="Oct"/>
    <x v="2"/>
    <x v="1046"/>
    <n v="15.4"/>
    <x v="0"/>
    <n v="11.9"/>
    <x v="84"/>
    <n v="3867"/>
    <x v="0"/>
    <n v="28.5"/>
    <s v="Data Scientist"/>
    <n v="31.5"/>
    <n v="-2.2000000000000002"/>
    <x v="225"/>
    <n v="7.6"/>
    <n v="6.8"/>
    <n v="4.2"/>
    <s v="Recession"/>
  </r>
  <r>
    <s v="T1116"/>
    <x v="3"/>
    <x v="1"/>
    <x v="5"/>
    <x v="0"/>
    <s v="Mar"/>
    <x v="1"/>
    <x v="1047"/>
    <n v="1.6"/>
    <x v="3"/>
    <n v="13.3"/>
    <x v="2"/>
    <n v="1703"/>
    <x v="0"/>
    <n v="16.7"/>
    <s v="Cybersecurity Analyst"/>
    <n v="9.8000000000000007"/>
    <n v="-24.8"/>
    <x v="50"/>
    <n v="7.9"/>
    <n v="6.9"/>
    <n v="5.5"/>
    <s v="Bull Market"/>
  </r>
  <r>
    <s v="T1117"/>
    <x v="0"/>
    <x v="0"/>
    <x v="1"/>
    <x v="3"/>
    <s v="May"/>
    <x v="0"/>
    <x v="1048"/>
    <n v="4.9000000000000004"/>
    <x v="4"/>
    <n v="10.3"/>
    <x v="5"/>
    <n v="1883"/>
    <x v="0"/>
    <n v="72"/>
    <s v="Data Scientist"/>
    <n v="-11.4"/>
    <n v="59.9"/>
    <x v="412"/>
    <n v="9.3000000000000007"/>
    <n v="9.1"/>
    <n v="7.3"/>
    <s v="Bull Market"/>
  </r>
  <r>
    <s v="T1118"/>
    <x v="0"/>
    <x v="5"/>
    <x v="2"/>
    <x v="3"/>
    <s v="Sep"/>
    <x v="2"/>
    <x v="1049"/>
    <n v="12.7"/>
    <x v="2"/>
    <n v="3.1"/>
    <x v="78"/>
    <n v="1377"/>
    <x v="2"/>
    <n v="30.9"/>
    <s v="Software Engineer"/>
    <n v="83.5"/>
    <n v="24.5"/>
    <x v="216"/>
    <n v="2.1"/>
    <n v="6.6"/>
    <n v="5.9"/>
    <s v="Stable"/>
  </r>
  <r>
    <s v="T1119"/>
    <x v="1"/>
    <x v="4"/>
    <x v="1"/>
    <x v="1"/>
    <s v="Jun"/>
    <x v="1"/>
    <x v="1050"/>
    <n v="21.2"/>
    <x v="4"/>
    <n v="5.0999999999999996"/>
    <x v="14"/>
    <n v="1270"/>
    <x v="1"/>
    <n v="54"/>
    <s v="Software Engineer"/>
    <n v="79.3"/>
    <n v="51.5"/>
    <x v="386"/>
    <n v="5.5"/>
    <n v="6.1"/>
    <n v="5.4"/>
    <s v="Recession"/>
  </r>
  <r>
    <s v="T1120"/>
    <x v="12"/>
    <x v="0"/>
    <x v="5"/>
    <x v="2"/>
    <s v="Mar"/>
    <x v="0"/>
    <x v="1051"/>
    <n v="6.2"/>
    <x v="4"/>
    <n v="9"/>
    <x v="5"/>
    <n v="7583"/>
    <x v="3"/>
    <n v="47.8"/>
    <s v="ML Engineer"/>
    <n v="-35.299999999999997"/>
    <n v="44.4"/>
    <x v="37"/>
    <n v="9.3000000000000007"/>
    <n v="8.1"/>
    <n v="6.5"/>
    <s v="Stable"/>
  </r>
  <r>
    <s v="T1121"/>
    <x v="0"/>
    <x v="5"/>
    <x v="4"/>
    <x v="1"/>
    <s v="Sep"/>
    <x v="2"/>
    <x v="1052"/>
    <n v="4.8"/>
    <x v="2"/>
    <n v="3.6"/>
    <x v="46"/>
    <n v="1523"/>
    <x v="1"/>
    <n v="38.9"/>
    <s v="Product Manager"/>
    <n v="-8.3000000000000007"/>
    <n v="43.1"/>
    <x v="103"/>
    <n v="4.0999999999999996"/>
    <n v="8.8000000000000007"/>
    <n v="7.8"/>
    <s v="Bull Market"/>
  </r>
  <r>
    <s v="T1122"/>
    <x v="4"/>
    <x v="1"/>
    <x v="4"/>
    <x v="3"/>
    <s v="Nov"/>
    <x v="0"/>
    <x v="333"/>
    <n v="3.6"/>
    <x v="1"/>
    <n v="6.5"/>
    <x v="5"/>
    <n v="1263"/>
    <x v="1"/>
    <n v="46.9"/>
    <s v="Cybersecurity Analyst"/>
    <n v="38.700000000000003"/>
    <n v="-18.5"/>
    <x v="431"/>
    <n v="9.5"/>
    <n v="5.4"/>
    <n v="6"/>
    <s v="Stable"/>
  </r>
  <r>
    <s v="T1123"/>
    <x v="8"/>
    <x v="6"/>
    <x v="1"/>
    <x v="0"/>
    <s v="Feb"/>
    <x v="0"/>
    <x v="21"/>
    <n v="23"/>
    <x v="3"/>
    <n v="5.6"/>
    <x v="9"/>
    <n v="1249"/>
    <x v="1"/>
    <n v="83.4"/>
    <s v="Data Scientist"/>
    <n v="77.900000000000006"/>
    <n v="1.3"/>
    <x v="316"/>
    <n v="5.9"/>
    <n v="4.3"/>
    <n v="3.2"/>
    <s v="Recession"/>
  </r>
  <r>
    <s v="T1124"/>
    <x v="7"/>
    <x v="4"/>
    <x v="1"/>
    <x v="3"/>
    <s v="May"/>
    <x v="0"/>
    <x v="1053"/>
    <n v="9.1"/>
    <x v="4"/>
    <n v="9.1"/>
    <x v="68"/>
    <n v="2495"/>
    <x v="1"/>
    <n v="49.2"/>
    <s v="Software Engineer"/>
    <n v="-7.5"/>
    <n v="43.6"/>
    <x v="111"/>
    <n v="7"/>
    <n v="8.1"/>
    <n v="7.3"/>
    <s v="Stable"/>
  </r>
  <r>
    <s v="T1125"/>
    <x v="7"/>
    <x v="4"/>
    <x v="1"/>
    <x v="1"/>
    <s v="Jul"/>
    <x v="1"/>
    <x v="1054"/>
    <n v="8"/>
    <x v="1"/>
    <n v="10.3"/>
    <x v="5"/>
    <n v="3808"/>
    <x v="1"/>
    <n v="32.1"/>
    <s v="Product Manager"/>
    <n v="64.7"/>
    <n v="13.3"/>
    <x v="218"/>
    <n v="6.7"/>
    <n v="6.5"/>
    <n v="5.8"/>
    <s v="Bull Market"/>
  </r>
  <r>
    <s v="T1126"/>
    <x v="1"/>
    <x v="1"/>
    <x v="2"/>
    <x v="3"/>
    <s v="Oct"/>
    <x v="1"/>
    <x v="1055"/>
    <n v="6.6"/>
    <x v="2"/>
    <n v="8.1999999999999993"/>
    <x v="7"/>
    <n v="3874"/>
    <x v="0"/>
    <n v="32.200000000000003"/>
    <s v="Cloud Engineer"/>
    <n v="76"/>
    <n v="38.1"/>
    <x v="86"/>
    <n v="7"/>
    <n v="8.4"/>
    <n v="6.6"/>
    <s v="Stable"/>
  </r>
  <r>
    <s v="T1127"/>
    <x v="2"/>
    <x v="0"/>
    <x v="5"/>
    <x v="3"/>
    <s v="Oct"/>
    <x v="1"/>
    <x v="1056"/>
    <n v="1.4"/>
    <x v="3"/>
    <n v="13.8"/>
    <x v="5"/>
    <n v="6063"/>
    <x v="3"/>
    <n v="30"/>
    <s v="ML Engineer"/>
    <n v="15.9"/>
    <n v="19.600000000000001"/>
    <x v="428"/>
    <n v="9.3000000000000007"/>
    <n v="9.1"/>
    <n v="6.4"/>
    <s v="Bull Market"/>
  </r>
  <r>
    <s v="T1128"/>
    <x v="1"/>
    <x v="0"/>
    <x v="0"/>
    <x v="2"/>
    <s v="May"/>
    <x v="2"/>
    <x v="1057"/>
    <n v="6.9"/>
    <x v="2"/>
    <n v="10.199999999999999"/>
    <x v="26"/>
    <n v="2927"/>
    <x v="1"/>
    <n v="26.5"/>
    <s v="Data Scientist"/>
    <n v="9.6999999999999993"/>
    <n v="-23.8"/>
    <x v="281"/>
    <n v="7.4"/>
    <n v="4.8"/>
    <n v="3.7"/>
    <s v="Bull Market"/>
  </r>
  <r>
    <s v="T1129"/>
    <x v="0"/>
    <x v="5"/>
    <x v="3"/>
    <x v="2"/>
    <s v="Dec"/>
    <x v="2"/>
    <x v="1058"/>
    <n v="2.2999999999999998"/>
    <x v="0"/>
    <n v="2.8"/>
    <x v="71"/>
    <n v="4396"/>
    <x v="0"/>
    <n v="81.599999999999994"/>
    <s v="ML Engineer"/>
    <n v="0.2"/>
    <n v="56"/>
    <x v="288"/>
    <n v="4.3"/>
    <n v="9.6"/>
    <n v="9.1999999999999993"/>
    <s v="Bull Market"/>
  </r>
  <r>
    <s v="T1130"/>
    <x v="11"/>
    <x v="6"/>
    <x v="4"/>
    <x v="1"/>
    <s v="May"/>
    <x v="2"/>
    <x v="596"/>
    <n v="8.3000000000000007"/>
    <x v="0"/>
    <n v="9.4"/>
    <x v="30"/>
    <n v="3327"/>
    <x v="0"/>
    <n v="61"/>
    <s v="Cloud Engineer"/>
    <n v="-28.3"/>
    <n v="42.8"/>
    <x v="370"/>
    <n v="7.9"/>
    <n v="6.3"/>
    <n v="6.5"/>
    <s v="Stable"/>
  </r>
  <r>
    <s v="T1131"/>
    <x v="15"/>
    <x v="2"/>
    <x v="3"/>
    <x v="0"/>
    <s v="Sep"/>
    <x v="2"/>
    <x v="1059"/>
    <n v="9.1999999999999993"/>
    <x v="1"/>
    <n v="3.7"/>
    <x v="12"/>
    <n v="1578"/>
    <x v="1"/>
    <n v="51.4"/>
    <s v="Cybersecurity Analyst"/>
    <n v="2.1"/>
    <n v="30.2"/>
    <x v="120"/>
    <n v="4.4000000000000004"/>
    <n v="5.5"/>
    <n v="7.6"/>
    <s v="Recession"/>
  </r>
  <r>
    <s v="T1132"/>
    <x v="18"/>
    <x v="0"/>
    <x v="2"/>
    <x v="1"/>
    <s v="Apr"/>
    <x v="0"/>
    <x v="1060"/>
    <n v="15.7"/>
    <x v="2"/>
    <n v="7.7"/>
    <x v="35"/>
    <n v="1723"/>
    <x v="1"/>
    <n v="34.4"/>
    <s v="ML Engineer"/>
    <n v="25.6"/>
    <n v="38"/>
    <x v="297"/>
    <n v="5.2"/>
    <n v="6.7"/>
    <n v="5.5"/>
    <s v="Recession"/>
  </r>
  <r>
    <s v="T1133"/>
    <x v="3"/>
    <x v="1"/>
    <x v="5"/>
    <x v="0"/>
    <s v="Jan"/>
    <x v="0"/>
    <x v="1061"/>
    <n v="5.2"/>
    <x v="1"/>
    <n v="4"/>
    <x v="10"/>
    <n v="4524"/>
    <x v="0"/>
    <n v="18.100000000000001"/>
    <s v="Cybersecurity Analyst"/>
    <n v="-28.4"/>
    <n v="-21.5"/>
    <x v="432"/>
    <n v="3"/>
    <n v="7.1"/>
    <n v="4.9000000000000004"/>
    <s v="Bull Market"/>
  </r>
  <r>
    <s v="T1134"/>
    <x v="12"/>
    <x v="5"/>
    <x v="3"/>
    <x v="3"/>
    <s v="Mar"/>
    <x v="2"/>
    <x v="1062"/>
    <n v="2.1"/>
    <x v="4"/>
    <n v="2.5"/>
    <x v="19"/>
    <n v="4838"/>
    <x v="0"/>
    <n v="16.100000000000001"/>
    <s v="Product Manager"/>
    <n v="-36.700000000000003"/>
    <n v="55.4"/>
    <x v="124"/>
    <n v="1.5"/>
    <n v="8.1"/>
    <n v="9.1"/>
    <s v="Bull Market"/>
  </r>
  <r>
    <s v="T1135"/>
    <x v="11"/>
    <x v="6"/>
    <x v="5"/>
    <x v="3"/>
    <s v="Mar"/>
    <x v="0"/>
    <x v="1063"/>
    <n v="7.8"/>
    <x v="1"/>
    <n v="4.2"/>
    <x v="24"/>
    <n v="5985"/>
    <x v="0"/>
    <n v="47.7"/>
    <s v="Software Engineer"/>
    <n v="84.9"/>
    <n v="-17.8"/>
    <x v="328"/>
    <n v="6.2"/>
    <n v="5.6"/>
    <n v="5.0999999999999996"/>
    <s v="Bull Market"/>
  </r>
  <r>
    <s v="T1136"/>
    <x v="12"/>
    <x v="5"/>
    <x v="1"/>
    <x v="2"/>
    <s v="Aug"/>
    <x v="1"/>
    <x v="1064"/>
    <n v="2"/>
    <x v="1"/>
    <n v="3.1"/>
    <x v="62"/>
    <n v="2579"/>
    <x v="0"/>
    <n v="22.7"/>
    <s v="Frontend Developer"/>
    <n v="-28.2"/>
    <n v="24.1"/>
    <x v="7"/>
    <n v="4.3"/>
    <n v="5.8"/>
    <n v="8.8000000000000007"/>
    <s v="Stable"/>
  </r>
  <r>
    <s v="T1137"/>
    <x v="0"/>
    <x v="5"/>
    <x v="4"/>
    <x v="3"/>
    <s v="Aug"/>
    <x v="2"/>
    <x v="253"/>
    <n v="6.1"/>
    <x v="3"/>
    <n v="1.7"/>
    <x v="72"/>
    <n v="876"/>
    <x v="1"/>
    <n v="52.5"/>
    <s v="Product Manager"/>
    <n v="55.2"/>
    <n v="19.399999999999999"/>
    <x v="182"/>
    <n v="1.9"/>
    <n v="8.1"/>
    <n v="6.5"/>
    <s v="Bull Market"/>
  </r>
  <r>
    <s v="T1138"/>
    <x v="15"/>
    <x v="2"/>
    <x v="0"/>
    <x v="0"/>
    <s v="Dec"/>
    <x v="0"/>
    <x v="1065"/>
    <n v="11.9"/>
    <x v="4"/>
    <n v="6.2"/>
    <x v="18"/>
    <n v="255"/>
    <x v="1"/>
    <n v="68.599999999999994"/>
    <s v="Data Scientist"/>
    <n v="9.1999999999999993"/>
    <n v="26.6"/>
    <x v="127"/>
    <n v="4.5999999999999996"/>
    <n v="8.1999999999999993"/>
    <n v="5.8"/>
    <s v="Recession"/>
  </r>
  <r>
    <s v="T1139"/>
    <x v="7"/>
    <x v="4"/>
    <x v="3"/>
    <x v="2"/>
    <s v="Dec"/>
    <x v="0"/>
    <x v="1066"/>
    <n v="2"/>
    <x v="0"/>
    <n v="7.1"/>
    <x v="6"/>
    <n v="5080"/>
    <x v="0"/>
    <n v="71.400000000000006"/>
    <s v="Cybersecurity Analyst"/>
    <n v="-21.7"/>
    <n v="35.700000000000003"/>
    <x v="52"/>
    <n v="6.9"/>
    <n v="8.3000000000000007"/>
    <n v="7.9"/>
    <s v="Bull Market"/>
  </r>
  <r>
    <s v="T1140"/>
    <x v="2"/>
    <x v="5"/>
    <x v="3"/>
    <x v="0"/>
    <s v="Jan"/>
    <x v="2"/>
    <x v="1067"/>
    <n v="8.6"/>
    <x v="2"/>
    <n v="3.7"/>
    <x v="75"/>
    <n v="3377"/>
    <x v="0"/>
    <n v="46.2"/>
    <s v="DevOps Engineer"/>
    <n v="-23.9"/>
    <n v="11.8"/>
    <x v="271"/>
    <n v="3.7"/>
    <n v="6.7"/>
    <n v="6.5"/>
    <s v="Bull Market"/>
  </r>
  <r>
    <s v="T1141"/>
    <x v="2"/>
    <x v="5"/>
    <x v="2"/>
    <x v="0"/>
    <s v="Aug"/>
    <x v="1"/>
    <x v="1068"/>
    <n v="14.5"/>
    <x v="2"/>
    <n v="7.6"/>
    <x v="5"/>
    <n v="926"/>
    <x v="1"/>
    <n v="18.2"/>
    <s v="ML Engineer"/>
    <n v="72.599999999999994"/>
    <n v="29.4"/>
    <x v="257"/>
    <n v="7.3"/>
    <n v="6.3"/>
    <n v="5.3"/>
    <s v="Recession"/>
  </r>
  <r>
    <s v="T1142"/>
    <x v="12"/>
    <x v="5"/>
    <x v="2"/>
    <x v="1"/>
    <s v="Jul"/>
    <x v="2"/>
    <x v="1069"/>
    <n v="10.7"/>
    <x v="2"/>
    <n v="2.8"/>
    <x v="64"/>
    <n v="279"/>
    <x v="2"/>
    <n v="78.8"/>
    <s v="Data Scientist"/>
    <n v="-40.4"/>
    <n v="48.9"/>
    <x v="235"/>
    <n v="2.1"/>
    <n v="5.9"/>
    <n v="8.1999999999999993"/>
    <s v="Recession"/>
  </r>
  <r>
    <s v="T1143"/>
    <x v="11"/>
    <x v="6"/>
    <x v="0"/>
    <x v="1"/>
    <s v="Mar"/>
    <x v="0"/>
    <x v="1070"/>
    <n v="4.2"/>
    <x v="0"/>
    <n v="0.7"/>
    <x v="19"/>
    <n v="5318"/>
    <x v="0"/>
    <n v="56.1"/>
    <s v="Product Manager"/>
    <n v="19.5"/>
    <n v="-9.6999999999999993"/>
    <x v="356"/>
    <n v="1.2"/>
    <n v="5"/>
    <n v="8"/>
    <s v="Bull Market"/>
  </r>
  <r>
    <s v="T1144"/>
    <x v="0"/>
    <x v="5"/>
    <x v="0"/>
    <x v="3"/>
    <s v="Jan"/>
    <x v="2"/>
    <x v="1071"/>
    <n v="36.299999999999997"/>
    <x v="3"/>
    <n v="1.4"/>
    <x v="51"/>
    <n v="1953"/>
    <x v="2"/>
    <n v="27.5"/>
    <s v="Product Manager"/>
    <n v="23.2"/>
    <n v="30.2"/>
    <x v="223"/>
    <n v="1.1000000000000001"/>
    <n v="5.8"/>
    <n v="3.8"/>
    <s v="Recession"/>
  </r>
  <r>
    <s v="T1145"/>
    <x v="3"/>
    <x v="1"/>
    <x v="1"/>
    <x v="1"/>
    <s v="Nov"/>
    <x v="0"/>
    <x v="1072"/>
    <n v="18"/>
    <x v="3"/>
    <n v="6.3"/>
    <x v="5"/>
    <n v="3119"/>
    <x v="0"/>
    <n v="85.4"/>
    <s v="Cybersecurity Analyst"/>
    <n v="87.6"/>
    <n v="-4"/>
    <x v="206"/>
    <n v="8.3000000000000007"/>
    <n v="3.7"/>
    <n v="4.7"/>
    <s v="Stable"/>
  </r>
  <r>
    <s v="T1146"/>
    <x v="6"/>
    <x v="2"/>
    <x v="2"/>
    <x v="0"/>
    <s v="Jun"/>
    <x v="2"/>
    <x v="391"/>
    <n v="12.2"/>
    <x v="2"/>
    <n v="6.3"/>
    <x v="5"/>
    <n v="803"/>
    <x v="1"/>
    <n v="36.9"/>
    <s v="Product Manager"/>
    <n v="8.1999999999999993"/>
    <n v="19.3"/>
    <x v="32"/>
    <n v="6.8"/>
    <n v="5.3"/>
    <n v="5.0999999999999996"/>
    <s v="Stable"/>
  </r>
  <r>
    <s v="T1147"/>
    <x v="18"/>
    <x v="0"/>
    <x v="5"/>
    <x v="1"/>
    <s v="Aug"/>
    <x v="2"/>
    <x v="1073"/>
    <n v="17.3"/>
    <x v="3"/>
    <n v="8.3000000000000007"/>
    <x v="33"/>
    <n v="2822"/>
    <x v="0"/>
    <n v="26"/>
    <s v="ML Engineer"/>
    <n v="88.3"/>
    <n v="34.200000000000003"/>
    <x v="26"/>
    <n v="5.3"/>
    <n v="7.8"/>
    <n v="6.2"/>
    <s v="Recession"/>
  </r>
  <r>
    <s v="T1148"/>
    <x v="19"/>
    <x v="0"/>
    <x v="0"/>
    <x v="0"/>
    <s v="Oct"/>
    <x v="2"/>
    <x v="1074"/>
    <n v="16.5"/>
    <x v="2"/>
    <n v="5.3"/>
    <x v="57"/>
    <n v="4863"/>
    <x v="0"/>
    <n v="36.4"/>
    <s v="Data Scientist"/>
    <n v="-5.0999999999999996"/>
    <n v="29"/>
    <x v="173"/>
    <n v="6.5"/>
    <n v="7.2"/>
    <n v="4.8"/>
    <s v="Stable"/>
  </r>
  <r>
    <s v="T1149"/>
    <x v="6"/>
    <x v="1"/>
    <x v="4"/>
    <x v="0"/>
    <s v="Feb"/>
    <x v="1"/>
    <x v="1075"/>
    <n v="9.8000000000000007"/>
    <x v="3"/>
    <n v="3.1"/>
    <x v="38"/>
    <n v="1150"/>
    <x v="1"/>
    <n v="59.1"/>
    <s v="DevOps Engineer"/>
    <n v="-21.9"/>
    <n v="0.1"/>
    <x v="23"/>
    <n v="3.4"/>
    <n v="7.4"/>
    <n v="6"/>
    <s v="Stable"/>
  </r>
  <r>
    <s v="T1150"/>
    <x v="15"/>
    <x v="2"/>
    <x v="4"/>
    <x v="0"/>
    <s v="Aug"/>
    <x v="2"/>
    <x v="1076"/>
    <n v="2.4"/>
    <x v="1"/>
    <n v="6.6"/>
    <x v="18"/>
    <n v="2518"/>
    <x v="0"/>
    <n v="58.4"/>
    <s v="ML Engineer"/>
    <n v="-20.6"/>
    <n v="15.2"/>
    <x v="410"/>
    <n v="4.7"/>
    <n v="8.1999999999999993"/>
    <n v="7"/>
    <s v="Bull Market"/>
  </r>
  <r>
    <s v="T1151"/>
    <x v="8"/>
    <x v="6"/>
    <x v="0"/>
    <x v="2"/>
    <s v="Jul"/>
    <x v="0"/>
    <x v="1077"/>
    <n v="28.8"/>
    <x v="0"/>
    <n v="7.6"/>
    <x v="5"/>
    <n v="1391"/>
    <x v="2"/>
    <n v="87.5"/>
    <s v="Frontend Developer"/>
    <n v="85.6"/>
    <n v="-0.3"/>
    <x v="206"/>
    <n v="5.2"/>
    <n v="4.0999999999999996"/>
    <n v="3.7"/>
    <s v="Recession"/>
  </r>
  <r>
    <s v="T1152"/>
    <x v="2"/>
    <x v="2"/>
    <x v="3"/>
    <x v="3"/>
    <s v="Feb"/>
    <x v="2"/>
    <x v="1078"/>
    <n v="4.3"/>
    <x v="0"/>
    <n v="6.9"/>
    <x v="1"/>
    <n v="5337"/>
    <x v="0"/>
    <n v="47.8"/>
    <s v="Product Manager"/>
    <n v="88.5"/>
    <n v="36"/>
    <x v="433"/>
    <n v="7.9"/>
    <n v="7.5"/>
    <n v="8.5"/>
    <s v="Stable"/>
  </r>
  <r>
    <s v="T1153"/>
    <x v="1"/>
    <x v="0"/>
    <x v="2"/>
    <x v="0"/>
    <s v="Oct"/>
    <x v="1"/>
    <x v="1079"/>
    <n v="36.6"/>
    <x v="0"/>
    <n v="9.1"/>
    <x v="5"/>
    <n v="9502"/>
    <x v="0"/>
    <n v="32.9"/>
    <s v="ML Engineer"/>
    <n v="8.9"/>
    <n v="-23.6"/>
    <x v="358"/>
    <n v="7.3"/>
    <n v="4.3"/>
    <n v="1"/>
    <s v="Recession"/>
  </r>
  <r>
    <s v="T1154"/>
    <x v="6"/>
    <x v="1"/>
    <x v="3"/>
    <x v="3"/>
    <s v="Nov"/>
    <x v="0"/>
    <x v="670"/>
    <n v="2.2999999999999998"/>
    <x v="4"/>
    <n v="3.2"/>
    <x v="88"/>
    <n v="5069"/>
    <x v="0"/>
    <n v="37.799999999999997"/>
    <s v="Software Engineer"/>
    <n v="9.3000000000000007"/>
    <n v="2.2000000000000002"/>
    <x v="280"/>
    <n v="1.9"/>
    <n v="6.5"/>
    <n v="7.5"/>
    <s v="Bull Market"/>
  </r>
  <r>
    <s v="T1155"/>
    <x v="16"/>
    <x v="2"/>
    <x v="0"/>
    <x v="2"/>
    <s v="Nov"/>
    <x v="1"/>
    <x v="1080"/>
    <n v="25.3"/>
    <x v="2"/>
    <n v="9.3000000000000007"/>
    <x v="48"/>
    <n v="372"/>
    <x v="1"/>
    <n v="73"/>
    <s v="ML Engineer"/>
    <n v="-4.7"/>
    <n v="7.3"/>
    <x v="127"/>
    <n v="8.5"/>
    <n v="6.9"/>
    <n v="3"/>
    <s v="Recession"/>
  </r>
  <r>
    <s v="T1156"/>
    <x v="16"/>
    <x v="2"/>
    <x v="4"/>
    <x v="0"/>
    <s v="Sep"/>
    <x v="1"/>
    <x v="1081"/>
    <n v="3.9"/>
    <x v="1"/>
    <n v="14.7"/>
    <x v="60"/>
    <n v="1984"/>
    <x v="0"/>
    <n v="77.3"/>
    <s v="DevOps Engineer"/>
    <n v="81.7"/>
    <n v="23.8"/>
    <x v="9"/>
    <n v="9.3000000000000007"/>
    <n v="8.8000000000000007"/>
    <n v="6.2"/>
    <s v="Stable"/>
  </r>
  <r>
    <s v="T1157"/>
    <x v="6"/>
    <x v="1"/>
    <x v="3"/>
    <x v="0"/>
    <s v="Nov"/>
    <x v="0"/>
    <x v="1082"/>
    <n v="27.7"/>
    <x v="2"/>
    <n v="1.9"/>
    <x v="0"/>
    <n v="1683"/>
    <x v="1"/>
    <n v="82.4"/>
    <s v="Data Scientist"/>
    <n v="22.6"/>
    <n v="15.1"/>
    <x v="32"/>
    <n v="1.8"/>
    <n v="4.3"/>
    <n v="4.3"/>
    <s v="Recession"/>
  </r>
  <r>
    <s v="T1158"/>
    <x v="1"/>
    <x v="0"/>
    <x v="0"/>
    <x v="1"/>
    <s v="Apr"/>
    <x v="0"/>
    <x v="1083"/>
    <n v="5.6"/>
    <x v="4"/>
    <n v="9.8000000000000007"/>
    <x v="5"/>
    <n v="7328"/>
    <x v="3"/>
    <n v="76.599999999999994"/>
    <s v="ML Engineer"/>
    <n v="2.1"/>
    <n v="-4.3"/>
    <x v="142"/>
    <n v="8.6999999999999993"/>
    <n v="6.7"/>
    <n v="6.1"/>
    <s v="Bull Market"/>
  </r>
  <r>
    <s v="T1159"/>
    <x v="8"/>
    <x v="6"/>
    <x v="2"/>
    <x v="1"/>
    <s v="May"/>
    <x v="1"/>
    <x v="917"/>
    <n v="7"/>
    <x v="0"/>
    <n v="8.9"/>
    <x v="1"/>
    <n v="5625"/>
    <x v="0"/>
    <n v="78.8"/>
    <s v="Software Engineer"/>
    <n v="51.1"/>
    <n v="46"/>
    <x v="434"/>
    <n v="6.8"/>
    <n v="8.6"/>
    <n v="8.3000000000000007"/>
    <s v="Bull Market"/>
  </r>
  <r>
    <s v="T1160"/>
    <x v="12"/>
    <x v="0"/>
    <x v="0"/>
    <x v="3"/>
    <s v="Jan"/>
    <x v="1"/>
    <x v="1084"/>
    <n v="17.3"/>
    <x v="3"/>
    <n v="5.6"/>
    <x v="73"/>
    <n v="1405"/>
    <x v="1"/>
    <n v="23.3"/>
    <s v="Data Scientist"/>
    <n v="81"/>
    <n v="-2.4"/>
    <x v="355"/>
    <n v="4.5999999999999996"/>
    <n v="7.4"/>
    <n v="3.9"/>
    <s v="Recession"/>
  </r>
  <r>
    <s v="T1161"/>
    <x v="2"/>
    <x v="3"/>
    <x v="4"/>
    <x v="0"/>
    <s v="Feb"/>
    <x v="1"/>
    <x v="1085"/>
    <n v="34.700000000000003"/>
    <x v="3"/>
    <n v="3.4"/>
    <x v="5"/>
    <n v="606"/>
    <x v="2"/>
    <n v="86.2"/>
    <s v="Frontend Developer"/>
    <n v="-7.4"/>
    <n v="50.2"/>
    <x v="304"/>
    <n v="5.3"/>
    <n v="4.7"/>
    <n v="4.2"/>
    <s v="Recession"/>
  </r>
  <r>
    <s v="T1162"/>
    <x v="8"/>
    <x v="6"/>
    <x v="1"/>
    <x v="1"/>
    <s v="Jan"/>
    <x v="0"/>
    <x v="1086"/>
    <n v="2.5"/>
    <x v="1"/>
    <n v="12.4"/>
    <x v="5"/>
    <n v="2175"/>
    <x v="0"/>
    <n v="76.599999999999994"/>
    <s v="Cloud Engineer"/>
    <n v="63.5"/>
    <n v="-0.3"/>
    <x v="410"/>
    <n v="8.8000000000000007"/>
    <n v="7"/>
    <n v="6.3"/>
    <s v="Bull Market"/>
  </r>
  <r>
    <s v="T1163"/>
    <x v="2"/>
    <x v="2"/>
    <x v="4"/>
    <x v="1"/>
    <s v="Sep"/>
    <x v="0"/>
    <x v="1087"/>
    <n v="2.1"/>
    <x v="1"/>
    <n v="2.5"/>
    <x v="38"/>
    <n v="5007"/>
    <x v="0"/>
    <n v="56.2"/>
    <s v="Frontend Developer"/>
    <n v="-1.5"/>
    <n v="-17.100000000000001"/>
    <x v="341"/>
    <n v="3.6"/>
    <n v="6.1"/>
    <n v="6.4"/>
    <s v="Bull Market"/>
  </r>
  <r>
    <s v="T1164"/>
    <x v="1"/>
    <x v="1"/>
    <x v="3"/>
    <x v="2"/>
    <s v="Jul"/>
    <x v="1"/>
    <x v="240"/>
    <n v="2.6"/>
    <x v="4"/>
    <n v="6"/>
    <x v="46"/>
    <n v="1185"/>
    <x v="0"/>
    <n v="21.6"/>
    <s v="Cybersecurity Analyst"/>
    <n v="-44.3"/>
    <n v="52.1"/>
    <x v="66"/>
    <n v="6"/>
    <n v="8.1"/>
    <n v="8"/>
    <s v="Stable"/>
  </r>
  <r>
    <s v="T1165"/>
    <x v="1"/>
    <x v="1"/>
    <x v="5"/>
    <x v="3"/>
    <s v="Dec"/>
    <x v="0"/>
    <x v="1088"/>
    <n v="14.9"/>
    <x v="4"/>
    <n v="4.5"/>
    <x v="35"/>
    <n v="3984"/>
    <x v="1"/>
    <n v="45.5"/>
    <s v="DevOps Engineer"/>
    <n v="-35.6"/>
    <n v="-12.5"/>
    <x v="148"/>
    <n v="5.4"/>
    <n v="4.4000000000000004"/>
    <n v="3.7"/>
    <s v="Stable"/>
  </r>
  <r>
    <s v="T1166"/>
    <x v="2"/>
    <x v="1"/>
    <x v="0"/>
    <x v="3"/>
    <s v="Nov"/>
    <x v="1"/>
    <x v="1089"/>
    <n v="1.6"/>
    <x v="3"/>
    <n v="4.5999999999999996"/>
    <x v="46"/>
    <n v="235"/>
    <x v="1"/>
    <n v="43.3"/>
    <s v="Data Scientist"/>
    <n v="-7.2"/>
    <n v="55.8"/>
    <x v="2"/>
    <n v="3.6"/>
    <n v="9.6999999999999993"/>
    <n v="8.5"/>
    <s v="Stable"/>
  </r>
  <r>
    <s v="T1167"/>
    <x v="8"/>
    <x v="6"/>
    <x v="3"/>
    <x v="0"/>
    <s v="Apr"/>
    <x v="2"/>
    <x v="1090"/>
    <n v="18.399999999999999"/>
    <x v="4"/>
    <n v="3.4"/>
    <x v="9"/>
    <n v="1366"/>
    <x v="1"/>
    <n v="86.6"/>
    <s v="Product Manager"/>
    <n v="-4.8"/>
    <n v="28.4"/>
    <x v="9"/>
    <n v="3.8"/>
    <n v="8.1999999999999993"/>
    <n v="4.9000000000000004"/>
    <s v="Recession"/>
  </r>
  <r>
    <s v="T1168"/>
    <x v="7"/>
    <x v="4"/>
    <x v="3"/>
    <x v="3"/>
    <s v="Feb"/>
    <x v="2"/>
    <x v="1091"/>
    <n v="28.2"/>
    <x v="0"/>
    <n v="10.1"/>
    <x v="5"/>
    <n v="1772"/>
    <x v="1"/>
    <n v="27.6"/>
    <s v="ML Engineer"/>
    <n v="-32.700000000000003"/>
    <n v="55"/>
    <x v="184"/>
    <n v="6"/>
    <n v="6.2"/>
    <n v="5.8"/>
    <s v="Recession"/>
  </r>
  <r>
    <s v="T1169"/>
    <x v="2"/>
    <x v="5"/>
    <x v="0"/>
    <x v="3"/>
    <s v="Dec"/>
    <x v="2"/>
    <x v="1092"/>
    <n v="2.6"/>
    <x v="2"/>
    <n v="4.3"/>
    <x v="82"/>
    <n v="2255"/>
    <x v="1"/>
    <n v="13.2"/>
    <s v="Cybersecurity Analyst"/>
    <n v="40.1"/>
    <n v="58.3"/>
    <x v="435"/>
    <n v="4.3"/>
    <n v="8.3000000000000007"/>
    <n v="8.6"/>
    <s v="Bull Market"/>
  </r>
  <r>
    <s v="T1170"/>
    <x v="11"/>
    <x v="6"/>
    <x v="3"/>
    <x v="1"/>
    <s v="Sep"/>
    <x v="0"/>
    <x v="1093"/>
    <n v="8.1999999999999993"/>
    <x v="3"/>
    <n v="9"/>
    <x v="5"/>
    <n v="1513"/>
    <x v="0"/>
    <n v="72.8"/>
    <s v="DevOps Engineer"/>
    <n v="48.7"/>
    <n v="44.2"/>
    <x v="425"/>
    <n v="9.3000000000000007"/>
    <n v="8.1999999999999993"/>
    <n v="5.5"/>
    <s v="Bull Market"/>
  </r>
  <r>
    <s v="T1171"/>
    <x v="6"/>
    <x v="1"/>
    <x v="0"/>
    <x v="1"/>
    <s v="Oct"/>
    <x v="0"/>
    <x v="1094"/>
    <n v="4.9000000000000004"/>
    <x v="4"/>
    <n v="5.9"/>
    <x v="52"/>
    <n v="614"/>
    <x v="1"/>
    <n v="44.2"/>
    <s v="Data Scientist"/>
    <n v="-37.9"/>
    <n v="3"/>
    <x v="436"/>
    <n v="5.6"/>
    <n v="8.1999999999999993"/>
    <n v="6.7"/>
    <s v="Stable"/>
  </r>
  <r>
    <s v="T1172"/>
    <x v="10"/>
    <x v="3"/>
    <x v="1"/>
    <x v="2"/>
    <s v="Sep"/>
    <x v="1"/>
    <x v="1095"/>
    <n v="3.3"/>
    <x v="0"/>
    <n v="3.6"/>
    <x v="8"/>
    <n v="5921"/>
    <x v="0"/>
    <n v="13"/>
    <s v="Frontend Developer"/>
    <n v="-37.6"/>
    <n v="57.1"/>
    <x v="284"/>
    <n v="4.9000000000000004"/>
    <n v="8.5"/>
    <n v="7.2"/>
    <s v="Bull Market"/>
  </r>
  <r>
    <s v="T1173"/>
    <x v="0"/>
    <x v="2"/>
    <x v="2"/>
    <x v="2"/>
    <s v="May"/>
    <x v="2"/>
    <x v="1096"/>
    <n v="17.5"/>
    <x v="0"/>
    <n v="8.1"/>
    <x v="5"/>
    <n v="561"/>
    <x v="1"/>
    <n v="11.4"/>
    <s v="Frontend Developer"/>
    <n v="74.599999999999994"/>
    <n v="15.9"/>
    <x v="55"/>
    <n v="10"/>
    <n v="7.1"/>
    <n v="4"/>
    <s v="Recession"/>
  </r>
  <r>
    <s v="T1174"/>
    <x v="0"/>
    <x v="2"/>
    <x v="4"/>
    <x v="1"/>
    <s v="Feb"/>
    <x v="1"/>
    <x v="1097"/>
    <n v="9.9"/>
    <x v="3"/>
    <n v="5.4"/>
    <x v="71"/>
    <n v="2336"/>
    <x v="0"/>
    <n v="29.8"/>
    <s v="Cybersecurity Analyst"/>
    <n v="72.400000000000006"/>
    <n v="26.5"/>
    <x v="398"/>
    <n v="4.5"/>
    <n v="5.4"/>
    <n v="6.8"/>
    <s v="Bull Market"/>
  </r>
  <r>
    <s v="T1175"/>
    <x v="0"/>
    <x v="1"/>
    <x v="3"/>
    <x v="2"/>
    <s v="Oct"/>
    <x v="2"/>
    <x v="1098"/>
    <n v="5.7"/>
    <x v="2"/>
    <n v="9.6999999999999993"/>
    <x v="35"/>
    <n v="5052"/>
    <x v="0"/>
    <n v="84.9"/>
    <s v="Data Scientist"/>
    <n v="7.4"/>
    <n v="-22.9"/>
    <x v="302"/>
    <n v="6.7"/>
    <n v="6.5"/>
    <n v="4.7"/>
    <s v="Bull Market"/>
  </r>
  <r>
    <s v="T1176"/>
    <x v="9"/>
    <x v="1"/>
    <x v="2"/>
    <x v="0"/>
    <s v="Apr"/>
    <x v="0"/>
    <x v="1099"/>
    <n v="6.1"/>
    <x v="0"/>
    <n v="4.0999999999999996"/>
    <x v="24"/>
    <n v="2338"/>
    <x v="1"/>
    <n v="46.6"/>
    <s v="Cybersecurity Analyst"/>
    <n v="61.7"/>
    <n v="-15.9"/>
    <x v="369"/>
    <n v="2.9"/>
    <n v="4.5"/>
    <n v="5.7"/>
    <s v="Bull Market"/>
  </r>
  <r>
    <s v="T1177"/>
    <x v="6"/>
    <x v="2"/>
    <x v="1"/>
    <x v="3"/>
    <s v="Nov"/>
    <x v="0"/>
    <x v="1100"/>
    <n v="5.4"/>
    <x v="4"/>
    <n v="10.4"/>
    <x v="14"/>
    <n v="2188"/>
    <x v="1"/>
    <n v="24.8"/>
    <s v="ML Engineer"/>
    <n v="81.400000000000006"/>
    <n v="47.2"/>
    <x v="381"/>
    <n v="6.7"/>
    <n v="9.1"/>
    <n v="7.4"/>
    <s v="Bull Market"/>
  </r>
  <r>
    <s v="T1178"/>
    <x v="0"/>
    <x v="0"/>
    <x v="2"/>
    <x v="2"/>
    <s v="May"/>
    <x v="2"/>
    <x v="1101"/>
    <n v="7.7"/>
    <x v="3"/>
    <n v="3.5"/>
    <x v="6"/>
    <n v="1676"/>
    <x v="1"/>
    <n v="65.7"/>
    <s v="ML Engineer"/>
    <n v="81.2"/>
    <n v="-12"/>
    <x v="141"/>
    <n v="2.8"/>
    <n v="4.5999999999999996"/>
    <n v="7.1"/>
    <s v="Bull Market"/>
  </r>
  <r>
    <s v="T1179"/>
    <x v="12"/>
    <x v="0"/>
    <x v="0"/>
    <x v="3"/>
    <s v="Nov"/>
    <x v="1"/>
    <x v="1102"/>
    <n v="15.5"/>
    <x v="1"/>
    <n v="4.7"/>
    <x v="35"/>
    <n v="2432"/>
    <x v="1"/>
    <n v="74.2"/>
    <s v="Data Scientist"/>
    <n v="64.099999999999994"/>
    <n v="11.6"/>
    <x v="314"/>
    <n v="4"/>
    <n v="4.3"/>
    <n v="5.2"/>
    <s v="Stable"/>
  </r>
  <r>
    <s v="T1180"/>
    <x v="0"/>
    <x v="5"/>
    <x v="4"/>
    <x v="0"/>
    <s v="Jul"/>
    <x v="0"/>
    <x v="1103"/>
    <n v="26.2"/>
    <x v="4"/>
    <n v="1.4"/>
    <x v="17"/>
    <n v="1040"/>
    <x v="2"/>
    <n v="57.1"/>
    <s v="Cloud Engineer"/>
    <n v="20.9"/>
    <n v="44.8"/>
    <x v="232"/>
    <n v="1.4"/>
    <n v="6.4"/>
    <n v="6.3"/>
    <s v="Recession"/>
  </r>
  <r>
    <s v="T1181"/>
    <x v="9"/>
    <x v="1"/>
    <x v="2"/>
    <x v="2"/>
    <s v="Oct"/>
    <x v="2"/>
    <x v="1104"/>
    <n v="15.3"/>
    <x v="3"/>
    <n v="8"/>
    <x v="5"/>
    <n v="2917"/>
    <x v="1"/>
    <n v="75.5"/>
    <s v="Software Engineer"/>
    <n v="-42.5"/>
    <n v="23.4"/>
    <x v="303"/>
    <n v="6.3"/>
    <n v="6.3"/>
    <n v="5.8"/>
    <s v="Stable"/>
  </r>
  <r>
    <s v="T1182"/>
    <x v="1"/>
    <x v="0"/>
    <x v="3"/>
    <x v="0"/>
    <s v="Apr"/>
    <x v="2"/>
    <x v="1105"/>
    <n v="3.9"/>
    <x v="4"/>
    <n v="12.6"/>
    <x v="41"/>
    <n v="5553"/>
    <x v="3"/>
    <n v="88.4"/>
    <s v="Data Scientist"/>
    <n v="3.9"/>
    <n v="48.4"/>
    <x v="437"/>
    <n v="9.1"/>
    <n v="6.3"/>
    <n v="8.6"/>
    <s v="Bull Market"/>
  </r>
  <r>
    <s v="T1183"/>
    <x v="1"/>
    <x v="6"/>
    <x v="0"/>
    <x v="3"/>
    <s v="Jan"/>
    <x v="1"/>
    <x v="1106"/>
    <n v="30.6"/>
    <x v="4"/>
    <n v="4.9000000000000004"/>
    <x v="5"/>
    <n v="289"/>
    <x v="2"/>
    <n v="73.900000000000006"/>
    <s v="ML Engineer"/>
    <n v="61.1"/>
    <n v="40"/>
    <x v="208"/>
    <n v="4.9000000000000004"/>
    <n v="6.1"/>
    <n v="4"/>
    <s v="Recession"/>
  </r>
  <r>
    <s v="T1184"/>
    <x v="2"/>
    <x v="1"/>
    <x v="1"/>
    <x v="0"/>
    <s v="Jun"/>
    <x v="2"/>
    <x v="1107"/>
    <n v="35.200000000000003"/>
    <x v="3"/>
    <n v="10.3"/>
    <x v="5"/>
    <n v="224"/>
    <x v="2"/>
    <n v="84"/>
    <s v="Data Scientist"/>
    <n v="35.700000000000003"/>
    <n v="23.9"/>
    <x v="129"/>
    <n v="6.7"/>
    <n v="3.5"/>
    <n v="3.3"/>
    <s v="Recession"/>
  </r>
  <r>
    <s v="T1185"/>
    <x v="2"/>
    <x v="5"/>
    <x v="5"/>
    <x v="1"/>
    <s v="Dec"/>
    <x v="0"/>
    <x v="1108"/>
    <n v="20.399999999999999"/>
    <x v="1"/>
    <n v="14.7"/>
    <x v="5"/>
    <n v="1011"/>
    <x v="1"/>
    <n v="86.8"/>
    <s v="Cybersecurity Analyst"/>
    <n v="40.1"/>
    <n v="42.1"/>
    <x v="232"/>
    <n v="9"/>
    <n v="8.5"/>
    <n v="4.3"/>
    <s v="Recession"/>
  </r>
  <r>
    <s v="T1186"/>
    <x v="2"/>
    <x v="0"/>
    <x v="4"/>
    <x v="3"/>
    <s v="May"/>
    <x v="1"/>
    <x v="1109"/>
    <n v="3"/>
    <x v="4"/>
    <n v="2.4"/>
    <x v="79"/>
    <n v="9021"/>
    <x v="3"/>
    <n v="18"/>
    <s v="Data Scientist"/>
    <n v="22.1"/>
    <n v="31.1"/>
    <x v="91"/>
    <n v="2.6"/>
    <n v="6.9"/>
    <n v="9.1"/>
    <s v="Bull Market"/>
  </r>
  <r>
    <s v="T1187"/>
    <x v="4"/>
    <x v="0"/>
    <x v="3"/>
    <x v="0"/>
    <s v="Jun"/>
    <x v="1"/>
    <x v="1110"/>
    <n v="5.8"/>
    <x v="4"/>
    <n v="6.6"/>
    <x v="20"/>
    <n v="1480"/>
    <x v="1"/>
    <n v="74.7"/>
    <s v="ML Engineer"/>
    <n v="75.2"/>
    <n v="10.6"/>
    <x v="267"/>
    <n v="6.5"/>
    <n v="5.0999999999999996"/>
    <n v="7.4"/>
    <s v="Stable"/>
  </r>
  <r>
    <s v="T1188"/>
    <x v="0"/>
    <x v="2"/>
    <x v="0"/>
    <x v="3"/>
    <s v="Apr"/>
    <x v="1"/>
    <x v="1111"/>
    <n v="6.9"/>
    <x v="2"/>
    <n v="8.9"/>
    <x v="5"/>
    <n v="4965"/>
    <x v="3"/>
    <n v="65.099999999999994"/>
    <s v="Data Scientist"/>
    <n v="83.3"/>
    <n v="7.8"/>
    <x v="108"/>
    <n v="7.1"/>
    <n v="5.5"/>
    <n v="5.4"/>
    <s v="Bull Market"/>
  </r>
  <r>
    <s v="T1189"/>
    <x v="14"/>
    <x v="1"/>
    <x v="4"/>
    <x v="3"/>
    <s v="Sep"/>
    <x v="1"/>
    <x v="1112"/>
    <n v="17.8"/>
    <x v="4"/>
    <n v="4.5"/>
    <x v="7"/>
    <n v="2008"/>
    <x v="1"/>
    <n v="17.899999999999999"/>
    <s v="Frontend Developer"/>
    <n v="84.4"/>
    <n v="43.1"/>
    <x v="96"/>
    <n v="3.5"/>
    <n v="7.6"/>
    <n v="6.7"/>
    <s v="Stable"/>
  </r>
  <r>
    <s v="T1190"/>
    <x v="9"/>
    <x v="1"/>
    <x v="1"/>
    <x v="0"/>
    <s v="Dec"/>
    <x v="1"/>
    <x v="1113"/>
    <n v="12.7"/>
    <x v="4"/>
    <n v="1.1000000000000001"/>
    <x v="64"/>
    <n v="1157"/>
    <x v="2"/>
    <n v="16.7"/>
    <s v="Software Engineer"/>
    <n v="-15.2"/>
    <n v="47.8"/>
    <x v="219"/>
    <n v="1.6"/>
    <n v="8.5"/>
    <n v="8"/>
    <s v="Recession"/>
  </r>
  <r>
    <s v="T1191"/>
    <x v="2"/>
    <x v="1"/>
    <x v="2"/>
    <x v="1"/>
    <s v="Apr"/>
    <x v="0"/>
    <x v="1114"/>
    <n v="16.2"/>
    <x v="1"/>
    <n v="4.8"/>
    <x v="5"/>
    <n v="3737"/>
    <x v="0"/>
    <n v="79.900000000000006"/>
    <s v="ML Engineer"/>
    <n v="46"/>
    <n v="-13.7"/>
    <x v="34"/>
    <n v="7.4"/>
    <n v="4.4000000000000004"/>
    <n v="4.0999999999999996"/>
    <s v="Stable"/>
  </r>
  <r>
    <s v="T1192"/>
    <x v="9"/>
    <x v="0"/>
    <x v="1"/>
    <x v="2"/>
    <s v="Feb"/>
    <x v="1"/>
    <x v="763"/>
    <n v="4.8"/>
    <x v="1"/>
    <n v="12.1"/>
    <x v="10"/>
    <n v="2068"/>
    <x v="0"/>
    <n v="13.1"/>
    <s v="ML Engineer"/>
    <n v="80.900000000000006"/>
    <n v="27.7"/>
    <x v="259"/>
    <n v="9.6"/>
    <n v="7.7"/>
    <n v="8.1"/>
    <s v="Stable"/>
  </r>
  <r>
    <s v="T1193"/>
    <x v="14"/>
    <x v="1"/>
    <x v="2"/>
    <x v="3"/>
    <s v="Apr"/>
    <x v="0"/>
    <x v="1115"/>
    <n v="6"/>
    <x v="0"/>
    <n v="8.1999999999999993"/>
    <x v="5"/>
    <n v="3255"/>
    <x v="1"/>
    <n v="45.6"/>
    <s v="Product Manager"/>
    <n v="75.400000000000006"/>
    <n v="-24.2"/>
    <x v="102"/>
    <n v="5.3"/>
    <n v="6.3"/>
    <n v="3.8"/>
    <s v="Bull Market"/>
  </r>
  <r>
    <s v="T1194"/>
    <x v="16"/>
    <x v="2"/>
    <x v="0"/>
    <x v="1"/>
    <s v="Aug"/>
    <x v="2"/>
    <x v="1116"/>
    <n v="11.4"/>
    <x v="4"/>
    <n v="3.3"/>
    <x v="23"/>
    <n v="96"/>
    <x v="1"/>
    <n v="61.1"/>
    <s v="ML Engineer"/>
    <n v="-18.8"/>
    <n v="37.299999999999997"/>
    <x v="36"/>
    <n v="4.5999999999999996"/>
    <n v="9.1999999999999993"/>
    <n v="7.2"/>
    <s v="Recession"/>
  </r>
  <r>
    <s v="T1195"/>
    <x v="18"/>
    <x v="0"/>
    <x v="3"/>
    <x v="3"/>
    <s v="Nov"/>
    <x v="1"/>
    <x v="1117"/>
    <n v="3.4"/>
    <x v="3"/>
    <n v="2.8"/>
    <x v="88"/>
    <n v="3286"/>
    <x v="0"/>
    <n v="42.1"/>
    <s v="ML Engineer"/>
    <n v="77.2"/>
    <n v="2.1"/>
    <x v="40"/>
    <n v="3.4"/>
    <n v="8"/>
    <n v="7.5"/>
    <s v="Stable"/>
  </r>
  <r>
    <s v="T1196"/>
    <x v="6"/>
    <x v="1"/>
    <x v="5"/>
    <x v="1"/>
    <s v="Jun"/>
    <x v="0"/>
    <x v="1118"/>
    <n v="27.6"/>
    <x v="3"/>
    <n v="7.8"/>
    <x v="5"/>
    <n v="662"/>
    <x v="1"/>
    <n v="17.899999999999999"/>
    <s v="Software Engineer"/>
    <n v="-18"/>
    <n v="0.7"/>
    <x v="35"/>
    <n v="6.5"/>
    <n v="3.4"/>
    <n v="2.8"/>
    <s v="Recession"/>
  </r>
  <r>
    <s v="T1197"/>
    <x v="2"/>
    <x v="5"/>
    <x v="2"/>
    <x v="3"/>
    <s v="Aug"/>
    <x v="1"/>
    <x v="1119"/>
    <n v="16.7"/>
    <x v="1"/>
    <n v="13.8"/>
    <x v="5"/>
    <n v="2706"/>
    <x v="1"/>
    <n v="34.9"/>
    <s v="Data Scientist"/>
    <n v="-35"/>
    <n v="23.1"/>
    <x v="9"/>
    <n v="9.9"/>
    <n v="7.9"/>
    <n v="4.5999999999999996"/>
    <s v="Stable"/>
  </r>
  <r>
    <s v="T1198"/>
    <x v="0"/>
    <x v="1"/>
    <x v="1"/>
    <x v="3"/>
    <s v="Sep"/>
    <x v="0"/>
    <x v="1120"/>
    <n v="13.2"/>
    <x v="2"/>
    <n v="4.5"/>
    <x v="75"/>
    <n v="2644"/>
    <x v="1"/>
    <n v="74"/>
    <s v="Data Scientist"/>
    <n v="25.6"/>
    <n v="8.6999999999999993"/>
    <x v="156"/>
    <n v="3.2"/>
    <n v="5.9"/>
    <n v="6.3"/>
    <s v="Stable"/>
  </r>
  <r>
    <s v="T1199"/>
    <x v="1"/>
    <x v="0"/>
    <x v="2"/>
    <x v="1"/>
    <s v="Jan"/>
    <x v="0"/>
    <x v="1121"/>
    <n v="5.3"/>
    <x v="2"/>
    <n v="14.6"/>
    <x v="5"/>
    <n v="3095"/>
    <x v="0"/>
    <n v="50.5"/>
    <s v="ML Engineer"/>
    <n v="64.7"/>
    <n v="-2"/>
    <x v="86"/>
    <n v="9.6999999999999993"/>
    <n v="8.3000000000000007"/>
    <n v="5.5"/>
    <s v="Bull Market"/>
  </r>
  <r>
    <s v="T1200"/>
    <x v="2"/>
    <x v="1"/>
    <x v="1"/>
    <x v="3"/>
    <s v="Apr"/>
    <x v="0"/>
    <x v="1122"/>
    <n v="22.8"/>
    <x v="1"/>
    <n v="5.4"/>
    <x v="27"/>
    <n v="299"/>
    <x v="1"/>
    <n v="68.7"/>
    <s v="Software Engineer"/>
    <n v="80.5"/>
    <n v="13.2"/>
    <x v="436"/>
    <n v="6"/>
    <n v="5.2"/>
    <n v="5.3"/>
    <s v="Recession"/>
  </r>
  <r>
    <s v="T1201"/>
    <x v="0"/>
    <x v="0"/>
    <x v="3"/>
    <x v="0"/>
    <s v="Jan"/>
    <x v="2"/>
    <x v="1123"/>
    <n v="5.0999999999999996"/>
    <x v="1"/>
    <n v="1"/>
    <x v="39"/>
    <n v="2915"/>
    <x v="1"/>
    <n v="20.3"/>
    <s v="ML Engineer"/>
    <n v="14.2"/>
    <n v="2.4"/>
    <x v="272"/>
    <n v="1.4"/>
    <n v="4.9000000000000004"/>
    <n v="7.5"/>
    <s v="Bull Market"/>
  </r>
  <r>
    <s v="T1202"/>
    <x v="2"/>
    <x v="0"/>
    <x v="5"/>
    <x v="0"/>
    <s v="Feb"/>
    <x v="1"/>
    <x v="844"/>
    <n v="6.3"/>
    <x v="3"/>
    <n v="15.6"/>
    <x v="5"/>
    <n v="7325"/>
    <x v="3"/>
    <n v="84.4"/>
    <s v="ML Engineer"/>
    <n v="24.1"/>
    <n v="-24.7"/>
    <x v="340"/>
    <n v="9.5"/>
    <n v="7"/>
    <n v="5.2"/>
    <s v="Bull Market"/>
  </r>
  <r>
    <s v="T1203"/>
    <x v="3"/>
    <x v="1"/>
    <x v="0"/>
    <x v="3"/>
    <s v="Feb"/>
    <x v="0"/>
    <x v="1124"/>
    <n v="11.1"/>
    <x v="2"/>
    <n v="1.1000000000000001"/>
    <x v="36"/>
    <n v="3322"/>
    <x v="1"/>
    <n v="62.5"/>
    <s v="Frontend Developer"/>
    <n v="22.5"/>
    <n v="-8.5"/>
    <x v="58"/>
    <n v="1.8"/>
    <n v="5.0999999999999996"/>
    <n v="6.5"/>
    <s v="Stable"/>
  </r>
  <r>
    <s v="T1204"/>
    <x v="13"/>
    <x v="5"/>
    <x v="4"/>
    <x v="3"/>
    <s v="Oct"/>
    <x v="2"/>
    <x v="1125"/>
    <n v="9.5"/>
    <x v="4"/>
    <n v="7.3"/>
    <x v="26"/>
    <n v="1137"/>
    <x v="1"/>
    <n v="17.2"/>
    <s v="Product Manager"/>
    <n v="37.200000000000003"/>
    <n v="-16.3"/>
    <x v="438"/>
    <n v="4.8"/>
    <n v="4.0999999999999996"/>
    <n v="3.6"/>
    <s v="Recession"/>
  </r>
  <r>
    <s v="T1205"/>
    <x v="11"/>
    <x v="6"/>
    <x v="2"/>
    <x v="0"/>
    <s v="Sep"/>
    <x v="1"/>
    <x v="1126"/>
    <n v="12.2"/>
    <x v="1"/>
    <n v="11.1"/>
    <x v="63"/>
    <n v="1404"/>
    <x v="1"/>
    <n v="67.5"/>
    <s v="Frontend Developer"/>
    <n v="-43"/>
    <n v="3.5"/>
    <x v="39"/>
    <n v="7"/>
    <n v="4.8"/>
    <n v="4.7"/>
    <s v="Recession"/>
  </r>
  <r>
    <s v="T1206"/>
    <x v="4"/>
    <x v="1"/>
    <x v="1"/>
    <x v="3"/>
    <s v="Apr"/>
    <x v="0"/>
    <x v="1127"/>
    <n v="18.3"/>
    <x v="1"/>
    <n v="7.9"/>
    <x v="5"/>
    <n v="1586"/>
    <x v="1"/>
    <n v="47.5"/>
    <s v="Cybersecurity Analyst"/>
    <n v="85.8"/>
    <n v="34"/>
    <x v="54"/>
    <n v="8"/>
    <n v="5.8"/>
    <n v="4.5"/>
    <s v="Recession"/>
  </r>
  <r>
    <s v="T1207"/>
    <x v="1"/>
    <x v="0"/>
    <x v="4"/>
    <x v="0"/>
    <s v="Dec"/>
    <x v="2"/>
    <x v="1128"/>
    <n v="4.4000000000000004"/>
    <x v="3"/>
    <n v="2.8"/>
    <x v="88"/>
    <n v="4884"/>
    <x v="0"/>
    <n v="15"/>
    <s v="ML Engineer"/>
    <n v="54.7"/>
    <n v="33.200000000000003"/>
    <x v="111"/>
    <n v="3.4"/>
    <n v="9.1"/>
    <n v="7.1"/>
    <s v="Stable"/>
  </r>
  <r>
    <s v="T1208"/>
    <x v="6"/>
    <x v="1"/>
    <x v="2"/>
    <x v="0"/>
    <s v="Dec"/>
    <x v="2"/>
    <x v="1129"/>
    <n v="4.3"/>
    <x v="2"/>
    <n v="2.9"/>
    <x v="58"/>
    <n v="1393"/>
    <x v="1"/>
    <n v="58.9"/>
    <s v="Software Engineer"/>
    <n v="-8.8000000000000007"/>
    <n v="59.9"/>
    <x v="372"/>
    <n v="2.9"/>
    <n v="8.6"/>
    <n v="8.5"/>
    <s v="Stable"/>
  </r>
  <r>
    <s v="T1209"/>
    <x v="12"/>
    <x v="5"/>
    <x v="2"/>
    <x v="3"/>
    <s v="Mar"/>
    <x v="2"/>
    <x v="1130"/>
    <n v="21.9"/>
    <x v="3"/>
    <n v="14.4"/>
    <x v="5"/>
    <n v="1797"/>
    <x v="1"/>
    <n v="35.299999999999997"/>
    <s v="Data Scientist"/>
    <n v="-42.9"/>
    <n v="7"/>
    <x v="131"/>
    <n v="9.1999999999999993"/>
    <n v="4.5"/>
    <n v="4.4000000000000004"/>
    <s v="Recession"/>
  </r>
  <r>
    <s v="T1210"/>
    <x v="4"/>
    <x v="0"/>
    <x v="3"/>
    <x v="3"/>
    <s v="May"/>
    <x v="1"/>
    <x v="1131"/>
    <n v="7.5"/>
    <x v="1"/>
    <n v="6.7"/>
    <x v="13"/>
    <n v="4257"/>
    <x v="0"/>
    <n v="72.099999999999994"/>
    <s v="ML Engineer"/>
    <n v="-8.1999999999999993"/>
    <n v="0.6"/>
    <x v="3"/>
    <n v="4.2"/>
    <n v="5.5"/>
    <n v="5.7"/>
    <s v="Bull Market"/>
  </r>
  <r>
    <s v="T1211"/>
    <x v="2"/>
    <x v="5"/>
    <x v="0"/>
    <x v="0"/>
    <s v="Mar"/>
    <x v="2"/>
    <x v="1132"/>
    <n v="0.8"/>
    <x v="0"/>
    <n v="1.1000000000000001"/>
    <x v="77"/>
    <n v="254"/>
    <x v="1"/>
    <n v="63.3"/>
    <s v="Frontend Developer"/>
    <n v="-15.3"/>
    <n v="33.799999999999997"/>
    <x v="439"/>
    <n v="1.3"/>
    <n v="9.1999999999999993"/>
    <n v="8.5"/>
    <s v="Bull Market"/>
  </r>
  <r>
    <s v="T1212"/>
    <x v="0"/>
    <x v="2"/>
    <x v="5"/>
    <x v="1"/>
    <s v="Jan"/>
    <x v="2"/>
    <x v="1133"/>
    <n v="2.7"/>
    <x v="0"/>
    <n v="12.1"/>
    <x v="5"/>
    <n v="1535"/>
    <x v="0"/>
    <n v="75"/>
    <s v="Frontend Developer"/>
    <n v="53.7"/>
    <n v="-1.7"/>
    <x v="264"/>
    <n v="8.6"/>
    <n v="5.3"/>
    <n v="5.7"/>
    <s v="Bull Market"/>
  </r>
  <r>
    <s v="T1213"/>
    <x v="0"/>
    <x v="5"/>
    <x v="3"/>
    <x v="3"/>
    <s v="Nov"/>
    <x v="0"/>
    <x v="1134"/>
    <n v="15.2"/>
    <x v="2"/>
    <n v="7.7"/>
    <x v="5"/>
    <n v="241"/>
    <x v="1"/>
    <n v="69.3"/>
    <s v="Cybersecurity Analyst"/>
    <n v="28.7"/>
    <n v="55.8"/>
    <x v="440"/>
    <n v="7.3"/>
    <n v="6.4"/>
    <n v="5.6"/>
    <s v="Recession"/>
  </r>
  <r>
    <s v="T1214"/>
    <x v="14"/>
    <x v="1"/>
    <x v="3"/>
    <x v="0"/>
    <s v="Jul"/>
    <x v="0"/>
    <x v="1135"/>
    <n v="25.7"/>
    <x v="4"/>
    <n v="9.5"/>
    <x v="5"/>
    <n v="1184"/>
    <x v="2"/>
    <n v="72.3"/>
    <s v="ML Engineer"/>
    <n v="73.099999999999994"/>
    <n v="31.4"/>
    <x v="441"/>
    <n v="7.5"/>
    <n v="4.5"/>
    <n v="3.5"/>
    <s v="Recession"/>
  </r>
  <r>
    <s v="T1215"/>
    <x v="13"/>
    <x v="5"/>
    <x v="0"/>
    <x v="0"/>
    <s v="Aug"/>
    <x v="0"/>
    <x v="520"/>
    <n v="3.4"/>
    <x v="4"/>
    <n v="8.1999999999999993"/>
    <x v="5"/>
    <n v="5599"/>
    <x v="0"/>
    <n v="47.8"/>
    <s v="Software Engineer"/>
    <n v="27.9"/>
    <n v="-1.9"/>
    <x v="423"/>
    <n v="8.9"/>
    <n v="5.9"/>
    <n v="5.7"/>
    <s v="Stable"/>
  </r>
  <r>
    <s v="T1216"/>
    <x v="12"/>
    <x v="5"/>
    <x v="5"/>
    <x v="1"/>
    <s v="Jan"/>
    <x v="0"/>
    <x v="1136"/>
    <n v="4.5999999999999996"/>
    <x v="4"/>
    <n v="7.2"/>
    <x v="48"/>
    <n v="662"/>
    <x v="1"/>
    <n v="46.6"/>
    <s v="Cybersecurity Analyst"/>
    <n v="13.6"/>
    <n v="43.5"/>
    <x v="164"/>
    <n v="5.8"/>
    <n v="7.2"/>
    <n v="7.6"/>
    <s v="Bull Market"/>
  </r>
  <r>
    <s v="T1217"/>
    <x v="11"/>
    <x v="6"/>
    <x v="4"/>
    <x v="0"/>
    <s v="Aug"/>
    <x v="0"/>
    <x v="1137"/>
    <n v="15.7"/>
    <x v="2"/>
    <n v="6.4"/>
    <x v="5"/>
    <n v="2279"/>
    <x v="1"/>
    <n v="46.5"/>
    <s v="ML Engineer"/>
    <n v="73.7"/>
    <n v="-22"/>
    <x v="245"/>
    <n v="5.7"/>
    <n v="5.0999999999999996"/>
    <n v="4.7"/>
    <s v="Stable"/>
  </r>
  <r>
    <s v="T1218"/>
    <x v="11"/>
    <x v="6"/>
    <x v="4"/>
    <x v="1"/>
    <s v="Aug"/>
    <x v="2"/>
    <x v="1138"/>
    <n v="15.7"/>
    <x v="3"/>
    <n v="9.1999999999999993"/>
    <x v="5"/>
    <n v="3941"/>
    <x v="0"/>
    <n v="57.6"/>
    <s v="Frontend Developer"/>
    <n v="64.3"/>
    <n v="54.9"/>
    <x v="208"/>
    <n v="9.1999999999999993"/>
    <n v="7.5"/>
    <n v="6.8"/>
    <s v="Stable"/>
  </r>
  <r>
    <s v="T1219"/>
    <x v="2"/>
    <x v="2"/>
    <x v="0"/>
    <x v="2"/>
    <s v="Feb"/>
    <x v="0"/>
    <x v="1139"/>
    <n v="2.6"/>
    <x v="2"/>
    <n v="8.1999999999999993"/>
    <x v="61"/>
    <n v="1071"/>
    <x v="1"/>
    <n v="62.3"/>
    <s v="ML Engineer"/>
    <n v="49.6"/>
    <n v="51"/>
    <x v="5"/>
    <n v="6.6"/>
    <n v="7.3"/>
    <n v="7.5"/>
    <s v="Bull Market"/>
  </r>
  <r>
    <s v="T1220"/>
    <x v="2"/>
    <x v="1"/>
    <x v="0"/>
    <x v="0"/>
    <s v="Jan"/>
    <x v="1"/>
    <x v="1115"/>
    <n v="0.2"/>
    <x v="1"/>
    <n v="6.9"/>
    <x v="30"/>
    <n v="366"/>
    <x v="0"/>
    <n v="69.2"/>
    <s v="Product Manager"/>
    <n v="44.8"/>
    <n v="13"/>
    <x v="280"/>
    <n v="6.1"/>
    <n v="8.6999999999999993"/>
    <n v="6.2"/>
    <s v="Bull Market"/>
  </r>
  <r>
    <s v="T1221"/>
    <x v="0"/>
    <x v="2"/>
    <x v="5"/>
    <x v="0"/>
    <s v="Jan"/>
    <x v="2"/>
    <x v="1140"/>
    <n v="37.4"/>
    <x v="4"/>
    <n v="1.2"/>
    <x v="84"/>
    <n v="703"/>
    <x v="2"/>
    <n v="68.2"/>
    <s v="ML Engineer"/>
    <n v="-21.9"/>
    <n v="-21"/>
    <x v="145"/>
    <n v="1.3"/>
    <n v="1.9"/>
    <n v="2"/>
    <s v="Recession"/>
  </r>
  <r>
    <s v="T1222"/>
    <x v="13"/>
    <x v="5"/>
    <x v="5"/>
    <x v="1"/>
    <s v="Aug"/>
    <x v="1"/>
    <x v="1141"/>
    <n v="18.2"/>
    <x v="3"/>
    <n v="6.1"/>
    <x v="5"/>
    <n v="1340"/>
    <x v="1"/>
    <n v="61.9"/>
    <s v="ML Engineer"/>
    <n v="76.3"/>
    <n v="-17.8"/>
    <x v="442"/>
    <n v="7"/>
    <n v="6.9"/>
    <n v="3"/>
    <s v="Recession"/>
  </r>
  <r>
    <s v="T1223"/>
    <x v="19"/>
    <x v="0"/>
    <x v="4"/>
    <x v="0"/>
    <s v="Mar"/>
    <x v="1"/>
    <x v="1142"/>
    <n v="8"/>
    <x v="4"/>
    <n v="4.8"/>
    <x v="5"/>
    <n v="4620"/>
    <x v="0"/>
    <n v="22.5"/>
    <s v="Data Scientist"/>
    <n v="-38.799999999999997"/>
    <n v="-8.4"/>
    <x v="230"/>
    <n v="6"/>
    <n v="4.3"/>
    <n v="5.9"/>
    <s v="Stable"/>
  </r>
  <r>
    <s v="T1224"/>
    <x v="2"/>
    <x v="2"/>
    <x v="1"/>
    <x v="3"/>
    <s v="Sep"/>
    <x v="1"/>
    <x v="1143"/>
    <n v="12.6"/>
    <x v="1"/>
    <n v="1.1000000000000001"/>
    <x v="41"/>
    <n v="545"/>
    <x v="2"/>
    <n v="88.1"/>
    <s v="DevOps Engineer"/>
    <n v="50.7"/>
    <n v="19.600000000000001"/>
    <x v="279"/>
    <n v="1.5"/>
    <n v="7.2"/>
    <n v="6.7"/>
    <s v="Stable"/>
  </r>
  <r>
    <s v="T1225"/>
    <x v="4"/>
    <x v="0"/>
    <x v="0"/>
    <x v="1"/>
    <s v="May"/>
    <x v="1"/>
    <x v="50"/>
    <n v="3.6"/>
    <x v="4"/>
    <n v="3.6"/>
    <x v="54"/>
    <n v="5956"/>
    <x v="0"/>
    <n v="42.1"/>
    <s v="ML Engineer"/>
    <n v="54.6"/>
    <n v="42.8"/>
    <x v="175"/>
    <n v="2.5"/>
    <n v="6.8"/>
    <n v="8.1"/>
    <s v="Bull Market"/>
  </r>
  <r>
    <s v="T1226"/>
    <x v="16"/>
    <x v="2"/>
    <x v="4"/>
    <x v="3"/>
    <s v="Nov"/>
    <x v="0"/>
    <x v="1144"/>
    <n v="7.9"/>
    <x v="3"/>
    <n v="10"/>
    <x v="28"/>
    <n v="5074"/>
    <x v="1"/>
    <n v="33.4"/>
    <s v="Frontend Developer"/>
    <n v="24"/>
    <n v="15.2"/>
    <x v="191"/>
    <n v="6.2"/>
    <n v="7"/>
    <n v="5.7"/>
    <s v="Bull Market"/>
  </r>
  <r>
    <s v="T1227"/>
    <x v="0"/>
    <x v="0"/>
    <x v="1"/>
    <x v="0"/>
    <s v="Jul"/>
    <x v="2"/>
    <x v="1145"/>
    <n v="25.5"/>
    <x v="3"/>
    <n v="7.9"/>
    <x v="5"/>
    <n v="2915"/>
    <x v="1"/>
    <n v="49.3"/>
    <s v="ML Engineer"/>
    <n v="-36"/>
    <n v="-20.8"/>
    <x v="346"/>
    <n v="9.6"/>
    <n v="2.2999999999999998"/>
    <n v="1.9"/>
    <s v="Recession"/>
  </r>
  <r>
    <s v="T1228"/>
    <x v="6"/>
    <x v="2"/>
    <x v="3"/>
    <x v="0"/>
    <s v="Dec"/>
    <x v="0"/>
    <x v="1146"/>
    <n v="13.4"/>
    <x v="4"/>
    <n v="1.7"/>
    <x v="58"/>
    <n v="3996"/>
    <x v="1"/>
    <n v="57.6"/>
    <s v="DevOps Engineer"/>
    <n v="84.6"/>
    <n v="27.4"/>
    <x v="387"/>
    <n v="1.3"/>
    <n v="8.4"/>
    <n v="5.9"/>
    <s v="Stable"/>
  </r>
  <r>
    <s v="T1229"/>
    <x v="3"/>
    <x v="1"/>
    <x v="3"/>
    <x v="2"/>
    <s v="Feb"/>
    <x v="1"/>
    <x v="1147"/>
    <n v="10.5"/>
    <x v="4"/>
    <n v="2.2000000000000002"/>
    <x v="25"/>
    <n v="610"/>
    <x v="1"/>
    <n v="47.5"/>
    <s v="Software Engineer"/>
    <n v="59.9"/>
    <n v="20.8"/>
    <x v="211"/>
    <n v="2.7"/>
    <n v="5"/>
    <n v="6.1"/>
    <s v="Recession"/>
  </r>
  <r>
    <s v="T1230"/>
    <x v="2"/>
    <x v="1"/>
    <x v="1"/>
    <x v="2"/>
    <s v="Mar"/>
    <x v="1"/>
    <x v="1148"/>
    <n v="4.0999999999999996"/>
    <x v="3"/>
    <n v="11.7"/>
    <x v="26"/>
    <n v="452"/>
    <x v="0"/>
    <n v="88.2"/>
    <s v="Data Scientist"/>
    <n v="-16.8"/>
    <n v="-4.7"/>
    <x v="294"/>
    <n v="7.7"/>
    <n v="7.6"/>
    <n v="4.5999999999999996"/>
    <s v="Bull Market"/>
  </r>
  <r>
    <s v="T1231"/>
    <x v="6"/>
    <x v="1"/>
    <x v="0"/>
    <x v="1"/>
    <s v="Nov"/>
    <x v="2"/>
    <x v="1149"/>
    <n v="34"/>
    <x v="0"/>
    <n v="2.2999999999999998"/>
    <x v="5"/>
    <n v="761"/>
    <x v="2"/>
    <n v="89.1"/>
    <s v="Product Manager"/>
    <n v="65.8"/>
    <n v="-16.8"/>
    <x v="443"/>
    <n v="1.9"/>
    <n v="3.8"/>
    <n v="1.2"/>
    <s v="Recession"/>
  </r>
  <r>
    <s v="T1232"/>
    <x v="2"/>
    <x v="5"/>
    <x v="0"/>
    <x v="1"/>
    <s v="Mar"/>
    <x v="0"/>
    <x v="1150"/>
    <n v="18.399999999999999"/>
    <x v="0"/>
    <n v="15"/>
    <x v="5"/>
    <n v="469"/>
    <x v="1"/>
    <n v="76.900000000000006"/>
    <s v="Product Manager"/>
    <n v="57"/>
    <n v="-21.6"/>
    <x v="422"/>
    <n v="9.9"/>
    <n v="5.8"/>
    <n v="3.7"/>
    <s v="Recession"/>
  </r>
  <r>
    <s v="T1233"/>
    <x v="7"/>
    <x v="4"/>
    <x v="3"/>
    <x v="0"/>
    <s v="Aug"/>
    <x v="2"/>
    <x v="1151"/>
    <n v="4.8"/>
    <x v="0"/>
    <n v="4"/>
    <x v="12"/>
    <n v="3922"/>
    <x v="1"/>
    <n v="22.3"/>
    <s v="Cloud Engineer"/>
    <n v="-35.9"/>
    <n v="15.3"/>
    <x v="132"/>
    <n v="2.7"/>
    <n v="6.8"/>
    <n v="6.4"/>
    <s v="Stable"/>
  </r>
  <r>
    <s v="T1234"/>
    <x v="3"/>
    <x v="1"/>
    <x v="3"/>
    <x v="0"/>
    <s v="Jun"/>
    <x v="2"/>
    <x v="1152"/>
    <n v="17.899999999999999"/>
    <x v="3"/>
    <n v="10.3"/>
    <x v="5"/>
    <n v="3241"/>
    <x v="0"/>
    <n v="82"/>
    <s v="Product Manager"/>
    <n v="-41.7"/>
    <n v="-22.5"/>
    <x v="239"/>
    <n v="7.5"/>
    <n v="3.7"/>
    <n v="4.3"/>
    <s v="Stable"/>
  </r>
  <r>
    <s v="T1235"/>
    <x v="17"/>
    <x v="3"/>
    <x v="5"/>
    <x v="1"/>
    <s v="Nov"/>
    <x v="1"/>
    <x v="1153"/>
    <n v="6.7"/>
    <x v="2"/>
    <n v="15.2"/>
    <x v="2"/>
    <n v="5205"/>
    <x v="0"/>
    <n v="83"/>
    <s v="Product Manager"/>
    <n v="59.9"/>
    <n v="39.799999999999997"/>
    <x v="236"/>
    <n v="9.1999999999999993"/>
    <n v="6.1"/>
    <n v="8"/>
    <s v="Stable"/>
  </r>
  <r>
    <s v="T1236"/>
    <x v="4"/>
    <x v="1"/>
    <x v="1"/>
    <x v="0"/>
    <s v="Nov"/>
    <x v="1"/>
    <x v="1154"/>
    <n v="13.4"/>
    <x v="3"/>
    <n v="1.6"/>
    <x v="17"/>
    <n v="3633"/>
    <x v="0"/>
    <n v="50.8"/>
    <s v="DevOps Engineer"/>
    <n v="83.1"/>
    <n v="53.4"/>
    <x v="317"/>
    <n v="2.7"/>
    <n v="7.4"/>
    <n v="7"/>
    <s v="Stable"/>
  </r>
  <r>
    <s v="T1237"/>
    <x v="6"/>
    <x v="2"/>
    <x v="5"/>
    <x v="0"/>
    <s v="Dec"/>
    <x v="0"/>
    <x v="1155"/>
    <n v="3.4"/>
    <x v="0"/>
    <n v="14.3"/>
    <x v="9"/>
    <n v="2787"/>
    <x v="0"/>
    <n v="15.7"/>
    <s v="ML Engineer"/>
    <n v="33"/>
    <n v="49.2"/>
    <x v="198"/>
    <n v="9.1999999999999993"/>
    <n v="7.2"/>
    <n v="7.3"/>
    <s v="Bull Market"/>
  </r>
  <r>
    <s v="T1238"/>
    <x v="17"/>
    <x v="3"/>
    <x v="3"/>
    <x v="1"/>
    <s v="Jun"/>
    <x v="0"/>
    <x v="1156"/>
    <n v="22"/>
    <x v="1"/>
    <n v="1.6"/>
    <x v="82"/>
    <n v="676"/>
    <x v="2"/>
    <n v="59.5"/>
    <s v="ML Engineer"/>
    <n v="43.2"/>
    <n v="14.3"/>
    <x v="23"/>
    <n v="1.4"/>
    <n v="4.3"/>
    <n v="5.2"/>
    <s v="Recession"/>
  </r>
  <r>
    <s v="T1239"/>
    <x v="0"/>
    <x v="5"/>
    <x v="0"/>
    <x v="2"/>
    <s v="Jun"/>
    <x v="0"/>
    <x v="1157"/>
    <n v="8.3000000000000007"/>
    <x v="2"/>
    <n v="3.9"/>
    <x v="39"/>
    <n v="5136"/>
    <x v="0"/>
    <n v="81.900000000000006"/>
    <s v="Frontend Developer"/>
    <n v="2.2000000000000002"/>
    <n v="3.5"/>
    <x v="444"/>
    <n v="4.4000000000000004"/>
    <n v="7.4"/>
    <n v="6.1"/>
    <s v="Stable"/>
  </r>
  <r>
    <s v="T1240"/>
    <x v="15"/>
    <x v="2"/>
    <x v="3"/>
    <x v="0"/>
    <s v="Jan"/>
    <x v="0"/>
    <x v="1158"/>
    <n v="17.8"/>
    <x v="4"/>
    <n v="14.4"/>
    <x v="9"/>
    <n v="1794"/>
    <x v="1"/>
    <n v="12.2"/>
    <s v="Software Engineer"/>
    <n v="26.7"/>
    <n v="5.6"/>
    <x v="174"/>
    <n v="8.5"/>
    <n v="6"/>
    <n v="3.8"/>
    <s v="Stable"/>
  </r>
  <r>
    <s v="T1241"/>
    <x v="7"/>
    <x v="4"/>
    <x v="0"/>
    <x v="0"/>
    <s v="Oct"/>
    <x v="2"/>
    <x v="1159"/>
    <n v="8.6"/>
    <x v="3"/>
    <n v="4.0999999999999996"/>
    <x v="54"/>
    <n v="1223"/>
    <x v="1"/>
    <n v="68.099999999999994"/>
    <s v="ML Engineer"/>
    <n v="-18.2"/>
    <n v="-16.3"/>
    <x v="19"/>
    <n v="5.3"/>
    <n v="4"/>
    <n v="5"/>
    <s v="Bull Market"/>
  </r>
  <r>
    <s v="T1242"/>
    <x v="8"/>
    <x v="4"/>
    <x v="0"/>
    <x v="1"/>
    <s v="Jul"/>
    <x v="2"/>
    <x v="1160"/>
    <n v="7.2"/>
    <x v="0"/>
    <n v="4.4000000000000004"/>
    <x v="84"/>
    <n v="788"/>
    <x v="1"/>
    <n v="25.5"/>
    <s v="DevOps Engineer"/>
    <n v="70.2"/>
    <n v="20"/>
    <x v="255"/>
    <n v="5.6"/>
    <n v="8.9"/>
    <n v="6"/>
    <s v="Bull Market"/>
  </r>
  <r>
    <s v="T1243"/>
    <x v="17"/>
    <x v="0"/>
    <x v="0"/>
    <x v="0"/>
    <s v="Mar"/>
    <x v="0"/>
    <x v="1161"/>
    <n v="20.8"/>
    <x v="3"/>
    <n v="8.6"/>
    <x v="5"/>
    <n v="7340"/>
    <x v="0"/>
    <n v="31.6"/>
    <s v="Data Scientist"/>
    <n v="77.7"/>
    <n v="-13.5"/>
    <x v="34"/>
    <n v="9.9"/>
    <n v="4.0999999999999996"/>
    <n v="3.6"/>
    <s v="Recession"/>
  </r>
  <r>
    <s v="T1244"/>
    <x v="2"/>
    <x v="0"/>
    <x v="3"/>
    <x v="1"/>
    <s v="Jul"/>
    <x v="2"/>
    <x v="1162"/>
    <n v="13.3"/>
    <x v="1"/>
    <n v="8.3000000000000007"/>
    <x v="5"/>
    <n v="3460"/>
    <x v="1"/>
    <n v="18"/>
    <s v="Data Scientist"/>
    <n v="-27.7"/>
    <n v="12.4"/>
    <x v="156"/>
    <n v="8"/>
    <n v="4.5999999999999996"/>
    <n v="5.2"/>
    <s v="Stable"/>
  </r>
  <r>
    <s v="T1245"/>
    <x v="10"/>
    <x v="3"/>
    <x v="2"/>
    <x v="2"/>
    <s v="Feb"/>
    <x v="1"/>
    <x v="1163"/>
    <n v="4.7"/>
    <x v="3"/>
    <n v="6.5"/>
    <x v="25"/>
    <n v="1604"/>
    <x v="0"/>
    <n v="12.8"/>
    <s v="Frontend Developer"/>
    <n v="25.2"/>
    <n v="52.8"/>
    <x v="368"/>
    <n v="5.9"/>
    <n v="6.8"/>
    <n v="7.4"/>
    <s v="Stable"/>
  </r>
  <r>
    <s v="T1246"/>
    <x v="16"/>
    <x v="2"/>
    <x v="3"/>
    <x v="2"/>
    <s v="Feb"/>
    <x v="1"/>
    <x v="1054"/>
    <n v="3.7"/>
    <x v="2"/>
    <n v="8.1999999999999993"/>
    <x v="85"/>
    <n v="2609"/>
    <x v="0"/>
    <n v="73"/>
    <s v="Software Engineer"/>
    <n v="-24.6"/>
    <n v="36.700000000000003"/>
    <x v="242"/>
    <n v="6.6"/>
    <n v="5.9"/>
    <n v="8.3000000000000007"/>
    <s v="Bull Market"/>
  </r>
  <r>
    <s v="T1247"/>
    <x v="15"/>
    <x v="2"/>
    <x v="5"/>
    <x v="1"/>
    <s v="Aug"/>
    <x v="0"/>
    <x v="1164"/>
    <n v="1.8"/>
    <x v="3"/>
    <n v="9.8000000000000007"/>
    <x v="5"/>
    <n v="260"/>
    <x v="0"/>
    <n v="26.8"/>
    <s v="DevOps Engineer"/>
    <n v="-42"/>
    <n v="23.2"/>
    <x v="240"/>
    <n v="8.5"/>
    <n v="9.1"/>
    <n v="6.5"/>
    <s v="Bull Market"/>
  </r>
  <r>
    <s v="T1248"/>
    <x v="1"/>
    <x v="4"/>
    <x v="3"/>
    <x v="0"/>
    <s v="May"/>
    <x v="2"/>
    <x v="1165"/>
    <n v="9.3000000000000007"/>
    <x v="2"/>
    <n v="13.7"/>
    <x v="50"/>
    <n v="1211"/>
    <x v="0"/>
    <n v="23.4"/>
    <s v="ML Engineer"/>
    <n v="-2.9"/>
    <n v="27.8"/>
    <x v="232"/>
    <n v="9.1"/>
    <n v="5.4"/>
    <n v="6.1"/>
    <s v="Bull Market"/>
  </r>
  <r>
    <s v="T1249"/>
    <x v="0"/>
    <x v="1"/>
    <x v="4"/>
    <x v="1"/>
    <s v="Nov"/>
    <x v="0"/>
    <x v="627"/>
    <n v="1.4"/>
    <x v="0"/>
    <n v="3.3"/>
    <x v="40"/>
    <n v="4013"/>
    <x v="1"/>
    <n v="39.4"/>
    <s v="Frontend Developer"/>
    <n v="79.099999999999994"/>
    <n v="-4.5999999999999996"/>
    <x v="426"/>
    <n v="2.1"/>
    <n v="6.5"/>
    <n v="7.9"/>
    <s v="Bull Market"/>
  </r>
  <r>
    <s v="T1250"/>
    <x v="2"/>
    <x v="0"/>
    <x v="0"/>
    <x v="3"/>
    <s v="Sep"/>
    <x v="1"/>
    <x v="1166"/>
    <n v="8.3000000000000007"/>
    <x v="0"/>
    <n v="13.5"/>
    <x v="5"/>
    <n v="6108"/>
    <x v="3"/>
    <n v="85.2"/>
    <s v="Data Scientist"/>
    <n v="57.4"/>
    <n v="21.9"/>
    <x v="406"/>
    <n v="9.3000000000000007"/>
    <n v="5.9"/>
    <n v="5.3"/>
    <s v="Stable"/>
  </r>
  <r>
    <s v="T1251"/>
    <x v="3"/>
    <x v="1"/>
    <x v="5"/>
    <x v="1"/>
    <s v="Oct"/>
    <x v="0"/>
    <x v="990"/>
    <n v="4.9000000000000004"/>
    <x v="3"/>
    <n v="4.4000000000000004"/>
    <x v="62"/>
    <n v="1693"/>
    <x v="0"/>
    <n v="78.5"/>
    <s v="Software Engineer"/>
    <n v="62.4"/>
    <n v="21.1"/>
    <x v="225"/>
    <n v="2.8"/>
    <n v="6.3"/>
    <n v="7.8"/>
    <s v="Bull Market"/>
  </r>
  <r>
    <s v="T1252"/>
    <x v="1"/>
    <x v="4"/>
    <x v="0"/>
    <x v="0"/>
    <s v="May"/>
    <x v="0"/>
    <x v="892"/>
    <n v="2.2999999999999998"/>
    <x v="0"/>
    <n v="11.3"/>
    <x v="65"/>
    <n v="3814"/>
    <x v="0"/>
    <n v="11.9"/>
    <s v="Software Engineer"/>
    <n v="27.3"/>
    <n v="37.700000000000003"/>
    <x v="392"/>
    <n v="7.1"/>
    <n v="6.7"/>
    <n v="7.2"/>
    <s v="Bull Market"/>
  </r>
  <r>
    <s v="T1253"/>
    <x v="2"/>
    <x v="3"/>
    <x v="3"/>
    <x v="2"/>
    <s v="Jan"/>
    <x v="2"/>
    <x v="1167"/>
    <n v="2.9"/>
    <x v="2"/>
    <n v="11"/>
    <x v="5"/>
    <n v="3128"/>
    <x v="0"/>
    <n v="36.200000000000003"/>
    <s v="Cloud Engineer"/>
    <n v="-44.6"/>
    <n v="53.1"/>
    <x v="393"/>
    <n v="8.1999999999999993"/>
    <n v="7"/>
    <n v="7.5"/>
    <s v="Stable"/>
  </r>
  <r>
    <s v="T1254"/>
    <x v="2"/>
    <x v="0"/>
    <x v="0"/>
    <x v="1"/>
    <s v="Jun"/>
    <x v="1"/>
    <x v="1168"/>
    <n v="6.2"/>
    <x v="0"/>
    <n v="12.1"/>
    <x v="5"/>
    <n v="1827"/>
    <x v="0"/>
    <n v="33"/>
    <s v="ML Engineer"/>
    <n v="-40.1"/>
    <n v="22.3"/>
    <x v="190"/>
    <n v="9.6"/>
    <n v="5.7"/>
    <n v="6.6"/>
    <s v="Bull Market"/>
  </r>
  <r>
    <s v="T1255"/>
    <x v="2"/>
    <x v="0"/>
    <x v="1"/>
    <x v="3"/>
    <s v="Mar"/>
    <x v="2"/>
    <x v="640"/>
    <n v="7.4"/>
    <x v="0"/>
    <n v="5.2"/>
    <x v="54"/>
    <n v="4380"/>
    <x v="0"/>
    <n v="71.5"/>
    <s v="ML Engineer"/>
    <n v="14.4"/>
    <n v="9.8000000000000007"/>
    <x v="299"/>
    <n v="6"/>
    <n v="7.4"/>
    <n v="6.8"/>
    <s v="Stable"/>
  </r>
  <r>
    <s v="T1256"/>
    <x v="0"/>
    <x v="5"/>
    <x v="2"/>
    <x v="0"/>
    <s v="Aug"/>
    <x v="0"/>
    <x v="1169"/>
    <n v="28.2"/>
    <x v="1"/>
    <n v="3.5"/>
    <x v="48"/>
    <n v="1065"/>
    <x v="2"/>
    <n v="56.4"/>
    <s v="Frontend Developer"/>
    <n v="65.400000000000006"/>
    <n v="-16.7"/>
    <x v="212"/>
    <n v="2.6"/>
    <n v="4.7"/>
    <n v="3.6"/>
    <s v="Recession"/>
  </r>
  <r>
    <s v="T1257"/>
    <x v="5"/>
    <x v="3"/>
    <x v="2"/>
    <x v="3"/>
    <s v="Oct"/>
    <x v="0"/>
    <x v="1170"/>
    <n v="32.700000000000003"/>
    <x v="1"/>
    <n v="4.5999999999999996"/>
    <x v="5"/>
    <n v="249"/>
    <x v="2"/>
    <n v="16.3"/>
    <s v="Product Manager"/>
    <n v="6.4"/>
    <n v="6.9"/>
    <x v="340"/>
    <n v="5.0999999999999996"/>
    <n v="5.0999999999999996"/>
    <n v="2.2999999999999998"/>
    <s v="Recession"/>
  </r>
  <r>
    <s v="T1258"/>
    <x v="6"/>
    <x v="1"/>
    <x v="0"/>
    <x v="0"/>
    <s v="Sep"/>
    <x v="2"/>
    <x v="1171"/>
    <n v="2.7"/>
    <x v="3"/>
    <n v="1.9"/>
    <x v="64"/>
    <n v="1944"/>
    <x v="1"/>
    <n v="47.2"/>
    <s v="Cloud Engineer"/>
    <n v="65.099999999999994"/>
    <n v="56.9"/>
    <x v="445"/>
    <n v="3.1"/>
    <n v="10"/>
    <n v="9.3000000000000007"/>
    <s v="Stable"/>
  </r>
  <r>
    <s v="T1259"/>
    <x v="2"/>
    <x v="3"/>
    <x v="1"/>
    <x v="3"/>
    <s v="Jul"/>
    <x v="2"/>
    <x v="1172"/>
    <n v="7.9"/>
    <x v="4"/>
    <n v="6.9"/>
    <x v="48"/>
    <n v="1283"/>
    <x v="0"/>
    <n v="53.1"/>
    <s v="Cloud Engineer"/>
    <n v="56.9"/>
    <n v="11.8"/>
    <x v="294"/>
    <n v="5.4"/>
    <n v="6.8"/>
    <n v="5"/>
    <s v="Bull Market"/>
  </r>
  <r>
    <s v="T1260"/>
    <x v="1"/>
    <x v="6"/>
    <x v="0"/>
    <x v="2"/>
    <s v="Jul"/>
    <x v="0"/>
    <x v="1173"/>
    <n v="7.7"/>
    <x v="2"/>
    <n v="8.1"/>
    <x v="5"/>
    <n v="5133"/>
    <x v="0"/>
    <n v="30.8"/>
    <s v="Frontend Developer"/>
    <n v="-0.2"/>
    <n v="-10.199999999999999"/>
    <x v="239"/>
    <n v="9.9"/>
    <n v="8.1"/>
    <n v="4.5999999999999996"/>
    <s v="Bull Market"/>
  </r>
  <r>
    <s v="T1261"/>
    <x v="12"/>
    <x v="0"/>
    <x v="0"/>
    <x v="3"/>
    <s v="Apr"/>
    <x v="0"/>
    <x v="303"/>
    <n v="15.6"/>
    <x v="1"/>
    <n v="12.9"/>
    <x v="28"/>
    <n v="7782"/>
    <x v="3"/>
    <n v="25.4"/>
    <s v="Data Scientist"/>
    <n v="18.600000000000001"/>
    <n v="25.9"/>
    <x v="363"/>
    <n v="8.1999999999999993"/>
    <n v="6.5"/>
    <n v="5.4"/>
    <s v="Stable"/>
  </r>
  <r>
    <s v="T1262"/>
    <x v="1"/>
    <x v="4"/>
    <x v="5"/>
    <x v="3"/>
    <s v="Mar"/>
    <x v="2"/>
    <x v="1174"/>
    <n v="15.2"/>
    <x v="4"/>
    <n v="5.7"/>
    <x v="28"/>
    <n v="1711"/>
    <x v="1"/>
    <n v="19"/>
    <s v="Software Engineer"/>
    <n v="20"/>
    <n v="25.3"/>
    <x v="259"/>
    <n v="4.7"/>
    <n v="6.5"/>
    <n v="5.8"/>
    <s v="Stable"/>
  </r>
  <r>
    <s v="T1263"/>
    <x v="1"/>
    <x v="6"/>
    <x v="5"/>
    <x v="0"/>
    <s v="May"/>
    <x v="2"/>
    <x v="1175"/>
    <n v="2.2000000000000002"/>
    <x v="0"/>
    <n v="2.8"/>
    <x v="71"/>
    <n v="2073"/>
    <x v="0"/>
    <n v="49"/>
    <s v="ML Engineer"/>
    <n v="54.3"/>
    <n v="17.399999999999999"/>
    <x v="109"/>
    <n v="1.9"/>
    <n v="8.6999999999999993"/>
    <n v="6.8"/>
    <s v="Stable"/>
  </r>
  <r>
    <s v="T1264"/>
    <x v="11"/>
    <x v="6"/>
    <x v="4"/>
    <x v="0"/>
    <s v="Aug"/>
    <x v="2"/>
    <x v="1176"/>
    <n v="20.100000000000001"/>
    <x v="1"/>
    <n v="14.4"/>
    <x v="5"/>
    <n v="1629"/>
    <x v="1"/>
    <n v="19.899999999999999"/>
    <s v="Cloud Engineer"/>
    <n v="33.4"/>
    <n v="31.2"/>
    <x v="259"/>
    <n v="8.6"/>
    <n v="7.6"/>
    <n v="5.2"/>
    <s v="Recession"/>
  </r>
  <r>
    <s v="T1265"/>
    <x v="6"/>
    <x v="1"/>
    <x v="3"/>
    <x v="1"/>
    <s v="Jan"/>
    <x v="2"/>
    <x v="1177"/>
    <n v="14.2"/>
    <x v="3"/>
    <n v="10.3"/>
    <x v="5"/>
    <n v="764"/>
    <x v="1"/>
    <n v="25.2"/>
    <s v="Product Manager"/>
    <n v="55.2"/>
    <n v="7.8"/>
    <x v="269"/>
    <n v="9.3000000000000007"/>
    <n v="4.3"/>
    <n v="4.9000000000000004"/>
    <s v="Recession"/>
  </r>
  <r>
    <s v="T1266"/>
    <x v="10"/>
    <x v="3"/>
    <x v="0"/>
    <x v="3"/>
    <s v="May"/>
    <x v="1"/>
    <x v="1178"/>
    <n v="12.1"/>
    <x v="2"/>
    <n v="5.9"/>
    <x v="20"/>
    <n v="3292"/>
    <x v="0"/>
    <n v="61"/>
    <s v="Software Engineer"/>
    <n v="75.400000000000006"/>
    <n v="5.5"/>
    <x v="85"/>
    <n v="3.8"/>
    <n v="6.2"/>
    <n v="5.8"/>
    <s v="Stable"/>
  </r>
  <r>
    <s v="T1267"/>
    <x v="11"/>
    <x v="6"/>
    <x v="5"/>
    <x v="0"/>
    <s v="Jun"/>
    <x v="2"/>
    <x v="1179"/>
    <n v="25.8"/>
    <x v="3"/>
    <n v="2.5"/>
    <x v="14"/>
    <n v="595"/>
    <x v="2"/>
    <n v="37"/>
    <s v="Product Manager"/>
    <n v="43.3"/>
    <n v="-19.2"/>
    <x v="358"/>
    <n v="2.5"/>
    <n v="3.7"/>
    <n v="4"/>
    <s v="Recession"/>
  </r>
  <r>
    <s v="T1268"/>
    <x v="3"/>
    <x v="1"/>
    <x v="1"/>
    <x v="1"/>
    <s v="Jun"/>
    <x v="0"/>
    <x v="1180"/>
    <n v="23.2"/>
    <x v="4"/>
    <n v="14.2"/>
    <x v="69"/>
    <n v="690"/>
    <x v="1"/>
    <n v="60.3"/>
    <s v="Frontend Developer"/>
    <n v="82.8"/>
    <n v="-9.3000000000000007"/>
    <x v="40"/>
    <n v="9.8000000000000007"/>
    <n v="4.2"/>
    <n v="3"/>
    <s v="Recession"/>
  </r>
  <r>
    <s v="T1269"/>
    <x v="19"/>
    <x v="0"/>
    <x v="3"/>
    <x v="3"/>
    <s v="Dec"/>
    <x v="0"/>
    <x v="1181"/>
    <n v="0.6"/>
    <x v="4"/>
    <n v="6.3"/>
    <x v="5"/>
    <n v="1166"/>
    <x v="0"/>
    <n v="35"/>
    <s v="ML Engineer"/>
    <n v="72.599999999999994"/>
    <n v="39.1"/>
    <x v="112"/>
    <n v="7.3"/>
    <n v="9"/>
    <n v="7.2"/>
    <s v="Bull Market"/>
  </r>
  <r>
    <s v="T1270"/>
    <x v="7"/>
    <x v="4"/>
    <x v="0"/>
    <x v="2"/>
    <s v="Nov"/>
    <x v="1"/>
    <x v="1182"/>
    <n v="8.8000000000000007"/>
    <x v="2"/>
    <n v="5.9"/>
    <x v="44"/>
    <n v="5430"/>
    <x v="1"/>
    <n v="22.8"/>
    <s v="ML Engineer"/>
    <n v="84.8"/>
    <n v="49.5"/>
    <x v="52"/>
    <n v="3.7"/>
    <n v="8.1"/>
    <n v="7.1"/>
    <s v="Bull Market"/>
  </r>
  <r>
    <s v="T1271"/>
    <x v="3"/>
    <x v="1"/>
    <x v="3"/>
    <x v="0"/>
    <s v="May"/>
    <x v="2"/>
    <x v="1183"/>
    <n v="10.9"/>
    <x v="3"/>
    <n v="14.4"/>
    <x v="11"/>
    <n v="598"/>
    <x v="1"/>
    <n v="15.4"/>
    <s v="Frontend Developer"/>
    <n v="61.9"/>
    <n v="10.199999999999999"/>
    <x v="267"/>
    <n v="9.1"/>
    <n v="5.6"/>
    <n v="5.3"/>
    <s v="Stable"/>
  </r>
  <r>
    <s v="T1272"/>
    <x v="0"/>
    <x v="0"/>
    <x v="4"/>
    <x v="2"/>
    <s v="Oct"/>
    <x v="2"/>
    <x v="1184"/>
    <n v="8"/>
    <x v="3"/>
    <n v="5"/>
    <x v="83"/>
    <n v="1151"/>
    <x v="1"/>
    <n v="40.299999999999997"/>
    <s v="ML Engineer"/>
    <n v="39.4"/>
    <n v="51.4"/>
    <x v="66"/>
    <n v="3.2"/>
    <n v="8.9"/>
    <n v="6.6"/>
    <s v="Recession"/>
  </r>
  <r>
    <s v="T1273"/>
    <x v="8"/>
    <x v="6"/>
    <x v="0"/>
    <x v="3"/>
    <s v="Jun"/>
    <x v="0"/>
    <x v="1185"/>
    <n v="10.199999999999999"/>
    <x v="0"/>
    <n v="2.7"/>
    <x v="85"/>
    <n v="5573"/>
    <x v="1"/>
    <n v="32.200000000000003"/>
    <s v="Cybersecurity Analyst"/>
    <n v="49.9"/>
    <n v="7.7"/>
    <x v="27"/>
    <n v="2.8"/>
    <n v="8.1999999999999993"/>
    <n v="6.2"/>
    <s v="Stable"/>
  </r>
  <r>
    <s v="T1274"/>
    <x v="3"/>
    <x v="1"/>
    <x v="5"/>
    <x v="1"/>
    <s v="Jan"/>
    <x v="2"/>
    <x v="1186"/>
    <n v="37.4"/>
    <x v="2"/>
    <n v="8.5"/>
    <x v="5"/>
    <n v="1819"/>
    <x v="2"/>
    <n v="31.1"/>
    <s v="Cloud Engineer"/>
    <n v="85.5"/>
    <n v="21"/>
    <x v="441"/>
    <n v="6.7"/>
    <n v="3.4"/>
    <n v="2.7"/>
    <s v="Recession"/>
  </r>
  <r>
    <s v="T1275"/>
    <x v="17"/>
    <x v="0"/>
    <x v="0"/>
    <x v="0"/>
    <s v="Jan"/>
    <x v="0"/>
    <x v="1187"/>
    <n v="3.3"/>
    <x v="2"/>
    <n v="12.3"/>
    <x v="17"/>
    <n v="1443"/>
    <x v="1"/>
    <n v="85"/>
    <s v="Data Scientist"/>
    <n v="-12.6"/>
    <n v="5.0999999999999996"/>
    <x v="122"/>
    <n v="7.6"/>
    <n v="6.5"/>
    <n v="7.2"/>
    <s v="Stable"/>
  </r>
  <r>
    <s v="T1276"/>
    <x v="7"/>
    <x v="4"/>
    <x v="3"/>
    <x v="1"/>
    <s v="Jan"/>
    <x v="0"/>
    <x v="1188"/>
    <n v="8.8000000000000007"/>
    <x v="4"/>
    <n v="14.1"/>
    <x v="33"/>
    <n v="1476"/>
    <x v="0"/>
    <n v="89.3"/>
    <s v="Cybersecurity Analyst"/>
    <n v="6.6"/>
    <n v="24.8"/>
    <x v="39"/>
    <n v="9.6"/>
    <n v="6"/>
    <n v="6.3"/>
    <s v="Recession"/>
  </r>
  <r>
    <s v="T1277"/>
    <x v="13"/>
    <x v="5"/>
    <x v="1"/>
    <x v="2"/>
    <s v="Feb"/>
    <x v="2"/>
    <x v="1189"/>
    <n v="12.2"/>
    <x v="0"/>
    <n v="3.2"/>
    <x v="22"/>
    <n v="4850"/>
    <x v="1"/>
    <n v="29.8"/>
    <s v="Cybersecurity Analyst"/>
    <n v="-14.7"/>
    <n v="21.4"/>
    <x v="401"/>
    <n v="2"/>
    <n v="7.6"/>
    <n v="6.9"/>
    <s v="Stable"/>
  </r>
  <r>
    <s v="T1278"/>
    <x v="9"/>
    <x v="0"/>
    <x v="1"/>
    <x v="1"/>
    <s v="Jul"/>
    <x v="2"/>
    <x v="951"/>
    <n v="9.8000000000000007"/>
    <x v="1"/>
    <n v="4.9000000000000004"/>
    <x v="17"/>
    <n v="9638"/>
    <x v="3"/>
    <n v="74.8"/>
    <s v="ML Engineer"/>
    <n v="-33.799999999999997"/>
    <n v="15.8"/>
    <x v="446"/>
    <n v="3"/>
    <n v="6.6"/>
    <n v="6.1"/>
    <s v="Stable"/>
  </r>
  <r>
    <s v="T1279"/>
    <x v="1"/>
    <x v="1"/>
    <x v="4"/>
    <x v="0"/>
    <s v="Mar"/>
    <x v="1"/>
    <x v="383"/>
    <n v="7.5"/>
    <x v="3"/>
    <n v="9.8000000000000007"/>
    <x v="5"/>
    <n v="3934"/>
    <x v="0"/>
    <n v="51.7"/>
    <s v="Product Manager"/>
    <n v="-34.4"/>
    <n v="-0.3"/>
    <x v="60"/>
    <n v="9.9"/>
    <n v="7.7"/>
    <n v="5.7"/>
    <s v="Stable"/>
  </r>
  <r>
    <s v="T1280"/>
    <x v="7"/>
    <x v="4"/>
    <x v="0"/>
    <x v="3"/>
    <s v="Nov"/>
    <x v="2"/>
    <x v="1190"/>
    <n v="26.3"/>
    <x v="4"/>
    <n v="9.4"/>
    <x v="5"/>
    <n v="1751"/>
    <x v="2"/>
    <n v="30.2"/>
    <s v="Cybersecurity Analyst"/>
    <n v="-32.1"/>
    <n v="17.399999999999999"/>
    <x v="148"/>
    <n v="6"/>
    <n v="5.5"/>
    <n v="3.8"/>
    <s v="Recession"/>
  </r>
  <r>
    <s v="T1281"/>
    <x v="12"/>
    <x v="0"/>
    <x v="3"/>
    <x v="1"/>
    <s v="Jan"/>
    <x v="2"/>
    <x v="1191"/>
    <n v="6.2"/>
    <x v="4"/>
    <n v="6.8"/>
    <x v="5"/>
    <n v="6934"/>
    <x v="3"/>
    <n v="18.8"/>
    <s v="ML Engineer"/>
    <n v="46.6"/>
    <n v="-18.8"/>
    <x v="67"/>
    <n v="5.7"/>
    <n v="5.2"/>
    <n v="5.3"/>
    <s v="Bull Market"/>
  </r>
  <r>
    <s v="T1282"/>
    <x v="2"/>
    <x v="5"/>
    <x v="0"/>
    <x v="3"/>
    <s v="Aug"/>
    <x v="1"/>
    <x v="1192"/>
    <n v="4.5999999999999996"/>
    <x v="0"/>
    <n v="10.5"/>
    <x v="15"/>
    <n v="2482"/>
    <x v="0"/>
    <n v="61.6"/>
    <s v="ML Engineer"/>
    <n v="-0.2"/>
    <n v="3.9"/>
    <x v="335"/>
    <n v="8.1999999999999993"/>
    <n v="5.4"/>
    <n v="6.8"/>
    <s v="Bull Market"/>
  </r>
  <r>
    <s v="T1283"/>
    <x v="0"/>
    <x v="2"/>
    <x v="1"/>
    <x v="1"/>
    <s v="Sep"/>
    <x v="1"/>
    <x v="1193"/>
    <n v="2.6"/>
    <x v="1"/>
    <n v="5.2"/>
    <x v="0"/>
    <n v="5011"/>
    <x v="0"/>
    <n v="20.5"/>
    <s v="Product Manager"/>
    <n v="85"/>
    <n v="55.2"/>
    <x v="11"/>
    <n v="5.0999999999999996"/>
    <n v="7.4"/>
    <n v="9.1999999999999993"/>
    <s v="Bull Market"/>
  </r>
  <r>
    <s v="T1284"/>
    <x v="11"/>
    <x v="6"/>
    <x v="1"/>
    <x v="2"/>
    <s v="Sep"/>
    <x v="2"/>
    <x v="1194"/>
    <n v="3.7"/>
    <x v="4"/>
    <n v="7.4"/>
    <x v="45"/>
    <n v="1959"/>
    <x v="0"/>
    <n v="51.8"/>
    <s v="Data Scientist"/>
    <n v="42.6"/>
    <n v="1.1000000000000001"/>
    <x v="153"/>
    <n v="4.9000000000000004"/>
    <n v="5.3"/>
    <n v="7.4"/>
    <s v="Bull Market"/>
  </r>
  <r>
    <s v="T1285"/>
    <x v="7"/>
    <x v="4"/>
    <x v="0"/>
    <x v="0"/>
    <s v="Sep"/>
    <x v="1"/>
    <x v="1195"/>
    <n v="15.3"/>
    <x v="4"/>
    <n v="5.6"/>
    <x v="3"/>
    <n v="971"/>
    <x v="1"/>
    <n v="27.8"/>
    <s v="ML Engineer"/>
    <n v="79"/>
    <n v="20.100000000000001"/>
    <x v="398"/>
    <n v="3.5"/>
    <n v="5.4"/>
    <n v="4.5999999999999996"/>
    <s v="Stable"/>
  </r>
  <r>
    <s v="T1286"/>
    <x v="4"/>
    <x v="0"/>
    <x v="0"/>
    <x v="1"/>
    <s v="Jan"/>
    <x v="1"/>
    <x v="1196"/>
    <n v="20.5"/>
    <x v="1"/>
    <n v="5.7"/>
    <x v="84"/>
    <n v="4493"/>
    <x v="0"/>
    <n v="67.2"/>
    <s v="Data Scientist"/>
    <n v="79.7"/>
    <n v="44.8"/>
    <x v="386"/>
    <n v="4.9000000000000004"/>
    <n v="8.5"/>
    <n v="5.9"/>
    <s v="Recession"/>
  </r>
  <r>
    <s v="T1287"/>
    <x v="10"/>
    <x v="3"/>
    <x v="2"/>
    <x v="1"/>
    <s v="Dec"/>
    <x v="2"/>
    <x v="1197"/>
    <n v="14.6"/>
    <x v="1"/>
    <n v="2.1"/>
    <x v="83"/>
    <n v="1136"/>
    <x v="1"/>
    <n v="24.1"/>
    <s v="DevOps Engineer"/>
    <n v="22.4"/>
    <n v="15.2"/>
    <x v="318"/>
    <n v="1.3"/>
    <n v="4.8"/>
    <n v="5.8"/>
    <s v="Recession"/>
  </r>
  <r>
    <s v="T1288"/>
    <x v="14"/>
    <x v="1"/>
    <x v="2"/>
    <x v="0"/>
    <s v="Sep"/>
    <x v="2"/>
    <x v="1198"/>
    <n v="29.8"/>
    <x v="4"/>
    <n v="4.0999999999999996"/>
    <x v="63"/>
    <n v="1292"/>
    <x v="1"/>
    <n v="28.1"/>
    <s v="Data Scientist"/>
    <n v="-34.5"/>
    <n v="24.4"/>
    <x v="134"/>
    <n v="4"/>
    <n v="3.6"/>
    <n v="4.7"/>
    <s v="Recession"/>
  </r>
  <r>
    <s v="T1289"/>
    <x v="2"/>
    <x v="5"/>
    <x v="4"/>
    <x v="0"/>
    <s v="Oct"/>
    <x v="2"/>
    <x v="1199"/>
    <n v="29.3"/>
    <x v="4"/>
    <n v="6"/>
    <x v="5"/>
    <n v="374"/>
    <x v="1"/>
    <n v="87.1"/>
    <s v="Cloud Engineer"/>
    <n v="66.900000000000006"/>
    <n v="39"/>
    <x v="397"/>
    <n v="7.2"/>
    <n v="3.9"/>
    <n v="4.8"/>
    <s v="Recession"/>
  </r>
  <r>
    <s v="T1290"/>
    <x v="10"/>
    <x v="3"/>
    <x v="2"/>
    <x v="2"/>
    <s v="Jul"/>
    <x v="1"/>
    <x v="1200"/>
    <n v="16.399999999999999"/>
    <x v="4"/>
    <n v="7.9"/>
    <x v="49"/>
    <n v="4383"/>
    <x v="1"/>
    <n v="70.5"/>
    <s v="Frontend Developer"/>
    <n v="52.4"/>
    <n v="22.2"/>
    <x v="95"/>
    <n v="6.5"/>
    <n v="5.2"/>
    <n v="5.2"/>
    <s v="Stable"/>
  </r>
  <r>
    <s v="T1291"/>
    <x v="16"/>
    <x v="2"/>
    <x v="3"/>
    <x v="0"/>
    <s v="Jan"/>
    <x v="0"/>
    <x v="1201"/>
    <n v="8.5"/>
    <x v="0"/>
    <n v="9"/>
    <x v="84"/>
    <n v="1261"/>
    <x v="0"/>
    <n v="17.899999999999999"/>
    <s v="Cybersecurity Analyst"/>
    <n v="16.7"/>
    <n v="-13.3"/>
    <x v="115"/>
    <n v="6.5"/>
    <n v="6.8"/>
    <n v="5.4"/>
    <s v="Recession"/>
  </r>
  <r>
    <s v="T1292"/>
    <x v="2"/>
    <x v="0"/>
    <x v="1"/>
    <x v="0"/>
    <s v="Nov"/>
    <x v="2"/>
    <x v="1202"/>
    <n v="7.6"/>
    <x v="0"/>
    <n v="8.4"/>
    <x v="5"/>
    <n v="8189"/>
    <x v="0"/>
    <n v="63.7"/>
    <s v="ML Engineer"/>
    <n v="-18.100000000000001"/>
    <n v="15.9"/>
    <x v="232"/>
    <n v="7.3"/>
    <n v="7.3"/>
    <n v="5.8"/>
    <s v="Bull Market"/>
  </r>
  <r>
    <s v="T1293"/>
    <x v="2"/>
    <x v="1"/>
    <x v="0"/>
    <x v="2"/>
    <s v="May"/>
    <x v="0"/>
    <x v="699"/>
    <n v="7.9"/>
    <x v="4"/>
    <n v="6.2"/>
    <x v="7"/>
    <n v="5204"/>
    <x v="0"/>
    <n v="68.5"/>
    <s v="Cloud Engineer"/>
    <n v="1.3"/>
    <n v="23.2"/>
    <x v="447"/>
    <n v="6.1"/>
    <n v="6.2"/>
    <n v="6.4"/>
    <s v="Bull Market"/>
  </r>
  <r>
    <s v="T1294"/>
    <x v="15"/>
    <x v="2"/>
    <x v="1"/>
    <x v="2"/>
    <s v="Jan"/>
    <x v="1"/>
    <x v="1203"/>
    <n v="22.4"/>
    <x v="3"/>
    <n v="15.7"/>
    <x v="5"/>
    <n v="1332"/>
    <x v="1"/>
    <n v="71.900000000000006"/>
    <s v="Data Scientist"/>
    <n v="83.2"/>
    <n v="-7.9"/>
    <x v="340"/>
    <n v="9.6"/>
    <n v="6.7"/>
    <n v="3.4"/>
    <s v="Recession"/>
  </r>
  <r>
    <s v="T1295"/>
    <x v="9"/>
    <x v="0"/>
    <x v="4"/>
    <x v="0"/>
    <s v="Oct"/>
    <x v="0"/>
    <x v="1204"/>
    <n v="8.6999999999999993"/>
    <x v="2"/>
    <n v="14.8"/>
    <x v="27"/>
    <n v="1284"/>
    <x v="1"/>
    <n v="64.099999999999994"/>
    <s v="Data Scientist"/>
    <n v="-1.6"/>
    <n v="19.899999999999999"/>
    <x v="423"/>
    <n v="9.5"/>
    <n v="6.7"/>
    <n v="6"/>
    <s v="Recession"/>
  </r>
  <r>
    <s v="T1296"/>
    <x v="17"/>
    <x v="3"/>
    <x v="0"/>
    <x v="1"/>
    <s v="Sep"/>
    <x v="0"/>
    <x v="1205"/>
    <n v="9.4"/>
    <x v="1"/>
    <n v="10.6"/>
    <x v="5"/>
    <n v="1757"/>
    <x v="1"/>
    <n v="37.6"/>
    <s v="Product Manager"/>
    <n v="11.3"/>
    <n v="3.7"/>
    <x v="423"/>
    <n v="8"/>
    <n v="6"/>
    <n v="4.7"/>
    <s v="Bull Market"/>
  </r>
  <r>
    <s v="T1297"/>
    <x v="11"/>
    <x v="6"/>
    <x v="5"/>
    <x v="1"/>
    <s v="Nov"/>
    <x v="1"/>
    <x v="1206"/>
    <n v="5.7"/>
    <x v="2"/>
    <n v="10.1"/>
    <x v="63"/>
    <n v="4003"/>
    <x v="0"/>
    <n v="75.599999999999994"/>
    <s v="Software Engineer"/>
    <n v="-25.3"/>
    <n v="53.1"/>
    <x v="370"/>
    <n v="6.2"/>
    <n v="7.3"/>
    <n v="8.3000000000000007"/>
    <s v="Stable"/>
  </r>
  <r>
    <s v="T1298"/>
    <x v="2"/>
    <x v="2"/>
    <x v="5"/>
    <x v="1"/>
    <s v="Mar"/>
    <x v="0"/>
    <x v="1207"/>
    <n v="3"/>
    <x v="2"/>
    <n v="4.9000000000000004"/>
    <x v="30"/>
    <n v="5105"/>
    <x v="3"/>
    <n v="12.1"/>
    <s v="Product Manager"/>
    <n v="45"/>
    <n v="57.4"/>
    <x v="448"/>
    <n v="7.7"/>
    <n v="8.9"/>
    <n v="8"/>
    <s v="Stable"/>
  </r>
  <r>
    <s v="T1299"/>
    <x v="17"/>
    <x v="3"/>
    <x v="5"/>
    <x v="0"/>
    <s v="Feb"/>
    <x v="2"/>
    <x v="241"/>
    <n v="4.5999999999999996"/>
    <x v="1"/>
    <n v="4.0999999999999996"/>
    <x v="70"/>
    <n v="602"/>
    <x v="0"/>
    <n v="13.2"/>
    <s v="Data Scientist"/>
    <n v="-12.9"/>
    <n v="49.8"/>
    <x v="419"/>
    <n v="2.9"/>
    <n v="8.9"/>
    <n v="8.6999999999999993"/>
    <s v="Bull Market"/>
  </r>
  <r>
    <s v="T1300"/>
    <x v="18"/>
    <x v="0"/>
    <x v="1"/>
    <x v="1"/>
    <s v="Mar"/>
    <x v="0"/>
    <x v="1208"/>
    <n v="0.1"/>
    <x v="2"/>
    <n v="10.6"/>
    <x v="7"/>
    <n v="2868"/>
    <x v="0"/>
    <n v="70.2"/>
    <s v="ML Engineer"/>
    <n v="60.1"/>
    <n v="14.8"/>
    <x v="159"/>
    <n v="6.9"/>
    <n v="5.6"/>
    <n v="7.8"/>
    <s v="Bull Market"/>
  </r>
  <r>
    <s v="T1301"/>
    <x v="12"/>
    <x v="0"/>
    <x v="5"/>
    <x v="2"/>
    <s v="Mar"/>
    <x v="0"/>
    <x v="1159"/>
    <n v="1.4"/>
    <x v="0"/>
    <n v="7.3"/>
    <x v="31"/>
    <n v="8139"/>
    <x v="3"/>
    <n v="16.399999999999999"/>
    <s v="Data Scientist"/>
    <n v="71.400000000000006"/>
    <n v="-14.3"/>
    <x v="269"/>
    <n v="6"/>
    <n v="7.3"/>
    <n v="6.2"/>
    <s v="Bull Market"/>
  </r>
  <r>
    <s v="T1302"/>
    <x v="1"/>
    <x v="6"/>
    <x v="5"/>
    <x v="0"/>
    <s v="Mar"/>
    <x v="1"/>
    <x v="1209"/>
    <n v="14.6"/>
    <x v="2"/>
    <n v="1.9"/>
    <x v="75"/>
    <n v="3265"/>
    <x v="1"/>
    <n v="50.7"/>
    <s v="Frontend Developer"/>
    <n v="9.6999999999999993"/>
    <n v="29.9"/>
    <x v="289"/>
    <n v="2.1"/>
    <n v="8.1999999999999993"/>
    <n v="7"/>
    <s v="Stable"/>
  </r>
  <r>
    <s v="T1303"/>
    <x v="19"/>
    <x v="0"/>
    <x v="3"/>
    <x v="0"/>
    <s v="Jan"/>
    <x v="1"/>
    <x v="1210"/>
    <n v="13.6"/>
    <x v="3"/>
    <n v="1.2"/>
    <x v="64"/>
    <n v="1428"/>
    <x v="2"/>
    <n v="74.5"/>
    <s v="ML Engineer"/>
    <n v="21.6"/>
    <n v="-5.0999999999999996"/>
    <x v="191"/>
    <n v="1.9"/>
    <n v="6.3"/>
    <n v="6"/>
    <s v="Recession"/>
  </r>
  <r>
    <s v="T1304"/>
    <x v="8"/>
    <x v="4"/>
    <x v="2"/>
    <x v="0"/>
    <s v="Jul"/>
    <x v="2"/>
    <x v="1211"/>
    <n v="12.1"/>
    <x v="0"/>
    <n v="4.2"/>
    <x v="22"/>
    <n v="1031"/>
    <x v="1"/>
    <n v="38.4"/>
    <s v="Frontend Developer"/>
    <n v="44.2"/>
    <n v="-19.899999999999999"/>
    <x v="312"/>
    <n v="2.8"/>
    <n v="6.6"/>
    <n v="5.8"/>
    <s v="Recession"/>
  </r>
  <r>
    <s v="T1305"/>
    <x v="3"/>
    <x v="1"/>
    <x v="4"/>
    <x v="2"/>
    <s v="May"/>
    <x v="2"/>
    <x v="1212"/>
    <n v="15.9"/>
    <x v="3"/>
    <n v="5.0999999999999996"/>
    <x v="60"/>
    <n v="1739"/>
    <x v="1"/>
    <n v="62.8"/>
    <s v="Software Engineer"/>
    <n v="79.5"/>
    <n v="10"/>
    <x v="174"/>
    <n v="5.0999999999999996"/>
    <n v="7.2"/>
    <n v="4.4000000000000004"/>
    <s v="Stable"/>
  </r>
  <r>
    <s v="T1306"/>
    <x v="0"/>
    <x v="1"/>
    <x v="5"/>
    <x v="3"/>
    <s v="Apr"/>
    <x v="2"/>
    <x v="1213"/>
    <n v="20.7"/>
    <x v="2"/>
    <n v="3"/>
    <x v="7"/>
    <n v="1679"/>
    <x v="2"/>
    <n v="32.1"/>
    <s v="Software Engineer"/>
    <n v="29.9"/>
    <n v="-11.2"/>
    <x v="260"/>
    <n v="3.4"/>
    <n v="5.9"/>
    <n v="3.3"/>
    <s v="Recession"/>
  </r>
  <r>
    <s v="T1307"/>
    <x v="4"/>
    <x v="1"/>
    <x v="1"/>
    <x v="1"/>
    <s v="Sep"/>
    <x v="0"/>
    <x v="948"/>
    <n v="6.1"/>
    <x v="2"/>
    <n v="6.2"/>
    <x v="85"/>
    <n v="612"/>
    <x v="1"/>
    <n v="13.6"/>
    <s v="ML Engineer"/>
    <n v="84.7"/>
    <n v="28.4"/>
    <x v="137"/>
    <n v="3.8"/>
    <n v="6.9"/>
    <n v="7.2"/>
    <s v="Stable"/>
  </r>
  <r>
    <s v="T1308"/>
    <x v="9"/>
    <x v="0"/>
    <x v="2"/>
    <x v="1"/>
    <s v="Jun"/>
    <x v="1"/>
    <x v="1214"/>
    <n v="20.2"/>
    <x v="1"/>
    <n v="9.1999999999999993"/>
    <x v="28"/>
    <n v="4285"/>
    <x v="0"/>
    <n v="34.299999999999997"/>
    <s v="ML Engineer"/>
    <n v="23.1"/>
    <n v="-2.5"/>
    <x v="148"/>
    <n v="5.5"/>
    <n v="4.5"/>
    <n v="4.5"/>
    <s v="Recession"/>
  </r>
  <r>
    <s v="T1309"/>
    <x v="2"/>
    <x v="1"/>
    <x v="3"/>
    <x v="0"/>
    <s v="Jun"/>
    <x v="1"/>
    <x v="1215"/>
    <n v="4.2"/>
    <x v="1"/>
    <n v="7.3"/>
    <x v="34"/>
    <n v="4717"/>
    <x v="3"/>
    <n v="18.2"/>
    <s v="DevOps Engineer"/>
    <n v="35.5"/>
    <n v="-16.3"/>
    <x v="128"/>
    <n v="6.1"/>
    <n v="4.5"/>
    <n v="6.5"/>
    <s v="Stable"/>
  </r>
  <r>
    <s v="T1310"/>
    <x v="6"/>
    <x v="2"/>
    <x v="2"/>
    <x v="3"/>
    <s v="Jul"/>
    <x v="1"/>
    <x v="1216"/>
    <n v="2.2000000000000002"/>
    <x v="1"/>
    <n v="5"/>
    <x v="70"/>
    <n v="978"/>
    <x v="1"/>
    <n v="66.5"/>
    <s v="Data Scientist"/>
    <n v="17.5"/>
    <n v="-13"/>
    <x v="299"/>
    <n v="3.5"/>
    <n v="5.4"/>
    <n v="6.9"/>
    <s v="Bull Market"/>
  </r>
  <r>
    <s v="T1311"/>
    <x v="1"/>
    <x v="1"/>
    <x v="2"/>
    <x v="1"/>
    <s v="May"/>
    <x v="1"/>
    <x v="1217"/>
    <n v="15.1"/>
    <x v="2"/>
    <n v="6.7"/>
    <x v="73"/>
    <n v="1422"/>
    <x v="1"/>
    <n v="36.799999999999997"/>
    <s v="Frontend Developer"/>
    <n v="60.6"/>
    <n v="24.1"/>
    <x v="37"/>
    <n v="6.6"/>
    <n v="6.2"/>
    <n v="5.4"/>
    <s v="Stable"/>
  </r>
  <r>
    <s v="T1312"/>
    <x v="12"/>
    <x v="5"/>
    <x v="2"/>
    <x v="2"/>
    <s v="Oct"/>
    <x v="2"/>
    <x v="1218"/>
    <n v="13.3"/>
    <x v="0"/>
    <n v="5.2"/>
    <x v="22"/>
    <n v="3496"/>
    <x v="1"/>
    <n v="19.2"/>
    <s v="Product Manager"/>
    <n v="-17.899999999999999"/>
    <n v="-10"/>
    <x v="327"/>
    <n v="5.2"/>
    <n v="6.3"/>
    <n v="4.8"/>
    <s v="Stable"/>
  </r>
  <r>
    <s v="T1313"/>
    <x v="17"/>
    <x v="3"/>
    <x v="4"/>
    <x v="0"/>
    <s v="Aug"/>
    <x v="1"/>
    <x v="1219"/>
    <n v="7.7"/>
    <x v="1"/>
    <n v="12.5"/>
    <x v="5"/>
    <n v="1057"/>
    <x v="0"/>
    <n v="45.8"/>
    <s v="Cybersecurity Analyst"/>
    <n v="-24.4"/>
    <n v="38.299999999999997"/>
    <x v="396"/>
    <n v="8.6999999999999993"/>
    <n v="6"/>
    <n v="6"/>
    <s v="Bull Market"/>
  </r>
  <r>
    <s v="T1314"/>
    <x v="17"/>
    <x v="3"/>
    <x v="3"/>
    <x v="0"/>
    <s v="Oct"/>
    <x v="2"/>
    <x v="1220"/>
    <n v="1.8"/>
    <x v="4"/>
    <n v="6"/>
    <x v="1"/>
    <n v="5569"/>
    <x v="0"/>
    <n v="47.3"/>
    <s v="DevOps Engineer"/>
    <n v="24.9"/>
    <n v="17.600000000000001"/>
    <x v="55"/>
    <n v="6.5"/>
    <n v="6.7"/>
    <n v="7.5"/>
    <s v="Bull Market"/>
  </r>
  <r>
    <s v="T1315"/>
    <x v="3"/>
    <x v="1"/>
    <x v="0"/>
    <x v="0"/>
    <s v="Oct"/>
    <x v="0"/>
    <x v="1221"/>
    <n v="8.1999999999999993"/>
    <x v="2"/>
    <n v="2"/>
    <x v="88"/>
    <n v="1275"/>
    <x v="1"/>
    <n v="19.600000000000001"/>
    <s v="DevOps Engineer"/>
    <n v="-10.1"/>
    <n v="39.700000000000003"/>
    <x v="61"/>
    <n v="1.5"/>
    <n v="7.6"/>
    <n v="7.6"/>
    <s v="Stable"/>
  </r>
  <r>
    <s v="T1316"/>
    <x v="13"/>
    <x v="5"/>
    <x v="2"/>
    <x v="3"/>
    <s v="Dec"/>
    <x v="1"/>
    <x v="1222"/>
    <n v="34.9"/>
    <x v="1"/>
    <n v="3.9"/>
    <x v="5"/>
    <n v="140"/>
    <x v="2"/>
    <n v="47.4"/>
    <s v="DevOps Engineer"/>
    <n v="55.3"/>
    <n v="-4.0999999999999996"/>
    <x v="344"/>
    <n v="3.9"/>
    <n v="4.2"/>
    <n v="3"/>
    <s v="Recession"/>
  </r>
  <r>
    <s v="T1317"/>
    <x v="14"/>
    <x v="1"/>
    <x v="0"/>
    <x v="2"/>
    <s v="Aug"/>
    <x v="2"/>
    <x v="1223"/>
    <n v="9.9"/>
    <x v="4"/>
    <n v="12.3"/>
    <x v="5"/>
    <n v="5450"/>
    <x v="0"/>
    <n v="16.8"/>
    <s v="Data Scientist"/>
    <n v="41"/>
    <n v="2.8"/>
    <x v="336"/>
    <n v="8"/>
    <n v="6.7"/>
    <n v="5.5"/>
    <s v="Bull Market"/>
  </r>
  <r>
    <s v="T1318"/>
    <x v="0"/>
    <x v="1"/>
    <x v="5"/>
    <x v="2"/>
    <s v="Aug"/>
    <x v="2"/>
    <x v="1224"/>
    <n v="17.100000000000001"/>
    <x v="3"/>
    <n v="3.6"/>
    <x v="2"/>
    <n v="793"/>
    <x v="1"/>
    <n v="34.5"/>
    <s v="Frontend Developer"/>
    <n v="-4.9000000000000004"/>
    <n v="-7.1"/>
    <x v="356"/>
    <n v="3.7"/>
    <n v="5.9"/>
    <n v="4.0999999999999996"/>
    <s v="Recession"/>
  </r>
  <r>
    <s v="T1319"/>
    <x v="5"/>
    <x v="3"/>
    <x v="3"/>
    <x v="1"/>
    <s v="Dec"/>
    <x v="2"/>
    <x v="1225"/>
    <n v="20.5"/>
    <x v="4"/>
    <n v="5"/>
    <x v="5"/>
    <n v="989"/>
    <x v="1"/>
    <n v="33.6"/>
    <s v="Software Engineer"/>
    <n v="-28.2"/>
    <n v="37.799999999999997"/>
    <x v="86"/>
    <n v="5.8"/>
    <n v="6.8"/>
    <n v="5.6"/>
    <s v="Recession"/>
  </r>
  <r>
    <s v="T1320"/>
    <x v="17"/>
    <x v="3"/>
    <x v="4"/>
    <x v="2"/>
    <s v="Jul"/>
    <x v="0"/>
    <x v="1226"/>
    <n v="17"/>
    <x v="0"/>
    <n v="3.2"/>
    <x v="35"/>
    <n v="1439"/>
    <x v="1"/>
    <n v="49.4"/>
    <s v="Software Engineer"/>
    <n v="0.6"/>
    <n v="31"/>
    <x v="125"/>
    <n v="2.7"/>
    <n v="5.3"/>
    <n v="6"/>
    <s v="Recession"/>
  </r>
  <r>
    <s v="T1321"/>
    <x v="14"/>
    <x v="1"/>
    <x v="0"/>
    <x v="1"/>
    <s v="Nov"/>
    <x v="0"/>
    <x v="1227"/>
    <n v="15.8"/>
    <x v="0"/>
    <n v="7"/>
    <x v="52"/>
    <n v="270"/>
    <x v="1"/>
    <n v="49.7"/>
    <s v="ML Engineer"/>
    <n v="55.1"/>
    <n v="48.8"/>
    <x v="236"/>
    <n v="4.0999999999999996"/>
    <n v="7"/>
    <n v="7.2"/>
    <s v="Stable"/>
  </r>
  <r>
    <s v="T1322"/>
    <x v="6"/>
    <x v="2"/>
    <x v="2"/>
    <x v="1"/>
    <s v="Dec"/>
    <x v="1"/>
    <x v="1228"/>
    <n v="16.7"/>
    <x v="2"/>
    <n v="9.6"/>
    <x v="5"/>
    <n v="3997"/>
    <x v="1"/>
    <n v="38.799999999999997"/>
    <s v="Product Manager"/>
    <n v="28.1"/>
    <n v="45.5"/>
    <x v="182"/>
    <n v="8.1999999999999993"/>
    <n v="8.6999999999999993"/>
    <n v="5.5"/>
    <s v="Stable"/>
  </r>
  <r>
    <s v="T1323"/>
    <x v="9"/>
    <x v="0"/>
    <x v="4"/>
    <x v="1"/>
    <s v="Nov"/>
    <x v="1"/>
    <x v="1229"/>
    <n v="14"/>
    <x v="3"/>
    <n v="8.5"/>
    <x v="52"/>
    <n v="6734"/>
    <x v="0"/>
    <n v="71.2"/>
    <s v="Data Scientist"/>
    <n v="46.9"/>
    <n v="10.7"/>
    <x v="340"/>
    <n v="5.7"/>
    <n v="7.2"/>
    <n v="6.3"/>
    <s v="Stable"/>
  </r>
  <r>
    <s v="T1324"/>
    <x v="14"/>
    <x v="1"/>
    <x v="4"/>
    <x v="1"/>
    <s v="Aug"/>
    <x v="1"/>
    <x v="1230"/>
    <n v="5.3"/>
    <x v="2"/>
    <n v="7.6"/>
    <x v="15"/>
    <n v="5727"/>
    <x v="0"/>
    <n v="10.8"/>
    <s v="Cloud Engineer"/>
    <n v="-16.7"/>
    <n v="26.4"/>
    <x v="163"/>
    <n v="5.6"/>
    <n v="9.1999999999999993"/>
    <n v="5.9"/>
    <s v="Bull Market"/>
  </r>
  <r>
    <s v="T1325"/>
    <x v="0"/>
    <x v="0"/>
    <x v="5"/>
    <x v="0"/>
    <s v="Mar"/>
    <x v="0"/>
    <x v="1231"/>
    <n v="13.1"/>
    <x v="1"/>
    <n v="1.6"/>
    <x v="76"/>
    <n v="4884"/>
    <x v="1"/>
    <n v="70.599999999999994"/>
    <s v="ML Engineer"/>
    <n v="66.400000000000006"/>
    <n v="36.200000000000003"/>
    <x v="119"/>
    <n v="1.5"/>
    <n v="5.9"/>
    <n v="6.2"/>
    <s v="Recession"/>
  </r>
  <r>
    <s v="T1326"/>
    <x v="4"/>
    <x v="1"/>
    <x v="5"/>
    <x v="3"/>
    <s v="Jun"/>
    <x v="0"/>
    <x v="1232"/>
    <n v="24.4"/>
    <x v="2"/>
    <n v="9.5"/>
    <x v="5"/>
    <n v="1613"/>
    <x v="1"/>
    <n v="72.8"/>
    <s v="Software Engineer"/>
    <n v="-41.1"/>
    <n v="6.8"/>
    <x v="102"/>
    <n v="6.8"/>
    <n v="6.5"/>
    <n v="2.8"/>
    <s v="Recession"/>
  </r>
  <r>
    <s v="T1327"/>
    <x v="2"/>
    <x v="1"/>
    <x v="4"/>
    <x v="0"/>
    <s v="Jun"/>
    <x v="1"/>
    <x v="1233"/>
    <n v="12.7"/>
    <x v="2"/>
    <n v="1.4"/>
    <x v="61"/>
    <n v="456"/>
    <x v="2"/>
    <n v="23.6"/>
    <s v="Software Engineer"/>
    <n v="8.8000000000000007"/>
    <n v="19.399999999999999"/>
    <x v="382"/>
    <n v="1.9"/>
    <n v="6.5"/>
    <n v="5.9"/>
    <s v="Recession"/>
  </r>
  <r>
    <s v="T1328"/>
    <x v="2"/>
    <x v="1"/>
    <x v="0"/>
    <x v="3"/>
    <s v="Jul"/>
    <x v="2"/>
    <x v="1234"/>
    <n v="1.1000000000000001"/>
    <x v="1"/>
    <n v="11.5"/>
    <x v="5"/>
    <n v="3279"/>
    <x v="0"/>
    <n v="33.4"/>
    <s v="Cloud Engineer"/>
    <n v="67.8"/>
    <n v="30.4"/>
    <x v="95"/>
    <n v="7.7"/>
    <n v="7.5"/>
    <n v="7.5"/>
    <s v="Bull Market"/>
  </r>
  <r>
    <s v="T1329"/>
    <x v="12"/>
    <x v="5"/>
    <x v="4"/>
    <x v="3"/>
    <s v="Oct"/>
    <x v="0"/>
    <x v="1235"/>
    <n v="13.7"/>
    <x v="2"/>
    <n v="7.9"/>
    <x v="65"/>
    <n v="3666"/>
    <x v="1"/>
    <n v="60.4"/>
    <s v="Cloud Engineer"/>
    <n v="-34.1"/>
    <n v="35.5"/>
    <x v="108"/>
    <n v="7"/>
    <n v="8.6999999999999993"/>
    <n v="7"/>
    <s v="Stable"/>
  </r>
  <r>
    <s v="T1330"/>
    <x v="14"/>
    <x v="1"/>
    <x v="4"/>
    <x v="1"/>
    <s v="Aug"/>
    <x v="1"/>
    <x v="1236"/>
    <n v="0.5"/>
    <x v="3"/>
    <n v="3.7"/>
    <x v="18"/>
    <n v="4284"/>
    <x v="0"/>
    <n v="78.599999999999994"/>
    <s v="Software Engineer"/>
    <n v="82.2"/>
    <n v="1.1000000000000001"/>
    <x v="36"/>
    <n v="6.1"/>
    <n v="7.6"/>
    <n v="7.1"/>
    <s v="Bull Market"/>
  </r>
  <r>
    <s v="T1331"/>
    <x v="11"/>
    <x v="6"/>
    <x v="2"/>
    <x v="2"/>
    <s v="Sep"/>
    <x v="2"/>
    <x v="1237"/>
    <n v="3.3"/>
    <x v="0"/>
    <n v="2.4"/>
    <x v="22"/>
    <n v="2880"/>
    <x v="0"/>
    <n v="64.3"/>
    <s v="Cybersecurity Analyst"/>
    <n v="37.9"/>
    <n v="0.8"/>
    <x v="35"/>
    <n v="4"/>
    <n v="5.4"/>
    <n v="7.3"/>
    <s v="Stable"/>
  </r>
  <r>
    <s v="T1332"/>
    <x v="6"/>
    <x v="1"/>
    <x v="1"/>
    <x v="0"/>
    <s v="Mar"/>
    <x v="0"/>
    <x v="1238"/>
    <n v="17.5"/>
    <x v="1"/>
    <n v="10.9"/>
    <x v="5"/>
    <n v="4553"/>
    <x v="0"/>
    <n v="20"/>
    <s v="Software Engineer"/>
    <n v="6.2"/>
    <n v="36"/>
    <x v="86"/>
    <n v="9.4"/>
    <n v="6.1"/>
    <n v="6.1"/>
    <s v="Stable"/>
  </r>
  <r>
    <s v="T1333"/>
    <x v="11"/>
    <x v="6"/>
    <x v="2"/>
    <x v="2"/>
    <s v="Nov"/>
    <x v="1"/>
    <x v="1239"/>
    <n v="4.5"/>
    <x v="3"/>
    <n v="5.0999999999999996"/>
    <x v="68"/>
    <n v="807"/>
    <x v="0"/>
    <n v="34"/>
    <s v="Cybersecurity Analyst"/>
    <n v="22.9"/>
    <n v="-11"/>
    <x v="264"/>
    <n v="4.8"/>
    <n v="7"/>
    <n v="6.7"/>
    <s v="Bull Market"/>
  </r>
  <r>
    <s v="T1334"/>
    <x v="0"/>
    <x v="5"/>
    <x v="0"/>
    <x v="0"/>
    <s v="Oct"/>
    <x v="1"/>
    <x v="1240"/>
    <n v="29.2"/>
    <x v="0"/>
    <n v="2"/>
    <x v="28"/>
    <n v="1603"/>
    <x v="2"/>
    <n v="34.200000000000003"/>
    <s v="Product Manager"/>
    <n v="-36.9"/>
    <n v="15.9"/>
    <x v="264"/>
    <n v="2.1"/>
    <n v="5"/>
    <n v="4.8"/>
    <s v="Recession"/>
  </r>
  <r>
    <s v="T1335"/>
    <x v="9"/>
    <x v="0"/>
    <x v="1"/>
    <x v="1"/>
    <s v="Apr"/>
    <x v="0"/>
    <x v="1241"/>
    <n v="9.6"/>
    <x v="1"/>
    <n v="4.3"/>
    <x v="32"/>
    <n v="9040"/>
    <x v="3"/>
    <n v="46.4"/>
    <s v="Data Scientist"/>
    <n v="31"/>
    <n v="9.5"/>
    <x v="382"/>
    <n v="4.5"/>
    <n v="5.6"/>
    <n v="7"/>
    <s v="Recession"/>
  </r>
  <r>
    <s v="T1336"/>
    <x v="2"/>
    <x v="5"/>
    <x v="5"/>
    <x v="3"/>
    <s v="Mar"/>
    <x v="0"/>
    <x v="1242"/>
    <n v="18.3"/>
    <x v="1"/>
    <n v="5.7"/>
    <x v="43"/>
    <n v="876"/>
    <x v="1"/>
    <n v="68.2"/>
    <s v="Cloud Engineer"/>
    <n v="23.4"/>
    <n v="21.7"/>
    <x v="325"/>
    <n v="6.9"/>
    <n v="5.7"/>
    <n v="5.6"/>
    <s v="Recession"/>
  </r>
  <r>
    <s v="T1337"/>
    <x v="6"/>
    <x v="2"/>
    <x v="5"/>
    <x v="2"/>
    <s v="Feb"/>
    <x v="2"/>
    <x v="1243"/>
    <n v="2"/>
    <x v="1"/>
    <n v="1.3"/>
    <x v="55"/>
    <n v="607"/>
    <x v="1"/>
    <n v="79.900000000000006"/>
    <s v="Cybersecurity Analyst"/>
    <n v="9.8000000000000007"/>
    <n v="37.6"/>
    <x v="370"/>
    <n v="1.3"/>
    <n v="7.4"/>
    <n v="9"/>
    <s v="Bull Market"/>
  </r>
  <r>
    <s v="T1338"/>
    <x v="15"/>
    <x v="2"/>
    <x v="0"/>
    <x v="2"/>
    <s v="Mar"/>
    <x v="0"/>
    <x v="1244"/>
    <n v="4.8"/>
    <x v="4"/>
    <n v="4.5999999999999996"/>
    <x v="13"/>
    <n v="2909"/>
    <x v="1"/>
    <n v="35.799999999999997"/>
    <s v="Cloud Engineer"/>
    <n v="32.299999999999997"/>
    <n v="48.8"/>
    <x v="449"/>
    <n v="4.2"/>
    <n v="6.1"/>
    <n v="7.3"/>
    <s v="Bull Market"/>
  </r>
  <r>
    <s v="T1339"/>
    <x v="18"/>
    <x v="0"/>
    <x v="3"/>
    <x v="3"/>
    <s v="Aug"/>
    <x v="2"/>
    <x v="1245"/>
    <n v="29.2"/>
    <x v="1"/>
    <n v="13"/>
    <x v="5"/>
    <n v="9085"/>
    <x v="0"/>
    <n v="45"/>
    <s v="ML Engineer"/>
    <n v="38"/>
    <n v="51.9"/>
    <x v="174"/>
    <n v="7.8"/>
    <n v="6.7"/>
    <n v="5.6"/>
    <s v="Recession"/>
  </r>
  <r>
    <s v="T1340"/>
    <x v="11"/>
    <x v="6"/>
    <x v="0"/>
    <x v="1"/>
    <s v="Sep"/>
    <x v="2"/>
    <x v="1246"/>
    <n v="2.7"/>
    <x v="1"/>
    <n v="12.1"/>
    <x v="5"/>
    <n v="813"/>
    <x v="0"/>
    <n v="34.6"/>
    <s v="Cybersecurity Analyst"/>
    <n v="13.7"/>
    <n v="41.6"/>
    <x v="257"/>
    <n v="9.6999999999999993"/>
    <n v="8"/>
    <n v="6.1"/>
    <s v="Stable"/>
  </r>
  <r>
    <s v="T1341"/>
    <x v="4"/>
    <x v="1"/>
    <x v="0"/>
    <x v="2"/>
    <s v="Feb"/>
    <x v="0"/>
    <x v="1247"/>
    <n v="28.9"/>
    <x v="1"/>
    <n v="15"/>
    <x v="5"/>
    <n v="587"/>
    <x v="1"/>
    <n v="30.8"/>
    <s v="Product Manager"/>
    <n v="48.5"/>
    <n v="25.8"/>
    <x v="0"/>
    <n v="9.1999999999999993"/>
    <n v="4.4000000000000004"/>
    <n v="4.2"/>
    <s v="Recession"/>
  </r>
  <r>
    <s v="T1342"/>
    <x v="2"/>
    <x v="0"/>
    <x v="0"/>
    <x v="2"/>
    <s v="Mar"/>
    <x v="0"/>
    <x v="1248"/>
    <n v="3.6"/>
    <x v="0"/>
    <n v="1"/>
    <x v="34"/>
    <n v="5992"/>
    <x v="0"/>
    <n v="13.5"/>
    <s v="Data Scientist"/>
    <n v="-38"/>
    <n v="-5.9"/>
    <x v="366"/>
    <n v="1.5"/>
    <n v="5.0999999999999996"/>
    <n v="7.7"/>
    <s v="Bull Market"/>
  </r>
  <r>
    <s v="T1343"/>
    <x v="19"/>
    <x v="0"/>
    <x v="5"/>
    <x v="1"/>
    <s v="Apr"/>
    <x v="0"/>
    <x v="1249"/>
    <n v="9.6999999999999993"/>
    <x v="0"/>
    <n v="5.5"/>
    <x v="8"/>
    <n v="4068"/>
    <x v="0"/>
    <n v="42.1"/>
    <s v="ML Engineer"/>
    <n v="58.7"/>
    <n v="40.700000000000003"/>
    <x v="202"/>
    <n v="6.7"/>
    <n v="7.1"/>
    <n v="7.3"/>
    <s v="Recession"/>
  </r>
  <r>
    <s v="T1344"/>
    <x v="1"/>
    <x v="1"/>
    <x v="3"/>
    <x v="0"/>
    <s v="Aug"/>
    <x v="2"/>
    <x v="1250"/>
    <n v="4.4000000000000004"/>
    <x v="0"/>
    <n v="2.2000000000000002"/>
    <x v="21"/>
    <n v="1186"/>
    <x v="1"/>
    <n v="24.2"/>
    <s v="Cybersecurity Analyst"/>
    <n v="-6.3"/>
    <n v="-8.1999999999999993"/>
    <x v="68"/>
    <n v="1.8"/>
    <n v="7"/>
    <n v="7.3"/>
    <s v="Bull Market"/>
  </r>
  <r>
    <s v="T1345"/>
    <x v="4"/>
    <x v="0"/>
    <x v="2"/>
    <x v="3"/>
    <s v="Aug"/>
    <x v="2"/>
    <x v="1251"/>
    <n v="7.8"/>
    <x v="4"/>
    <n v="8.9"/>
    <x v="9"/>
    <n v="4884"/>
    <x v="0"/>
    <n v="63"/>
    <s v="ML Engineer"/>
    <n v="13.1"/>
    <n v="58.4"/>
    <x v="433"/>
    <n v="6.1"/>
    <n v="7.5"/>
    <n v="7"/>
    <s v="Bull Market"/>
  </r>
  <r>
    <s v="T1346"/>
    <x v="0"/>
    <x v="2"/>
    <x v="2"/>
    <x v="3"/>
    <s v="May"/>
    <x v="2"/>
    <x v="1252"/>
    <n v="10.1"/>
    <x v="4"/>
    <n v="5.8"/>
    <x v="82"/>
    <n v="4638"/>
    <x v="0"/>
    <n v="45"/>
    <s v="Software Engineer"/>
    <n v="-24.2"/>
    <n v="31.3"/>
    <x v="104"/>
    <n v="8.4"/>
    <n v="5.0999999999999996"/>
    <n v="6.3"/>
    <s v="Stable"/>
  </r>
  <r>
    <s v="T1347"/>
    <x v="11"/>
    <x v="6"/>
    <x v="4"/>
    <x v="0"/>
    <s v="Aug"/>
    <x v="2"/>
    <x v="1253"/>
    <n v="2.4"/>
    <x v="1"/>
    <n v="6.2"/>
    <x v="85"/>
    <n v="4817"/>
    <x v="0"/>
    <n v="15.1"/>
    <s v="Cloud Engineer"/>
    <n v="20.5"/>
    <n v="52.1"/>
    <x v="420"/>
    <n v="8.5"/>
    <n v="9.4"/>
    <n v="7.4"/>
    <s v="Stable"/>
  </r>
  <r>
    <s v="T1348"/>
    <x v="7"/>
    <x v="4"/>
    <x v="2"/>
    <x v="0"/>
    <s v="Jun"/>
    <x v="0"/>
    <x v="779"/>
    <n v="15"/>
    <x v="2"/>
    <n v="3.4"/>
    <x v="31"/>
    <n v="4145"/>
    <x v="0"/>
    <n v="21"/>
    <s v="Software Engineer"/>
    <n v="81.2"/>
    <n v="-24.6"/>
    <x v="385"/>
    <n v="5.5"/>
    <n v="6"/>
    <n v="4.8"/>
    <s v="Stable"/>
  </r>
  <r>
    <s v="T1349"/>
    <x v="19"/>
    <x v="0"/>
    <x v="4"/>
    <x v="1"/>
    <s v="Apr"/>
    <x v="1"/>
    <x v="1254"/>
    <n v="29.6"/>
    <x v="1"/>
    <n v="3.7"/>
    <x v="27"/>
    <n v="5188"/>
    <x v="1"/>
    <n v="19.600000000000001"/>
    <s v="ML Engineer"/>
    <n v="2"/>
    <n v="44.1"/>
    <x v="125"/>
    <n v="2.2000000000000002"/>
    <n v="6.2"/>
    <n v="4.2"/>
    <s v="Recession"/>
  </r>
  <r>
    <s v="T1350"/>
    <x v="14"/>
    <x v="1"/>
    <x v="4"/>
    <x v="0"/>
    <s v="Oct"/>
    <x v="2"/>
    <x v="1255"/>
    <n v="8.1999999999999993"/>
    <x v="3"/>
    <n v="3.6"/>
    <x v="0"/>
    <n v="3817"/>
    <x v="0"/>
    <n v="40.799999999999997"/>
    <s v="Cybersecurity Analyst"/>
    <n v="50.9"/>
    <n v="44.8"/>
    <x v="214"/>
    <n v="3.8"/>
    <n v="5.8"/>
    <n v="8"/>
    <s v="Bull Market"/>
  </r>
  <r>
    <s v="T1351"/>
    <x v="0"/>
    <x v="2"/>
    <x v="3"/>
    <x v="3"/>
    <s v="Sep"/>
    <x v="2"/>
    <x v="1256"/>
    <n v="28"/>
    <x v="3"/>
    <n v="5.5"/>
    <x v="33"/>
    <n v="1953"/>
    <x v="1"/>
    <n v="63.4"/>
    <s v="DevOps Engineer"/>
    <n v="-40.299999999999997"/>
    <n v="54.5"/>
    <x v="450"/>
    <n v="4.9000000000000004"/>
    <n v="7.7"/>
    <n v="5"/>
    <s v="Recession"/>
  </r>
  <r>
    <s v="T1352"/>
    <x v="14"/>
    <x v="1"/>
    <x v="1"/>
    <x v="2"/>
    <s v="Nov"/>
    <x v="2"/>
    <x v="1257"/>
    <n v="9.1999999999999993"/>
    <x v="2"/>
    <n v="6.8"/>
    <x v="73"/>
    <n v="5599"/>
    <x v="0"/>
    <n v="26.6"/>
    <s v="Cloud Engineer"/>
    <n v="23.2"/>
    <n v="-1.2"/>
    <x v="451"/>
    <n v="4.7"/>
    <n v="7.1"/>
    <n v="4.8"/>
    <s v="Bull Market"/>
  </r>
  <r>
    <s v="T1353"/>
    <x v="9"/>
    <x v="0"/>
    <x v="3"/>
    <x v="0"/>
    <s v="Apr"/>
    <x v="0"/>
    <x v="1258"/>
    <n v="23"/>
    <x v="2"/>
    <n v="10.199999999999999"/>
    <x v="5"/>
    <n v="8978"/>
    <x v="0"/>
    <n v="59.3"/>
    <s v="Data Scientist"/>
    <n v="54.7"/>
    <n v="39.6"/>
    <x v="290"/>
    <n v="6.6"/>
    <n v="5.9"/>
    <n v="5"/>
    <s v="Recession"/>
  </r>
  <r>
    <s v="T1354"/>
    <x v="15"/>
    <x v="2"/>
    <x v="4"/>
    <x v="3"/>
    <s v="Nov"/>
    <x v="0"/>
    <x v="1259"/>
    <n v="12.5"/>
    <x v="4"/>
    <n v="2"/>
    <x v="47"/>
    <n v="688"/>
    <x v="1"/>
    <n v="59.2"/>
    <s v="Cloud Engineer"/>
    <n v="-37.6"/>
    <n v="46.7"/>
    <x v="204"/>
    <n v="2"/>
    <n v="8.1"/>
    <n v="6.8"/>
    <s v="Stable"/>
  </r>
  <r>
    <s v="T1355"/>
    <x v="15"/>
    <x v="2"/>
    <x v="2"/>
    <x v="2"/>
    <s v="May"/>
    <x v="1"/>
    <x v="1260"/>
    <n v="9.8000000000000007"/>
    <x v="0"/>
    <n v="3.7"/>
    <x v="23"/>
    <n v="4540"/>
    <x v="1"/>
    <n v="44.1"/>
    <s v="Cybersecurity Analyst"/>
    <n v="-3.5"/>
    <n v="45.1"/>
    <x v="194"/>
    <n v="4.4000000000000004"/>
    <n v="9.3000000000000007"/>
    <n v="8"/>
    <s v="Bull Market"/>
  </r>
  <r>
    <s v="T1356"/>
    <x v="2"/>
    <x v="2"/>
    <x v="0"/>
    <x v="3"/>
    <s v="Feb"/>
    <x v="2"/>
    <x v="1261"/>
    <n v="8"/>
    <x v="3"/>
    <n v="10.199999999999999"/>
    <x v="9"/>
    <n v="4315"/>
    <x v="0"/>
    <n v="38"/>
    <s v="Data Scientist"/>
    <n v="69.599999999999994"/>
    <n v="24.4"/>
    <x v="265"/>
    <n v="9.6"/>
    <n v="7.2"/>
    <n v="5.2"/>
    <s v="Stable"/>
  </r>
  <r>
    <s v="T1357"/>
    <x v="18"/>
    <x v="0"/>
    <x v="3"/>
    <x v="2"/>
    <s v="Apr"/>
    <x v="1"/>
    <x v="1262"/>
    <n v="34"/>
    <x v="4"/>
    <n v="6.7"/>
    <x v="5"/>
    <n v="6937"/>
    <x v="1"/>
    <n v="61"/>
    <s v="ML Engineer"/>
    <n v="52"/>
    <n v="18"/>
    <x v="354"/>
    <n v="4.7"/>
    <n v="6.5"/>
    <n v="2.8"/>
    <s v="Recession"/>
  </r>
  <r>
    <s v="T1358"/>
    <x v="17"/>
    <x v="0"/>
    <x v="3"/>
    <x v="0"/>
    <s v="Jul"/>
    <x v="2"/>
    <x v="1263"/>
    <n v="6.3"/>
    <x v="4"/>
    <n v="6.3"/>
    <x v="41"/>
    <n v="6491"/>
    <x v="0"/>
    <n v="36.9"/>
    <s v="Data Scientist"/>
    <n v="-37.299999999999997"/>
    <n v="57.6"/>
    <x v="368"/>
    <n v="4.5"/>
    <n v="8"/>
    <n v="8.6"/>
    <s v="Stable"/>
  </r>
  <r>
    <s v="T1359"/>
    <x v="17"/>
    <x v="3"/>
    <x v="1"/>
    <x v="2"/>
    <s v="Apr"/>
    <x v="0"/>
    <x v="1264"/>
    <n v="5.5"/>
    <x v="4"/>
    <n v="7.3"/>
    <x v="5"/>
    <n v="4159"/>
    <x v="0"/>
    <n v="80.8"/>
    <s v="DevOps Engineer"/>
    <n v="73.099999999999994"/>
    <n v="40.5"/>
    <x v="287"/>
    <n v="9.4"/>
    <n v="9.4"/>
    <n v="7.2"/>
    <s v="Bull Market"/>
  </r>
  <r>
    <s v="T1360"/>
    <x v="12"/>
    <x v="5"/>
    <x v="5"/>
    <x v="0"/>
    <s v="Feb"/>
    <x v="2"/>
    <x v="1265"/>
    <n v="12.4"/>
    <x v="3"/>
    <n v="12.1"/>
    <x v="51"/>
    <n v="347"/>
    <x v="0"/>
    <n v="23.7"/>
    <s v="DevOps Engineer"/>
    <n v="0.3"/>
    <n v="38.5"/>
    <x v="125"/>
    <n v="8.6999999999999993"/>
    <n v="8.1"/>
    <n v="5.7"/>
    <s v="Stable"/>
  </r>
  <r>
    <s v="T1361"/>
    <x v="8"/>
    <x v="4"/>
    <x v="4"/>
    <x v="2"/>
    <s v="May"/>
    <x v="1"/>
    <x v="1266"/>
    <n v="8"/>
    <x v="1"/>
    <n v="11.9"/>
    <x v="5"/>
    <n v="5137"/>
    <x v="3"/>
    <n v="78.2"/>
    <s v="ML Engineer"/>
    <n v="37.200000000000003"/>
    <n v="15.1"/>
    <x v="308"/>
    <n v="9.6999999999999993"/>
    <n v="5.3"/>
    <n v="6.5"/>
    <s v="Stable"/>
  </r>
  <r>
    <s v="T1362"/>
    <x v="9"/>
    <x v="1"/>
    <x v="2"/>
    <x v="0"/>
    <s v="Feb"/>
    <x v="0"/>
    <x v="1228"/>
    <n v="13.5"/>
    <x v="4"/>
    <n v="1.1000000000000001"/>
    <x v="54"/>
    <n v="4457"/>
    <x v="1"/>
    <n v="53.2"/>
    <s v="Frontend Developer"/>
    <n v="27.2"/>
    <n v="21.7"/>
    <x v="311"/>
    <n v="1.7"/>
    <n v="5.4"/>
    <n v="7.1"/>
    <s v="Stable"/>
  </r>
  <r>
    <s v="T1363"/>
    <x v="13"/>
    <x v="5"/>
    <x v="3"/>
    <x v="1"/>
    <s v="Sep"/>
    <x v="2"/>
    <x v="1267"/>
    <n v="7.5"/>
    <x v="0"/>
    <n v="11"/>
    <x v="39"/>
    <n v="2073"/>
    <x v="1"/>
    <n v="22.5"/>
    <s v="Product Manager"/>
    <n v="68.400000000000006"/>
    <n v="1.6"/>
    <x v="131"/>
    <n v="7.8"/>
    <n v="5.9"/>
    <n v="7"/>
    <s v="Bull Market"/>
  </r>
  <r>
    <s v="T1364"/>
    <x v="13"/>
    <x v="5"/>
    <x v="3"/>
    <x v="0"/>
    <s v="Jul"/>
    <x v="0"/>
    <x v="1268"/>
    <n v="2.1"/>
    <x v="2"/>
    <n v="10.199999999999999"/>
    <x v="5"/>
    <n v="2100"/>
    <x v="0"/>
    <n v="26.3"/>
    <s v="Cybersecurity Analyst"/>
    <n v="61"/>
    <n v="-19.600000000000001"/>
    <x v="358"/>
    <n v="9.5"/>
    <n v="5.5"/>
    <n v="5.5"/>
    <s v="Bull Market"/>
  </r>
  <r>
    <s v="T1365"/>
    <x v="1"/>
    <x v="1"/>
    <x v="3"/>
    <x v="1"/>
    <s v="Jan"/>
    <x v="0"/>
    <x v="903"/>
    <n v="9.9"/>
    <x v="4"/>
    <n v="5.2"/>
    <x v="22"/>
    <n v="556"/>
    <x v="1"/>
    <n v="21"/>
    <s v="Cloud Engineer"/>
    <n v="19.600000000000001"/>
    <n v="-12.2"/>
    <x v="278"/>
    <n v="4.0999999999999996"/>
    <n v="6"/>
    <n v="6.7"/>
    <s v="Bull Market"/>
  </r>
  <r>
    <s v="T1366"/>
    <x v="4"/>
    <x v="1"/>
    <x v="3"/>
    <x v="3"/>
    <s v="Mar"/>
    <x v="2"/>
    <x v="1269"/>
    <n v="30.9"/>
    <x v="1"/>
    <n v="11.4"/>
    <x v="5"/>
    <n v="399"/>
    <x v="2"/>
    <n v="67.7"/>
    <s v="Product Manager"/>
    <n v="-25.2"/>
    <n v="6.9"/>
    <x v="308"/>
    <n v="7.8"/>
    <n v="3"/>
    <n v="2.8"/>
    <s v="Recession"/>
  </r>
  <r>
    <s v="T1367"/>
    <x v="14"/>
    <x v="1"/>
    <x v="3"/>
    <x v="2"/>
    <s v="Mar"/>
    <x v="1"/>
    <x v="1270"/>
    <n v="9.3000000000000007"/>
    <x v="4"/>
    <n v="9.3000000000000007"/>
    <x v="63"/>
    <n v="1037"/>
    <x v="1"/>
    <n v="74.400000000000006"/>
    <s v="Product Manager"/>
    <n v="28.1"/>
    <n v="20.2"/>
    <x v="131"/>
    <n v="6.5"/>
    <n v="8"/>
    <n v="6.3"/>
    <s v="Stable"/>
  </r>
  <r>
    <s v="T1368"/>
    <x v="1"/>
    <x v="4"/>
    <x v="5"/>
    <x v="1"/>
    <s v="Aug"/>
    <x v="0"/>
    <x v="1101"/>
    <n v="6.9"/>
    <x v="0"/>
    <n v="2"/>
    <x v="36"/>
    <n v="3830"/>
    <x v="1"/>
    <n v="75.900000000000006"/>
    <s v="DevOps Engineer"/>
    <n v="64"/>
    <n v="50.6"/>
    <x v="95"/>
    <n v="2.9"/>
    <n v="9.9"/>
    <n v="8.4"/>
    <s v="Bull Market"/>
  </r>
  <r>
    <s v="T1369"/>
    <x v="14"/>
    <x v="1"/>
    <x v="2"/>
    <x v="3"/>
    <s v="Apr"/>
    <x v="1"/>
    <x v="1271"/>
    <n v="4.7"/>
    <x v="0"/>
    <n v="4.5"/>
    <x v="45"/>
    <n v="2569"/>
    <x v="0"/>
    <n v="29.8"/>
    <s v="Product Manager"/>
    <n v="40.299999999999997"/>
    <n v="-21.5"/>
    <x v="149"/>
    <n v="6"/>
    <n v="6.2"/>
    <n v="5.2"/>
    <s v="Bull Market"/>
  </r>
  <r>
    <s v="T1370"/>
    <x v="0"/>
    <x v="5"/>
    <x v="1"/>
    <x v="1"/>
    <s v="Apr"/>
    <x v="1"/>
    <x v="1272"/>
    <n v="11.5"/>
    <x v="0"/>
    <n v="9.6"/>
    <x v="78"/>
    <n v="1719"/>
    <x v="1"/>
    <n v="28.1"/>
    <s v="Cybersecurity Analyst"/>
    <n v="-39.799999999999997"/>
    <n v="44.5"/>
    <x v="244"/>
    <n v="5.9"/>
    <n v="5.7"/>
    <n v="7.3"/>
    <s v="Recession"/>
  </r>
  <r>
    <s v="T1371"/>
    <x v="13"/>
    <x v="5"/>
    <x v="3"/>
    <x v="3"/>
    <s v="Jan"/>
    <x v="2"/>
    <x v="1273"/>
    <n v="6.6"/>
    <x v="4"/>
    <n v="1.9"/>
    <x v="19"/>
    <n v="1882"/>
    <x v="1"/>
    <n v="28.2"/>
    <s v="Cybersecurity Analyst"/>
    <n v="78.099999999999994"/>
    <n v="9.1"/>
    <x v="235"/>
    <n v="1.6"/>
    <n v="5.3"/>
    <n v="7"/>
    <s v="Bull Market"/>
  </r>
  <r>
    <s v="T1372"/>
    <x v="1"/>
    <x v="0"/>
    <x v="1"/>
    <x v="0"/>
    <s v="Jun"/>
    <x v="2"/>
    <x v="1274"/>
    <n v="0.5"/>
    <x v="2"/>
    <n v="1.4"/>
    <x v="19"/>
    <n v="8079"/>
    <x v="3"/>
    <n v="30.3"/>
    <s v="ML Engineer"/>
    <n v="-35.6"/>
    <n v="3.2"/>
    <x v="337"/>
    <n v="1.1000000000000001"/>
    <n v="7.7"/>
    <n v="6.9"/>
    <s v="Bull Market"/>
  </r>
  <r>
    <s v="T1373"/>
    <x v="1"/>
    <x v="0"/>
    <x v="1"/>
    <x v="2"/>
    <s v="Mar"/>
    <x v="2"/>
    <x v="1275"/>
    <n v="17.7"/>
    <x v="2"/>
    <n v="3"/>
    <x v="13"/>
    <n v="3547"/>
    <x v="1"/>
    <n v="23.9"/>
    <s v="Data Scientist"/>
    <n v="25.6"/>
    <n v="-15"/>
    <x v="356"/>
    <n v="2.8"/>
    <n v="5.4"/>
    <n v="4.2"/>
    <s v="Recession"/>
  </r>
  <r>
    <s v="T1374"/>
    <x v="3"/>
    <x v="1"/>
    <x v="1"/>
    <x v="3"/>
    <s v="Mar"/>
    <x v="0"/>
    <x v="1276"/>
    <n v="2.7"/>
    <x v="4"/>
    <n v="3.4"/>
    <x v="21"/>
    <n v="5512"/>
    <x v="0"/>
    <n v="14.3"/>
    <s v="ML Engineer"/>
    <n v="43.2"/>
    <n v="19.2"/>
    <x v="319"/>
    <n v="2.8"/>
    <n v="6.9"/>
    <n v="7.7"/>
    <s v="Stable"/>
  </r>
  <r>
    <s v="T1375"/>
    <x v="8"/>
    <x v="4"/>
    <x v="3"/>
    <x v="1"/>
    <s v="Jun"/>
    <x v="0"/>
    <x v="1277"/>
    <n v="17.8"/>
    <x v="3"/>
    <n v="9.4"/>
    <x v="48"/>
    <n v="3978"/>
    <x v="0"/>
    <n v="61.3"/>
    <s v="Cybersecurity Analyst"/>
    <n v="-26.9"/>
    <n v="-4.5999999999999996"/>
    <x v="363"/>
    <n v="8"/>
    <n v="7.3"/>
    <n v="3.6"/>
    <s v="Stable"/>
  </r>
  <r>
    <s v="T1376"/>
    <x v="18"/>
    <x v="0"/>
    <x v="2"/>
    <x v="1"/>
    <s v="Feb"/>
    <x v="2"/>
    <x v="151"/>
    <n v="4.9000000000000004"/>
    <x v="1"/>
    <n v="10.4"/>
    <x v="67"/>
    <n v="7513"/>
    <x v="3"/>
    <n v="44.6"/>
    <s v="ML Engineer"/>
    <n v="-6.6"/>
    <n v="39.6"/>
    <x v="331"/>
    <n v="9.5"/>
    <n v="8.9"/>
    <n v="8.1"/>
    <s v="Bull Market"/>
  </r>
  <r>
    <s v="T1377"/>
    <x v="2"/>
    <x v="0"/>
    <x v="1"/>
    <x v="1"/>
    <s v="Mar"/>
    <x v="1"/>
    <x v="1278"/>
    <n v="7.2"/>
    <x v="1"/>
    <n v="10.3"/>
    <x v="5"/>
    <n v="6490"/>
    <x v="0"/>
    <n v="20.5"/>
    <s v="Data Scientist"/>
    <n v="62.8"/>
    <n v="54.9"/>
    <x v="152"/>
    <n v="6.5"/>
    <n v="6.8"/>
    <n v="6.9"/>
    <s v="Bull Market"/>
  </r>
  <r>
    <s v="T1378"/>
    <x v="13"/>
    <x v="5"/>
    <x v="3"/>
    <x v="2"/>
    <s v="Feb"/>
    <x v="2"/>
    <x v="1279"/>
    <n v="8.3000000000000007"/>
    <x v="0"/>
    <n v="2.1"/>
    <x v="4"/>
    <n v="3647"/>
    <x v="1"/>
    <n v="75.599999999999994"/>
    <s v="Product Manager"/>
    <n v="-15.7"/>
    <n v="41.1"/>
    <x v="452"/>
    <n v="2.6"/>
    <n v="8.1999999999999993"/>
    <n v="8.6"/>
    <s v="Bull Market"/>
  </r>
  <r>
    <s v="T1379"/>
    <x v="9"/>
    <x v="0"/>
    <x v="1"/>
    <x v="1"/>
    <s v="Jan"/>
    <x v="1"/>
    <x v="1280"/>
    <n v="8.9"/>
    <x v="1"/>
    <n v="3.7"/>
    <x v="13"/>
    <n v="5219"/>
    <x v="0"/>
    <n v="35.4"/>
    <s v="ML Engineer"/>
    <n v="76.099999999999994"/>
    <n v="5.5"/>
    <x v="1"/>
    <n v="2.2999999999999998"/>
    <n v="5.3"/>
    <n v="5.8"/>
    <s v="Bull Market"/>
  </r>
  <r>
    <s v="T1380"/>
    <x v="2"/>
    <x v="5"/>
    <x v="2"/>
    <x v="2"/>
    <s v="Nov"/>
    <x v="2"/>
    <x v="1281"/>
    <n v="5.9"/>
    <x v="4"/>
    <n v="5.7"/>
    <x v="34"/>
    <n v="1193"/>
    <x v="1"/>
    <n v="65.400000000000006"/>
    <s v="Product Manager"/>
    <n v="3.5"/>
    <n v="-10.8"/>
    <x v="343"/>
    <n v="3.4"/>
    <n v="5.9"/>
    <n v="6.7"/>
    <s v="Stable"/>
  </r>
  <r>
    <s v="T1381"/>
    <x v="6"/>
    <x v="1"/>
    <x v="2"/>
    <x v="0"/>
    <s v="Jul"/>
    <x v="1"/>
    <x v="1282"/>
    <n v="1.8"/>
    <x v="3"/>
    <n v="4.0999999999999996"/>
    <x v="41"/>
    <n v="5006"/>
    <x v="0"/>
    <n v="36.1"/>
    <s v="DevOps Engineer"/>
    <n v="31.4"/>
    <n v="9.8000000000000007"/>
    <x v="27"/>
    <n v="4.7"/>
    <n v="5.6"/>
    <n v="6.1"/>
    <s v="Bull Market"/>
  </r>
  <r>
    <s v="T1382"/>
    <x v="19"/>
    <x v="0"/>
    <x v="3"/>
    <x v="0"/>
    <s v="Mar"/>
    <x v="0"/>
    <x v="1283"/>
    <n v="0.6"/>
    <x v="1"/>
    <n v="6.1"/>
    <x v="5"/>
    <n v="9029"/>
    <x v="3"/>
    <n v="71.8"/>
    <s v="ML Engineer"/>
    <n v="45.8"/>
    <n v="-23.1"/>
    <x v="247"/>
    <n v="7.8"/>
    <n v="6.4"/>
    <n v="5.6"/>
    <s v="Bull Market"/>
  </r>
  <r>
    <s v="T1383"/>
    <x v="0"/>
    <x v="1"/>
    <x v="2"/>
    <x v="0"/>
    <s v="Jul"/>
    <x v="2"/>
    <x v="1284"/>
    <n v="5.3"/>
    <x v="4"/>
    <n v="4.4000000000000004"/>
    <x v="72"/>
    <n v="1798"/>
    <x v="1"/>
    <n v="71.5"/>
    <s v="Cloud Engineer"/>
    <n v="-35.299999999999997"/>
    <n v="37.6"/>
    <x v="288"/>
    <n v="3.7"/>
    <n v="7"/>
    <n v="8.6999999999999993"/>
    <s v="Stable"/>
  </r>
  <r>
    <s v="T1384"/>
    <x v="0"/>
    <x v="0"/>
    <x v="0"/>
    <x v="1"/>
    <s v="Sep"/>
    <x v="1"/>
    <x v="1285"/>
    <n v="12.4"/>
    <x v="0"/>
    <n v="12.4"/>
    <x v="63"/>
    <n v="5991"/>
    <x v="0"/>
    <n v="53.9"/>
    <s v="ML Engineer"/>
    <n v="40.6"/>
    <n v="32.299999999999997"/>
    <x v="228"/>
    <n v="8.4"/>
    <n v="7.6"/>
    <n v="5.7"/>
    <s v="Stable"/>
  </r>
  <r>
    <s v="T1385"/>
    <x v="6"/>
    <x v="2"/>
    <x v="2"/>
    <x v="2"/>
    <s v="Sep"/>
    <x v="0"/>
    <x v="1286"/>
    <n v="4"/>
    <x v="3"/>
    <n v="7.5"/>
    <x v="61"/>
    <n v="2409"/>
    <x v="0"/>
    <n v="57"/>
    <s v="Product Manager"/>
    <n v="38.299999999999997"/>
    <n v="-17.899999999999999"/>
    <x v="206"/>
    <n v="5.8"/>
    <n v="4.3"/>
    <n v="6.3"/>
    <s v="Bull Market"/>
  </r>
  <r>
    <s v="T1386"/>
    <x v="0"/>
    <x v="1"/>
    <x v="0"/>
    <x v="0"/>
    <s v="Dec"/>
    <x v="1"/>
    <x v="1287"/>
    <n v="18.7"/>
    <x v="0"/>
    <n v="5.6"/>
    <x v="5"/>
    <n v="646"/>
    <x v="1"/>
    <n v="29.3"/>
    <s v="Frontend Developer"/>
    <n v="43.6"/>
    <n v="-10.8"/>
    <x v="116"/>
    <n v="7.2"/>
    <n v="6.8"/>
    <n v="4"/>
    <s v="Recession"/>
  </r>
  <r>
    <s v="T1387"/>
    <x v="0"/>
    <x v="2"/>
    <x v="2"/>
    <x v="2"/>
    <s v="May"/>
    <x v="0"/>
    <x v="1288"/>
    <n v="9.1999999999999993"/>
    <x v="0"/>
    <n v="2.7"/>
    <x v="23"/>
    <n v="202"/>
    <x v="1"/>
    <n v="36.299999999999997"/>
    <s v="DevOps Engineer"/>
    <n v="-1.5"/>
    <n v="47.8"/>
    <x v="120"/>
    <n v="4.2"/>
    <n v="8.1"/>
    <n v="8.1"/>
    <s v="Recession"/>
  </r>
  <r>
    <s v="T1388"/>
    <x v="2"/>
    <x v="2"/>
    <x v="1"/>
    <x v="3"/>
    <s v="Feb"/>
    <x v="1"/>
    <x v="1289"/>
    <n v="15.6"/>
    <x v="4"/>
    <n v="12.5"/>
    <x v="5"/>
    <n v="3713"/>
    <x v="0"/>
    <n v="39.6"/>
    <s v="Product Manager"/>
    <n v="58"/>
    <n v="45.6"/>
    <x v="119"/>
    <n v="7.9"/>
    <n v="6.7"/>
    <n v="5"/>
    <s v="Stable"/>
  </r>
  <r>
    <s v="T1389"/>
    <x v="5"/>
    <x v="3"/>
    <x v="3"/>
    <x v="3"/>
    <s v="Apr"/>
    <x v="2"/>
    <x v="1290"/>
    <n v="2.2000000000000002"/>
    <x v="4"/>
    <n v="5.5"/>
    <x v="29"/>
    <n v="2476"/>
    <x v="1"/>
    <n v="88.9"/>
    <s v="Data Scientist"/>
    <n v="21.8"/>
    <n v="-8.5"/>
    <x v="237"/>
    <n v="4"/>
    <n v="6.1"/>
    <n v="6.4"/>
    <s v="Stable"/>
  </r>
  <r>
    <s v="T1390"/>
    <x v="2"/>
    <x v="2"/>
    <x v="2"/>
    <x v="1"/>
    <s v="Oct"/>
    <x v="1"/>
    <x v="1291"/>
    <n v="2.6"/>
    <x v="1"/>
    <n v="11.1"/>
    <x v="35"/>
    <n v="3983"/>
    <x v="3"/>
    <n v="19.3"/>
    <s v="DevOps Engineer"/>
    <n v="-19.899999999999999"/>
    <n v="30.9"/>
    <x v="283"/>
    <n v="9.8000000000000007"/>
    <n v="8.3000000000000007"/>
    <n v="7.8"/>
    <s v="Bull Market"/>
  </r>
  <r>
    <s v="T1391"/>
    <x v="8"/>
    <x v="4"/>
    <x v="1"/>
    <x v="0"/>
    <s v="Apr"/>
    <x v="0"/>
    <x v="1292"/>
    <n v="12.2"/>
    <x v="0"/>
    <n v="5.8"/>
    <x v="60"/>
    <n v="1618"/>
    <x v="1"/>
    <n v="62.3"/>
    <s v="ML Engineer"/>
    <n v="72.400000000000006"/>
    <n v="12.7"/>
    <x v="43"/>
    <n v="6.3"/>
    <n v="8.4"/>
    <n v="4.5999999999999996"/>
    <s v="Stable"/>
  </r>
  <r>
    <s v="T1392"/>
    <x v="0"/>
    <x v="0"/>
    <x v="0"/>
    <x v="3"/>
    <s v="Jan"/>
    <x v="1"/>
    <x v="1293"/>
    <n v="0.1"/>
    <x v="0"/>
    <n v="4.5"/>
    <x v="61"/>
    <n v="2196"/>
    <x v="1"/>
    <n v="20.5"/>
    <s v="ML Engineer"/>
    <n v="41.8"/>
    <n v="4"/>
    <x v="269"/>
    <n v="4.0999999999999996"/>
    <n v="8.5"/>
    <n v="6.7"/>
    <s v="Bull Market"/>
  </r>
  <r>
    <s v="T1393"/>
    <x v="11"/>
    <x v="6"/>
    <x v="1"/>
    <x v="0"/>
    <s v="Mar"/>
    <x v="1"/>
    <x v="1294"/>
    <n v="30.7"/>
    <x v="4"/>
    <n v="1.7"/>
    <x v="5"/>
    <n v="434"/>
    <x v="2"/>
    <n v="85"/>
    <s v="Data Scientist"/>
    <n v="73.099999999999994"/>
    <n v="-2.2999999999999998"/>
    <x v="403"/>
    <n v="2.5"/>
    <n v="5.6"/>
    <n v="2.5"/>
    <s v="Recession"/>
  </r>
  <r>
    <s v="T1394"/>
    <x v="19"/>
    <x v="0"/>
    <x v="0"/>
    <x v="0"/>
    <s v="Apr"/>
    <x v="2"/>
    <x v="1295"/>
    <n v="8.5"/>
    <x v="0"/>
    <n v="10.9"/>
    <x v="23"/>
    <n v="5288"/>
    <x v="0"/>
    <n v="42"/>
    <s v="ML Engineer"/>
    <n v="18.100000000000001"/>
    <n v="49.1"/>
    <x v="36"/>
    <n v="6.5"/>
    <n v="7.8"/>
    <n v="8.1999999999999993"/>
    <s v="Bull Market"/>
  </r>
  <r>
    <s v="T1395"/>
    <x v="0"/>
    <x v="1"/>
    <x v="5"/>
    <x v="2"/>
    <s v="Mar"/>
    <x v="2"/>
    <x v="1296"/>
    <n v="34.9"/>
    <x v="0"/>
    <n v="4.5"/>
    <x v="5"/>
    <n v="277"/>
    <x v="2"/>
    <n v="65.2"/>
    <s v="ML Engineer"/>
    <n v="-1.7"/>
    <n v="-21.5"/>
    <x v="453"/>
    <n v="6.9"/>
    <n v="5.0999999999999996"/>
    <n v="1.8"/>
    <s v="Recession"/>
  </r>
  <r>
    <s v="T1396"/>
    <x v="18"/>
    <x v="0"/>
    <x v="1"/>
    <x v="1"/>
    <s v="Jun"/>
    <x v="1"/>
    <x v="1297"/>
    <n v="4.3"/>
    <x v="2"/>
    <n v="2.2999999999999998"/>
    <x v="41"/>
    <n v="9031"/>
    <x v="0"/>
    <n v="88.8"/>
    <s v="ML Engineer"/>
    <n v="-12"/>
    <n v="15.2"/>
    <x v="244"/>
    <n v="3.2"/>
    <n v="7.8"/>
    <n v="7.3"/>
    <s v="Stable"/>
  </r>
  <r>
    <s v="T1397"/>
    <x v="0"/>
    <x v="2"/>
    <x v="2"/>
    <x v="0"/>
    <s v="Jan"/>
    <x v="0"/>
    <x v="1298"/>
    <n v="32.299999999999997"/>
    <x v="4"/>
    <n v="3.9"/>
    <x v="5"/>
    <n v="176"/>
    <x v="2"/>
    <n v="50.1"/>
    <s v="Product Manager"/>
    <n v="-18.399999999999999"/>
    <n v="-14.2"/>
    <x v="348"/>
    <n v="5.4"/>
    <n v="4.4000000000000004"/>
    <n v="2.2999999999999998"/>
    <s v="Recession"/>
  </r>
  <r>
    <s v="T1398"/>
    <x v="15"/>
    <x v="2"/>
    <x v="4"/>
    <x v="3"/>
    <s v="Feb"/>
    <x v="2"/>
    <x v="1299"/>
    <n v="1.2"/>
    <x v="4"/>
    <n v="6"/>
    <x v="50"/>
    <n v="797"/>
    <x v="1"/>
    <n v="15.9"/>
    <s v="ML Engineer"/>
    <n v="-27.3"/>
    <n v="-11"/>
    <x v="348"/>
    <n v="6.7"/>
    <n v="4.8"/>
    <n v="6.2"/>
    <s v="Stable"/>
  </r>
  <r>
    <s v="T1399"/>
    <x v="0"/>
    <x v="1"/>
    <x v="5"/>
    <x v="2"/>
    <s v="Oct"/>
    <x v="2"/>
    <x v="1300"/>
    <n v="9.6999999999999993"/>
    <x v="1"/>
    <n v="1.5"/>
    <x v="87"/>
    <n v="2355"/>
    <x v="1"/>
    <n v="27.1"/>
    <s v="Software Engineer"/>
    <n v="-35.1"/>
    <n v="52.8"/>
    <x v="338"/>
    <n v="1.2"/>
    <n v="6.2"/>
    <n v="8.1"/>
    <s v="Bull Market"/>
  </r>
  <r>
    <s v="T1400"/>
    <x v="2"/>
    <x v="2"/>
    <x v="5"/>
    <x v="2"/>
    <s v="May"/>
    <x v="2"/>
    <x v="1301"/>
    <n v="19.3"/>
    <x v="1"/>
    <n v="4.0999999999999996"/>
    <x v="29"/>
    <n v="1005"/>
    <x v="1"/>
    <n v="25.7"/>
    <s v="Cloud Engineer"/>
    <n v="89.9"/>
    <n v="36"/>
    <x v="248"/>
    <n v="4.5999999999999996"/>
    <n v="8.5"/>
    <n v="4.9000000000000004"/>
    <s v="Recession"/>
  </r>
  <r>
    <s v="T1401"/>
    <x v="1"/>
    <x v="6"/>
    <x v="5"/>
    <x v="0"/>
    <s v="Jul"/>
    <x v="0"/>
    <x v="1302"/>
    <n v="18.8"/>
    <x v="1"/>
    <n v="4.9000000000000004"/>
    <x v="11"/>
    <n v="466"/>
    <x v="1"/>
    <n v="50.9"/>
    <s v="Software Engineer"/>
    <n v="27.9"/>
    <n v="43"/>
    <x v="61"/>
    <n v="4.9000000000000004"/>
    <n v="8.6999999999999993"/>
    <n v="6"/>
    <s v="Recession"/>
  </r>
  <r>
    <s v="T1402"/>
    <x v="2"/>
    <x v="2"/>
    <x v="5"/>
    <x v="0"/>
    <s v="Jun"/>
    <x v="2"/>
    <x v="1303"/>
    <n v="13.1"/>
    <x v="2"/>
    <n v="3.6"/>
    <x v="24"/>
    <n v="570"/>
    <x v="1"/>
    <n v="45.3"/>
    <s v="Frontend Developer"/>
    <n v="12.5"/>
    <n v="43.7"/>
    <x v="454"/>
    <n v="4.0999999999999996"/>
    <n v="5.8"/>
    <n v="7.4"/>
    <s v="Stable"/>
  </r>
  <r>
    <s v="T1403"/>
    <x v="4"/>
    <x v="0"/>
    <x v="2"/>
    <x v="1"/>
    <s v="Jan"/>
    <x v="2"/>
    <x v="1304"/>
    <n v="5.9"/>
    <x v="0"/>
    <n v="2.2999999999999998"/>
    <x v="45"/>
    <n v="8401"/>
    <x v="0"/>
    <n v="50.9"/>
    <s v="Data Scientist"/>
    <n v="43.8"/>
    <n v="51.1"/>
    <x v="455"/>
    <n v="3.9"/>
    <n v="6.6"/>
    <n v="8.5"/>
    <s v="Bull Market"/>
  </r>
  <r>
    <s v="T1404"/>
    <x v="0"/>
    <x v="2"/>
    <x v="3"/>
    <x v="2"/>
    <s v="Mar"/>
    <x v="2"/>
    <x v="1305"/>
    <n v="9.6"/>
    <x v="3"/>
    <n v="10.9"/>
    <x v="52"/>
    <n v="306"/>
    <x v="1"/>
    <n v="82.5"/>
    <s v="Software Engineer"/>
    <n v="58.3"/>
    <n v="-21"/>
    <x v="329"/>
    <n v="8.6"/>
    <n v="7"/>
    <n v="4.8"/>
    <s v="Stable"/>
  </r>
  <r>
    <s v="T1405"/>
    <x v="12"/>
    <x v="0"/>
    <x v="3"/>
    <x v="0"/>
    <s v="Jul"/>
    <x v="0"/>
    <x v="1306"/>
    <n v="11.1"/>
    <x v="1"/>
    <n v="5.7"/>
    <x v="78"/>
    <n v="5775"/>
    <x v="0"/>
    <n v="82.3"/>
    <s v="Data Scientist"/>
    <n v="65.400000000000006"/>
    <n v="-6.9"/>
    <x v="343"/>
    <n v="7.3"/>
    <n v="6.9"/>
    <n v="6"/>
    <s v="Stable"/>
  </r>
  <r>
    <s v="T1406"/>
    <x v="10"/>
    <x v="3"/>
    <x v="0"/>
    <x v="0"/>
    <s v="Oct"/>
    <x v="2"/>
    <x v="1307"/>
    <n v="15.4"/>
    <x v="3"/>
    <n v="1.3"/>
    <x v="61"/>
    <n v="3677"/>
    <x v="1"/>
    <n v="84"/>
    <s v="ML Engineer"/>
    <n v="41.7"/>
    <n v="34.4"/>
    <x v="106"/>
    <n v="1.4"/>
    <n v="6.3"/>
    <n v="6.5"/>
    <s v="Stable"/>
  </r>
  <r>
    <s v="T1407"/>
    <x v="17"/>
    <x v="3"/>
    <x v="1"/>
    <x v="3"/>
    <s v="Oct"/>
    <x v="1"/>
    <x v="1308"/>
    <n v="16.899999999999999"/>
    <x v="3"/>
    <n v="7.3"/>
    <x v="35"/>
    <n v="1423"/>
    <x v="2"/>
    <n v="44.6"/>
    <s v="Data Scientist"/>
    <n v="-17.5"/>
    <n v="45.3"/>
    <x v="137"/>
    <n v="4.8"/>
    <n v="5.9"/>
    <n v="5.3"/>
    <s v="Recession"/>
  </r>
  <r>
    <s v="T1408"/>
    <x v="2"/>
    <x v="3"/>
    <x v="2"/>
    <x v="2"/>
    <s v="Dec"/>
    <x v="0"/>
    <x v="1309"/>
    <n v="29.3"/>
    <x v="1"/>
    <n v="7.6"/>
    <x v="5"/>
    <n v="1342"/>
    <x v="1"/>
    <n v="32"/>
    <s v="Product Manager"/>
    <n v="17.3"/>
    <n v="31.1"/>
    <x v="317"/>
    <n v="6.1"/>
    <n v="4.0999999999999996"/>
    <n v="3.1"/>
    <s v="Recession"/>
  </r>
  <r>
    <s v="T1409"/>
    <x v="19"/>
    <x v="0"/>
    <x v="0"/>
    <x v="0"/>
    <s v="Aug"/>
    <x v="2"/>
    <x v="1310"/>
    <n v="7.8"/>
    <x v="0"/>
    <n v="5.6"/>
    <x v="73"/>
    <n v="6022"/>
    <x v="0"/>
    <n v="49.5"/>
    <s v="Data Scientist"/>
    <n v="29.6"/>
    <n v="9.1"/>
    <x v="0"/>
    <n v="7"/>
    <n v="5"/>
    <n v="7"/>
    <s v="Stable"/>
  </r>
  <r>
    <s v="T1410"/>
    <x v="1"/>
    <x v="6"/>
    <x v="2"/>
    <x v="0"/>
    <s v="Jan"/>
    <x v="0"/>
    <x v="1311"/>
    <n v="10.5"/>
    <x v="2"/>
    <n v="2.2999999999999998"/>
    <x v="59"/>
    <n v="2689"/>
    <x v="1"/>
    <n v="12.1"/>
    <s v="Cloud Engineer"/>
    <n v="-24.1"/>
    <n v="4.2"/>
    <x v="451"/>
    <n v="1.5"/>
    <n v="4.7"/>
    <n v="7.3"/>
    <s v="Stable"/>
  </r>
  <r>
    <s v="T1411"/>
    <x v="12"/>
    <x v="5"/>
    <x v="0"/>
    <x v="2"/>
    <s v="Jun"/>
    <x v="0"/>
    <x v="1312"/>
    <n v="8.1"/>
    <x v="3"/>
    <n v="7.7"/>
    <x v="5"/>
    <n v="5840"/>
    <x v="0"/>
    <n v="15.6"/>
    <s v="Product Manager"/>
    <n v="14.4"/>
    <n v="35.700000000000003"/>
    <x v="253"/>
    <n v="6.9"/>
    <n v="6.8"/>
    <n v="5.7"/>
    <s v="Bull Market"/>
  </r>
  <r>
    <s v="T1412"/>
    <x v="12"/>
    <x v="0"/>
    <x v="4"/>
    <x v="2"/>
    <s v="Nov"/>
    <x v="1"/>
    <x v="804"/>
    <n v="4.5"/>
    <x v="1"/>
    <n v="14.9"/>
    <x v="5"/>
    <n v="9644"/>
    <x v="3"/>
    <n v="73.900000000000006"/>
    <s v="ML Engineer"/>
    <n v="86.5"/>
    <n v="32"/>
    <x v="280"/>
    <n v="10"/>
    <n v="5.6"/>
    <n v="6.7"/>
    <s v="Stable"/>
  </r>
  <r>
    <s v="T1413"/>
    <x v="1"/>
    <x v="6"/>
    <x v="3"/>
    <x v="2"/>
    <s v="Aug"/>
    <x v="0"/>
    <x v="1313"/>
    <n v="30.9"/>
    <x v="2"/>
    <n v="1.6"/>
    <x v="5"/>
    <n v="783"/>
    <x v="2"/>
    <n v="42.8"/>
    <s v="Software Engineer"/>
    <n v="44.4"/>
    <n v="2.7"/>
    <x v="12"/>
    <n v="2.5"/>
    <n v="2.8"/>
    <n v="2.5"/>
    <s v="Recession"/>
  </r>
  <r>
    <s v="T1414"/>
    <x v="9"/>
    <x v="1"/>
    <x v="4"/>
    <x v="2"/>
    <s v="May"/>
    <x v="0"/>
    <x v="1314"/>
    <n v="16.100000000000001"/>
    <x v="3"/>
    <n v="8"/>
    <x v="5"/>
    <n v="1281"/>
    <x v="1"/>
    <n v="78"/>
    <s v="ML Engineer"/>
    <n v="35"/>
    <n v="42.5"/>
    <x v="139"/>
    <n v="7.4"/>
    <n v="6.6"/>
    <n v="5.7"/>
    <s v="Recession"/>
  </r>
  <r>
    <s v="T1415"/>
    <x v="0"/>
    <x v="2"/>
    <x v="5"/>
    <x v="3"/>
    <s v="Nov"/>
    <x v="0"/>
    <x v="1315"/>
    <n v="37"/>
    <x v="3"/>
    <n v="6.1"/>
    <x v="5"/>
    <n v="877"/>
    <x v="2"/>
    <n v="75.599999999999994"/>
    <s v="Frontend Developer"/>
    <n v="41.8"/>
    <n v="-11.3"/>
    <x v="456"/>
    <n v="3.6"/>
    <n v="3.5"/>
    <n v="1.9"/>
    <s v="Recession"/>
  </r>
  <r>
    <s v="T1416"/>
    <x v="2"/>
    <x v="5"/>
    <x v="4"/>
    <x v="1"/>
    <s v="Jun"/>
    <x v="0"/>
    <x v="1316"/>
    <n v="30.5"/>
    <x v="1"/>
    <n v="5.5"/>
    <x v="5"/>
    <n v="1381"/>
    <x v="1"/>
    <n v="49.4"/>
    <s v="Software Engineer"/>
    <n v="25.1"/>
    <n v="27.8"/>
    <x v="333"/>
    <n v="4.9000000000000004"/>
    <n v="6.3"/>
    <n v="3.7"/>
    <s v="Recession"/>
  </r>
  <r>
    <s v="T1417"/>
    <x v="1"/>
    <x v="4"/>
    <x v="1"/>
    <x v="1"/>
    <s v="Mar"/>
    <x v="2"/>
    <x v="1317"/>
    <n v="6.5"/>
    <x v="0"/>
    <n v="6"/>
    <x v="31"/>
    <n v="774"/>
    <x v="1"/>
    <n v="62.8"/>
    <s v="Frontend Developer"/>
    <n v="6.8"/>
    <n v="-2.5"/>
    <x v="63"/>
    <n v="5.0999999999999996"/>
    <n v="8.1999999999999993"/>
    <n v="5.2"/>
    <s v="Bull Market"/>
  </r>
  <r>
    <s v="T1418"/>
    <x v="9"/>
    <x v="0"/>
    <x v="3"/>
    <x v="2"/>
    <s v="Oct"/>
    <x v="2"/>
    <x v="1318"/>
    <n v="25.8"/>
    <x v="2"/>
    <n v="5.5"/>
    <x v="52"/>
    <n v="8473"/>
    <x v="0"/>
    <n v="56.8"/>
    <s v="ML Engineer"/>
    <n v="28.3"/>
    <n v="41.5"/>
    <x v="157"/>
    <n v="3.4"/>
    <n v="5.8"/>
    <n v="5"/>
    <s v="Recession"/>
  </r>
  <r>
    <s v="T1419"/>
    <x v="18"/>
    <x v="0"/>
    <x v="4"/>
    <x v="3"/>
    <s v="May"/>
    <x v="1"/>
    <x v="1319"/>
    <n v="8.9"/>
    <x v="0"/>
    <n v="5.2"/>
    <x v="29"/>
    <n v="8430"/>
    <x v="3"/>
    <n v="55.4"/>
    <s v="ML Engineer"/>
    <n v="61.2"/>
    <n v="18.3"/>
    <x v="15"/>
    <n v="6.6"/>
    <n v="7.9"/>
    <n v="6.2"/>
    <s v="Stable"/>
  </r>
  <r>
    <s v="T1420"/>
    <x v="17"/>
    <x v="3"/>
    <x v="0"/>
    <x v="3"/>
    <s v="May"/>
    <x v="0"/>
    <x v="1320"/>
    <n v="36.299999999999997"/>
    <x v="4"/>
    <n v="4.4000000000000004"/>
    <x v="5"/>
    <n v="1408"/>
    <x v="1"/>
    <n v="63.6"/>
    <s v="DevOps Engineer"/>
    <n v="41.7"/>
    <n v="20.3"/>
    <x v="50"/>
    <n v="6.9"/>
    <n v="5.0999999999999996"/>
    <n v="3.4"/>
    <s v="Recession"/>
  </r>
  <r>
    <s v="T1421"/>
    <x v="1"/>
    <x v="4"/>
    <x v="2"/>
    <x v="2"/>
    <s v="Apr"/>
    <x v="1"/>
    <x v="809"/>
    <n v="7.1"/>
    <x v="4"/>
    <n v="13.5"/>
    <x v="5"/>
    <n v="2305"/>
    <x v="0"/>
    <n v="12.2"/>
    <s v="DevOps Engineer"/>
    <n v="-32.9"/>
    <n v="50.7"/>
    <x v="182"/>
    <n v="8.1999999999999993"/>
    <n v="6.5"/>
    <n v="6.4"/>
    <s v="Bull Market"/>
  </r>
  <r>
    <s v="T1422"/>
    <x v="2"/>
    <x v="0"/>
    <x v="3"/>
    <x v="3"/>
    <s v="Jun"/>
    <x v="2"/>
    <x v="1094"/>
    <n v="6.2"/>
    <x v="2"/>
    <n v="4.8"/>
    <x v="69"/>
    <n v="7283"/>
    <x v="0"/>
    <n v="69.8"/>
    <s v="Data Scientist"/>
    <n v="25.5"/>
    <n v="-5.6"/>
    <x v="335"/>
    <n v="6.6"/>
    <n v="8.3000000000000007"/>
    <n v="5.2"/>
    <s v="Bull Market"/>
  </r>
  <r>
    <s v="T1423"/>
    <x v="2"/>
    <x v="5"/>
    <x v="5"/>
    <x v="0"/>
    <s v="Feb"/>
    <x v="2"/>
    <x v="1321"/>
    <n v="5"/>
    <x v="4"/>
    <n v="4.3"/>
    <x v="25"/>
    <n v="3391"/>
    <x v="0"/>
    <n v="74.900000000000006"/>
    <s v="Software Engineer"/>
    <n v="48.8"/>
    <n v="5.3"/>
    <x v="74"/>
    <n v="3.4"/>
    <n v="6.7"/>
    <n v="6.3"/>
    <s v="Stable"/>
  </r>
  <r>
    <s v="T1424"/>
    <x v="1"/>
    <x v="6"/>
    <x v="2"/>
    <x v="1"/>
    <s v="Mar"/>
    <x v="0"/>
    <x v="203"/>
    <n v="12.6"/>
    <x v="1"/>
    <n v="5.0999999999999996"/>
    <x v="58"/>
    <n v="92"/>
    <x v="1"/>
    <n v="27.8"/>
    <s v="Cloud Engineer"/>
    <n v="69.900000000000006"/>
    <n v="-20.7"/>
    <x v="63"/>
    <n v="3.4"/>
    <n v="6.3"/>
    <n v="4.8"/>
    <s v="Recession"/>
  </r>
  <r>
    <s v="T1425"/>
    <x v="1"/>
    <x v="6"/>
    <x v="5"/>
    <x v="1"/>
    <s v="Mar"/>
    <x v="2"/>
    <x v="1322"/>
    <n v="3.5"/>
    <x v="2"/>
    <n v="1.2"/>
    <x v="4"/>
    <n v="3475"/>
    <x v="0"/>
    <n v="80.400000000000006"/>
    <s v="Frontend Developer"/>
    <n v="-11.2"/>
    <n v="-10.199999999999999"/>
    <x v="132"/>
    <n v="1.6"/>
    <n v="4.7"/>
    <n v="7.3"/>
    <s v="Stable"/>
  </r>
  <r>
    <s v="T1426"/>
    <x v="7"/>
    <x v="4"/>
    <x v="2"/>
    <x v="2"/>
    <s v="Oct"/>
    <x v="0"/>
    <x v="1323"/>
    <n v="2"/>
    <x v="1"/>
    <n v="7.5"/>
    <x v="43"/>
    <n v="1571"/>
    <x v="0"/>
    <n v="50.4"/>
    <s v="Product Manager"/>
    <n v="-35.5"/>
    <n v="0.8"/>
    <x v="280"/>
    <n v="5.3"/>
    <n v="8.3000000000000007"/>
    <n v="5.3"/>
    <s v="Bull Market"/>
  </r>
  <r>
    <s v="T1427"/>
    <x v="15"/>
    <x v="2"/>
    <x v="3"/>
    <x v="1"/>
    <s v="Aug"/>
    <x v="2"/>
    <x v="641"/>
    <n v="8.1"/>
    <x v="0"/>
    <n v="9.8000000000000007"/>
    <x v="5"/>
    <n v="1338"/>
    <x v="1"/>
    <n v="46.5"/>
    <s v="Frontend Developer"/>
    <n v="5"/>
    <n v="55.9"/>
    <x v="407"/>
    <n v="8"/>
    <n v="9.6999999999999993"/>
    <n v="6.3"/>
    <s v="Bull Market"/>
  </r>
  <r>
    <s v="T1428"/>
    <x v="15"/>
    <x v="2"/>
    <x v="5"/>
    <x v="0"/>
    <s v="Aug"/>
    <x v="2"/>
    <x v="637"/>
    <n v="9.9"/>
    <x v="0"/>
    <n v="6.1"/>
    <x v="44"/>
    <n v="1280"/>
    <x v="1"/>
    <n v="58.8"/>
    <s v="Frontend Developer"/>
    <n v="38.299999999999997"/>
    <n v="-15.1"/>
    <x v="361"/>
    <n v="4.0999999999999996"/>
    <n v="7.3"/>
    <n v="5.6"/>
    <s v="Bull Market"/>
  </r>
  <r>
    <s v="T1429"/>
    <x v="8"/>
    <x v="4"/>
    <x v="5"/>
    <x v="1"/>
    <s v="Jul"/>
    <x v="0"/>
    <x v="1324"/>
    <n v="14.6"/>
    <x v="1"/>
    <n v="4.5"/>
    <x v="5"/>
    <n v="2096"/>
    <x v="1"/>
    <n v="45.1"/>
    <s v="Product Manager"/>
    <n v="5"/>
    <n v="-2.1"/>
    <x v="333"/>
    <n v="5.5"/>
    <n v="5.4"/>
    <n v="4.9000000000000004"/>
    <s v="Stable"/>
  </r>
  <r>
    <s v="T1430"/>
    <x v="0"/>
    <x v="1"/>
    <x v="5"/>
    <x v="3"/>
    <s v="Feb"/>
    <x v="0"/>
    <x v="1325"/>
    <n v="7.6"/>
    <x v="2"/>
    <n v="6"/>
    <x v="63"/>
    <n v="3715"/>
    <x v="0"/>
    <n v="16.8"/>
    <s v="Software Engineer"/>
    <n v="32.5"/>
    <n v="54"/>
    <x v="241"/>
    <n v="9.5"/>
    <n v="8.8000000000000007"/>
    <n v="7.3"/>
    <s v="Stable"/>
  </r>
  <r>
    <s v="T1431"/>
    <x v="17"/>
    <x v="0"/>
    <x v="4"/>
    <x v="0"/>
    <s v="Aug"/>
    <x v="1"/>
    <x v="1326"/>
    <n v="8.1"/>
    <x v="0"/>
    <n v="13.6"/>
    <x v="5"/>
    <n v="8334"/>
    <x v="0"/>
    <n v="69.7"/>
    <s v="Data Scientist"/>
    <n v="66.900000000000006"/>
    <n v="16"/>
    <x v="60"/>
    <n v="8.3000000000000007"/>
    <n v="8.6999999999999993"/>
    <n v="6"/>
    <s v="Bull Market"/>
  </r>
  <r>
    <s v="T1432"/>
    <x v="0"/>
    <x v="1"/>
    <x v="1"/>
    <x v="3"/>
    <s v="Feb"/>
    <x v="0"/>
    <x v="1327"/>
    <n v="29.3"/>
    <x v="0"/>
    <n v="7.7"/>
    <x v="5"/>
    <n v="214"/>
    <x v="1"/>
    <n v="28"/>
    <s v="Cloud Engineer"/>
    <n v="65.7"/>
    <n v="-10.5"/>
    <x v="336"/>
    <n v="7.9"/>
    <n v="6.3"/>
    <n v="2.5"/>
    <s v="Recession"/>
  </r>
  <r>
    <s v="T1433"/>
    <x v="13"/>
    <x v="5"/>
    <x v="3"/>
    <x v="0"/>
    <s v="Sep"/>
    <x v="2"/>
    <x v="293"/>
    <n v="6.2"/>
    <x v="2"/>
    <n v="7.8"/>
    <x v="2"/>
    <n v="5576"/>
    <x v="0"/>
    <n v="84"/>
    <s v="Product Manager"/>
    <n v="-20.100000000000001"/>
    <n v="43.7"/>
    <x v="181"/>
    <n v="6.3"/>
    <n v="6.6"/>
    <n v="7.9"/>
    <s v="Stable"/>
  </r>
  <r>
    <s v="T1434"/>
    <x v="1"/>
    <x v="1"/>
    <x v="2"/>
    <x v="3"/>
    <s v="Apr"/>
    <x v="0"/>
    <x v="1328"/>
    <n v="1.6"/>
    <x v="3"/>
    <n v="8.6"/>
    <x v="26"/>
    <n v="3540"/>
    <x v="3"/>
    <n v="44.6"/>
    <s v="DevOps Engineer"/>
    <n v="-34.299999999999997"/>
    <n v="21.2"/>
    <x v="240"/>
    <n v="9.4"/>
    <n v="7.6"/>
    <n v="5.7"/>
    <s v="Bull Market"/>
  </r>
  <r>
    <s v="T1435"/>
    <x v="4"/>
    <x v="0"/>
    <x v="4"/>
    <x v="0"/>
    <s v="Oct"/>
    <x v="1"/>
    <x v="1329"/>
    <n v="22.5"/>
    <x v="1"/>
    <n v="4.7"/>
    <x v="57"/>
    <n v="9752"/>
    <x v="0"/>
    <n v="61.5"/>
    <s v="ML Engineer"/>
    <n v="-43.3"/>
    <n v="14.5"/>
    <x v="67"/>
    <n v="4.3"/>
    <n v="7.6"/>
    <n v="4.5999999999999996"/>
    <s v="Recession"/>
  </r>
  <r>
    <s v="T1436"/>
    <x v="16"/>
    <x v="2"/>
    <x v="3"/>
    <x v="2"/>
    <s v="Nov"/>
    <x v="1"/>
    <x v="1330"/>
    <n v="5.8"/>
    <x v="4"/>
    <n v="14.2"/>
    <x v="61"/>
    <n v="3450"/>
    <x v="0"/>
    <n v="23.5"/>
    <s v="Product Manager"/>
    <n v="68.7"/>
    <n v="-20.3"/>
    <x v="99"/>
    <n v="9"/>
    <n v="7"/>
    <n v="6.3"/>
    <s v="Bull Market"/>
  </r>
  <r>
    <s v="T1437"/>
    <x v="2"/>
    <x v="2"/>
    <x v="0"/>
    <x v="1"/>
    <s v="May"/>
    <x v="1"/>
    <x v="633"/>
    <n v="16"/>
    <x v="0"/>
    <n v="8.3000000000000007"/>
    <x v="49"/>
    <n v="362"/>
    <x v="1"/>
    <n v="36.700000000000003"/>
    <s v="Software Engineer"/>
    <n v="80.099999999999994"/>
    <n v="51.4"/>
    <x v="242"/>
    <n v="6.9"/>
    <n v="7.7"/>
    <n v="6.3"/>
    <s v="Stable"/>
  </r>
  <r>
    <s v="T1438"/>
    <x v="9"/>
    <x v="1"/>
    <x v="1"/>
    <x v="2"/>
    <s v="Sep"/>
    <x v="2"/>
    <x v="1331"/>
    <n v="10.8"/>
    <x v="1"/>
    <n v="5.3"/>
    <x v="27"/>
    <n v="2421"/>
    <x v="0"/>
    <n v="76.3"/>
    <s v="Frontend Developer"/>
    <n v="50.9"/>
    <n v="52.5"/>
    <x v="370"/>
    <n v="6.9"/>
    <n v="7.6"/>
    <n v="6.7"/>
    <s v="Stable"/>
  </r>
  <r>
    <s v="T1439"/>
    <x v="12"/>
    <x v="5"/>
    <x v="1"/>
    <x v="3"/>
    <s v="Oct"/>
    <x v="1"/>
    <x v="1332"/>
    <n v="8.9"/>
    <x v="3"/>
    <n v="3.4"/>
    <x v="6"/>
    <n v="3438"/>
    <x v="1"/>
    <n v="48.8"/>
    <s v="DevOps Engineer"/>
    <n v="28.2"/>
    <n v="22.6"/>
    <x v="120"/>
    <n v="3.1"/>
    <n v="6.5"/>
    <n v="6.7"/>
    <s v="Bull Market"/>
  </r>
  <r>
    <s v="T1440"/>
    <x v="8"/>
    <x v="6"/>
    <x v="3"/>
    <x v="0"/>
    <s v="Dec"/>
    <x v="2"/>
    <x v="1333"/>
    <n v="15.5"/>
    <x v="4"/>
    <n v="9.6"/>
    <x v="49"/>
    <n v="102"/>
    <x v="1"/>
    <n v="68"/>
    <s v="Frontend Developer"/>
    <n v="10.8"/>
    <n v="45.8"/>
    <x v="457"/>
    <n v="6.1"/>
    <n v="8.3000000000000007"/>
    <n v="5.2"/>
    <s v="Recession"/>
  </r>
  <r>
    <s v="T1441"/>
    <x v="12"/>
    <x v="0"/>
    <x v="4"/>
    <x v="3"/>
    <s v="Nov"/>
    <x v="0"/>
    <x v="676"/>
    <n v="3.9"/>
    <x v="0"/>
    <n v="7.1"/>
    <x v="51"/>
    <n v="7084"/>
    <x v="0"/>
    <n v="31.1"/>
    <s v="ML Engineer"/>
    <n v="-22.3"/>
    <n v="18.7"/>
    <x v="10"/>
    <n v="8.1"/>
    <n v="8.5"/>
    <n v="5.8"/>
    <s v="Bull Market"/>
  </r>
  <r>
    <s v="T1442"/>
    <x v="2"/>
    <x v="5"/>
    <x v="0"/>
    <x v="1"/>
    <s v="Nov"/>
    <x v="2"/>
    <x v="1334"/>
    <n v="17.2"/>
    <x v="4"/>
    <n v="11.3"/>
    <x v="57"/>
    <n v="2389"/>
    <x v="0"/>
    <n v="74.7"/>
    <s v="ML Engineer"/>
    <n v="64.599999999999994"/>
    <n v="-6.1"/>
    <x v="300"/>
    <n v="9.1999999999999993"/>
    <n v="4.0999999999999996"/>
    <n v="3.8"/>
    <s v="Stable"/>
  </r>
  <r>
    <s v="T1443"/>
    <x v="2"/>
    <x v="5"/>
    <x v="5"/>
    <x v="0"/>
    <s v="May"/>
    <x v="2"/>
    <x v="1335"/>
    <n v="7.2"/>
    <x v="1"/>
    <n v="8.8000000000000007"/>
    <x v="45"/>
    <n v="4949"/>
    <x v="0"/>
    <n v="63.2"/>
    <s v="DevOps Engineer"/>
    <n v="68.5"/>
    <n v="-23.1"/>
    <x v="315"/>
    <n v="5.5"/>
    <n v="7.6"/>
    <n v="4.5999999999999996"/>
    <s v="Stable"/>
  </r>
  <r>
    <s v="T1444"/>
    <x v="6"/>
    <x v="1"/>
    <x v="1"/>
    <x v="2"/>
    <s v="Jan"/>
    <x v="1"/>
    <x v="1336"/>
    <n v="13.5"/>
    <x v="3"/>
    <n v="3.4"/>
    <x v="55"/>
    <n v="3543"/>
    <x v="1"/>
    <n v="12.2"/>
    <s v="Data Scientist"/>
    <n v="75.8"/>
    <n v="-0.5"/>
    <x v="316"/>
    <n v="2.2000000000000002"/>
    <n v="4.5999999999999996"/>
    <n v="6.7"/>
    <s v="Stable"/>
  </r>
  <r>
    <s v="T1445"/>
    <x v="13"/>
    <x v="5"/>
    <x v="3"/>
    <x v="2"/>
    <s v="Nov"/>
    <x v="1"/>
    <x v="1337"/>
    <n v="6.6"/>
    <x v="2"/>
    <n v="3.6"/>
    <x v="29"/>
    <n v="261"/>
    <x v="1"/>
    <n v="32.6"/>
    <s v="Frontend Developer"/>
    <n v="-38.700000000000003"/>
    <n v="57.1"/>
    <x v="178"/>
    <n v="3.4"/>
    <n v="7.4"/>
    <n v="7.8"/>
    <s v="Stable"/>
  </r>
  <r>
    <s v="T1446"/>
    <x v="14"/>
    <x v="1"/>
    <x v="1"/>
    <x v="1"/>
    <s v="Feb"/>
    <x v="2"/>
    <x v="302"/>
    <n v="7.2"/>
    <x v="3"/>
    <n v="9.6999999999999993"/>
    <x v="67"/>
    <n v="1479"/>
    <x v="1"/>
    <n v="57.5"/>
    <s v="Software Engineer"/>
    <n v="51.9"/>
    <n v="14.2"/>
    <x v="1"/>
    <n v="6.4"/>
    <n v="8.6"/>
    <n v="6.1"/>
    <s v="Bull Market"/>
  </r>
  <r>
    <s v="T1447"/>
    <x v="17"/>
    <x v="3"/>
    <x v="3"/>
    <x v="3"/>
    <s v="Jul"/>
    <x v="0"/>
    <x v="1338"/>
    <n v="21"/>
    <x v="4"/>
    <n v="4.5999999999999996"/>
    <x v="10"/>
    <n v="1470"/>
    <x v="1"/>
    <n v="17.399999999999999"/>
    <s v="Software Engineer"/>
    <n v="27.9"/>
    <n v="32.6"/>
    <x v="138"/>
    <n v="3.9"/>
    <n v="4.3"/>
    <n v="5.3"/>
    <s v="Recession"/>
  </r>
  <r>
    <s v="T1448"/>
    <x v="0"/>
    <x v="1"/>
    <x v="1"/>
    <x v="1"/>
    <s v="Feb"/>
    <x v="1"/>
    <x v="726"/>
    <n v="1.2"/>
    <x v="1"/>
    <n v="6.6"/>
    <x v="5"/>
    <n v="2985"/>
    <x v="0"/>
    <n v="82.4"/>
    <s v="Data Scientist"/>
    <n v="26"/>
    <n v="-11.9"/>
    <x v="143"/>
    <n v="6.1"/>
    <n v="6"/>
    <n v="5.2"/>
    <s v="Bull Market"/>
  </r>
  <r>
    <s v="T1449"/>
    <x v="18"/>
    <x v="0"/>
    <x v="2"/>
    <x v="2"/>
    <s v="Sep"/>
    <x v="0"/>
    <x v="1339"/>
    <n v="4.8"/>
    <x v="4"/>
    <n v="0.9"/>
    <x v="19"/>
    <n v="5649"/>
    <x v="0"/>
    <n v="61.7"/>
    <s v="Data Scientist"/>
    <n v="10.9"/>
    <n v="-3.2"/>
    <x v="19"/>
    <n v="1.2"/>
    <n v="5.9"/>
    <n v="6.3"/>
    <s v="Bull Market"/>
  </r>
  <r>
    <s v="T1450"/>
    <x v="14"/>
    <x v="1"/>
    <x v="3"/>
    <x v="2"/>
    <s v="Mar"/>
    <x v="0"/>
    <x v="1340"/>
    <n v="18.100000000000001"/>
    <x v="2"/>
    <n v="4.5999999999999996"/>
    <x v="41"/>
    <n v="1102"/>
    <x v="1"/>
    <n v="22.8"/>
    <s v="Product Manager"/>
    <n v="-44.4"/>
    <n v="-9.4"/>
    <x v="110"/>
    <n v="2.7"/>
    <n v="4.2"/>
    <n v="5.3"/>
    <s v="Recession"/>
  </r>
  <r>
    <s v="T1451"/>
    <x v="5"/>
    <x v="3"/>
    <x v="2"/>
    <x v="1"/>
    <s v="Mar"/>
    <x v="0"/>
    <x v="1341"/>
    <n v="38"/>
    <x v="0"/>
    <n v="6.2"/>
    <x v="5"/>
    <n v="885"/>
    <x v="2"/>
    <n v="55.3"/>
    <s v="DevOps Engineer"/>
    <n v="7.5"/>
    <n v="-10.6"/>
    <x v="230"/>
    <n v="9"/>
    <n v="4.0999999999999996"/>
    <n v="1.3"/>
    <s v="Recession"/>
  </r>
  <r>
    <s v="T1452"/>
    <x v="10"/>
    <x v="3"/>
    <x v="1"/>
    <x v="0"/>
    <s v="Nov"/>
    <x v="2"/>
    <x v="38"/>
    <n v="3"/>
    <x v="3"/>
    <n v="4.7"/>
    <x v="56"/>
    <n v="911"/>
    <x v="1"/>
    <n v="73.599999999999994"/>
    <s v="Frontend Developer"/>
    <n v="40.700000000000003"/>
    <n v="30"/>
    <x v="386"/>
    <n v="3.6"/>
    <n v="7.7"/>
    <n v="7.1"/>
    <s v="Bull Market"/>
  </r>
  <r>
    <s v="T1453"/>
    <x v="2"/>
    <x v="1"/>
    <x v="5"/>
    <x v="2"/>
    <s v="Jan"/>
    <x v="2"/>
    <x v="1230"/>
    <n v="3"/>
    <x v="3"/>
    <n v="13.6"/>
    <x v="85"/>
    <n v="713"/>
    <x v="0"/>
    <n v="40.200000000000003"/>
    <s v="ML Engineer"/>
    <n v="-7.3"/>
    <n v="6"/>
    <x v="169"/>
    <n v="8.6999999999999993"/>
    <n v="7.8"/>
    <n v="6"/>
    <s v="Stable"/>
  </r>
  <r>
    <s v="T1454"/>
    <x v="17"/>
    <x v="3"/>
    <x v="2"/>
    <x v="1"/>
    <s v="Feb"/>
    <x v="1"/>
    <x v="443"/>
    <n v="13"/>
    <x v="4"/>
    <n v="2.9"/>
    <x v="39"/>
    <n v="4417"/>
    <x v="0"/>
    <n v="18.5"/>
    <s v="Software Engineer"/>
    <n v="19"/>
    <n v="29.4"/>
    <x v="180"/>
    <n v="2.7"/>
    <n v="6.1"/>
    <n v="7.4"/>
    <s v="Stable"/>
  </r>
  <r>
    <s v="T1455"/>
    <x v="6"/>
    <x v="2"/>
    <x v="2"/>
    <x v="3"/>
    <s v="Apr"/>
    <x v="1"/>
    <x v="1342"/>
    <n v="28.6"/>
    <x v="0"/>
    <n v="3.2"/>
    <x v="5"/>
    <n v="742"/>
    <x v="2"/>
    <n v="62.1"/>
    <s v="ML Engineer"/>
    <n v="-33.5"/>
    <n v="-22.7"/>
    <x v="390"/>
    <n v="4.5999999999999996"/>
    <n v="5.8"/>
    <n v="2.8"/>
    <s v="Recession"/>
  </r>
  <r>
    <s v="T1456"/>
    <x v="2"/>
    <x v="5"/>
    <x v="3"/>
    <x v="3"/>
    <s v="Apr"/>
    <x v="2"/>
    <x v="1343"/>
    <n v="14.3"/>
    <x v="4"/>
    <n v="3"/>
    <x v="63"/>
    <n v="4043"/>
    <x v="0"/>
    <n v="35.4"/>
    <s v="Cybersecurity Analyst"/>
    <n v="32.1"/>
    <n v="29.9"/>
    <x v="168"/>
    <n v="2.4"/>
    <n v="6.6"/>
    <n v="5.7"/>
    <s v="Stable"/>
  </r>
  <r>
    <s v="T1457"/>
    <x v="1"/>
    <x v="6"/>
    <x v="2"/>
    <x v="2"/>
    <s v="Jan"/>
    <x v="1"/>
    <x v="1344"/>
    <n v="10.9"/>
    <x v="4"/>
    <n v="2.5"/>
    <x v="45"/>
    <n v="1948"/>
    <x v="2"/>
    <n v="65.900000000000006"/>
    <s v="Cybersecurity Analyst"/>
    <n v="84.2"/>
    <n v="28.5"/>
    <x v="181"/>
    <n v="1.6"/>
    <n v="6.9"/>
    <n v="5.7"/>
    <s v="Stable"/>
  </r>
  <r>
    <s v="T1458"/>
    <x v="8"/>
    <x v="4"/>
    <x v="3"/>
    <x v="1"/>
    <s v="Feb"/>
    <x v="2"/>
    <x v="1345"/>
    <n v="13.5"/>
    <x v="1"/>
    <n v="4"/>
    <x v="50"/>
    <n v="332"/>
    <x v="1"/>
    <n v="59.1"/>
    <s v="Data Scientist"/>
    <n v="18.600000000000001"/>
    <n v="43.7"/>
    <x v="202"/>
    <n v="5.4"/>
    <n v="8.6999999999999993"/>
    <n v="5.4"/>
    <s v="Recession"/>
  </r>
  <r>
    <s v="T1459"/>
    <x v="1"/>
    <x v="4"/>
    <x v="2"/>
    <x v="3"/>
    <s v="Nov"/>
    <x v="0"/>
    <x v="1346"/>
    <n v="30.6"/>
    <x v="4"/>
    <n v="3.4"/>
    <x v="5"/>
    <n v="596"/>
    <x v="2"/>
    <n v="25.5"/>
    <s v="Cloud Engineer"/>
    <n v="60.8"/>
    <n v="23.3"/>
    <x v="292"/>
    <n v="4.5999999999999996"/>
    <n v="7"/>
    <n v="4.0999999999999996"/>
    <s v="Recession"/>
  </r>
  <r>
    <s v="T1460"/>
    <x v="4"/>
    <x v="0"/>
    <x v="2"/>
    <x v="2"/>
    <s v="May"/>
    <x v="0"/>
    <x v="1347"/>
    <n v="33.700000000000003"/>
    <x v="3"/>
    <n v="1.3"/>
    <x v="10"/>
    <n v="1046"/>
    <x v="2"/>
    <n v="13.4"/>
    <s v="Data Scientist"/>
    <n v="30.8"/>
    <n v="-16.3"/>
    <x v="458"/>
    <n v="1.7"/>
    <n v="4.5999999999999996"/>
    <n v="3.1"/>
    <s v="Recession"/>
  </r>
  <r>
    <s v="T1461"/>
    <x v="18"/>
    <x v="0"/>
    <x v="2"/>
    <x v="0"/>
    <s v="Nov"/>
    <x v="2"/>
    <x v="1348"/>
    <n v="2.2000000000000002"/>
    <x v="1"/>
    <n v="14.2"/>
    <x v="84"/>
    <n v="6976"/>
    <x v="3"/>
    <n v="84.1"/>
    <s v="Data Scientist"/>
    <n v="-37.4"/>
    <n v="-22"/>
    <x v="356"/>
    <n v="9.4"/>
    <n v="5.0999999999999996"/>
    <n v="4.2"/>
    <s v="Bull Market"/>
  </r>
  <r>
    <s v="T1462"/>
    <x v="0"/>
    <x v="0"/>
    <x v="3"/>
    <x v="2"/>
    <s v="Oct"/>
    <x v="2"/>
    <x v="1349"/>
    <n v="31.3"/>
    <x v="4"/>
    <n v="13.4"/>
    <x v="5"/>
    <n v="8318"/>
    <x v="0"/>
    <n v="62"/>
    <s v="ML Engineer"/>
    <n v="23.1"/>
    <n v="-15.5"/>
    <x v="380"/>
    <n v="8.5"/>
    <n v="5.6"/>
    <n v="2.2000000000000002"/>
    <s v="Recession"/>
  </r>
  <r>
    <s v="T1463"/>
    <x v="15"/>
    <x v="2"/>
    <x v="4"/>
    <x v="0"/>
    <s v="May"/>
    <x v="0"/>
    <x v="1350"/>
    <n v="10.9"/>
    <x v="1"/>
    <n v="1.4"/>
    <x v="53"/>
    <n v="99"/>
    <x v="1"/>
    <n v="84.9"/>
    <s v="Software Engineer"/>
    <n v="-17.8"/>
    <n v="46"/>
    <x v="216"/>
    <n v="1.7"/>
    <n v="8.6999999999999993"/>
    <n v="7"/>
    <s v="Recession"/>
  </r>
  <r>
    <s v="T1464"/>
    <x v="17"/>
    <x v="0"/>
    <x v="5"/>
    <x v="1"/>
    <s v="Apr"/>
    <x v="2"/>
    <x v="1351"/>
    <n v="13.3"/>
    <x v="2"/>
    <n v="6.9"/>
    <x v="2"/>
    <n v="9253"/>
    <x v="0"/>
    <n v="70"/>
    <s v="ML Engineer"/>
    <n v="-11.2"/>
    <n v="26.7"/>
    <x v="19"/>
    <n v="6.1"/>
    <n v="7.8"/>
    <n v="5.9"/>
    <s v="Stable"/>
  </r>
  <r>
    <s v="T1465"/>
    <x v="11"/>
    <x v="6"/>
    <x v="0"/>
    <x v="1"/>
    <s v="Apr"/>
    <x v="0"/>
    <x v="809"/>
    <n v="4.3"/>
    <x v="3"/>
    <n v="11.2"/>
    <x v="11"/>
    <n v="5810"/>
    <x v="0"/>
    <n v="20.100000000000001"/>
    <s v="ML Engineer"/>
    <n v="80.900000000000006"/>
    <n v="48.4"/>
    <x v="139"/>
    <n v="7"/>
    <n v="8.6999999999999993"/>
    <n v="8.5"/>
    <s v="Stable"/>
  </r>
  <r>
    <s v="T1466"/>
    <x v="2"/>
    <x v="0"/>
    <x v="5"/>
    <x v="0"/>
    <s v="Aug"/>
    <x v="2"/>
    <x v="1352"/>
    <n v="20.3"/>
    <x v="2"/>
    <n v="5.9"/>
    <x v="5"/>
    <n v="3781"/>
    <x v="0"/>
    <n v="88.1"/>
    <s v="Data Scientist"/>
    <n v="12.5"/>
    <n v="17.899999999999999"/>
    <x v="97"/>
    <n v="4.8"/>
    <n v="5.7"/>
    <n v="5"/>
    <s v="Recession"/>
  </r>
  <r>
    <s v="T1467"/>
    <x v="6"/>
    <x v="1"/>
    <x v="1"/>
    <x v="3"/>
    <s v="Apr"/>
    <x v="2"/>
    <x v="1353"/>
    <n v="14.4"/>
    <x v="0"/>
    <n v="5.9"/>
    <x v="7"/>
    <n v="3764"/>
    <x v="0"/>
    <n v="72.8"/>
    <s v="Product Manager"/>
    <n v="74.2"/>
    <n v="35.299999999999997"/>
    <x v="450"/>
    <n v="8.1"/>
    <n v="7.9"/>
    <n v="6.7"/>
    <s v="Stable"/>
  </r>
  <r>
    <s v="T1468"/>
    <x v="15"/>
    <x v="2"/>
    <x v="4"/>
    <x v="1"/>
    <s v="Apr"/>
    <x v="0"/>
    <x v="1354"/>
    <n v="17.7"/>
    <x v="0"/>
    <n v="5.3"/>
    <x v="5"/>
    <n v="5742"/>
    <x v="1"/>
    <n v="53.2"/>
    <s v="ML Engineer"/>
    <n v="39.4"/>
    <n v="26.9"/>
    <x v="169"/>
    <n v="5.2"/>
    <n v="8"/>
    <n v="5.5"/>
    <s v="Stable"/>
  </r>
  <r>
    <s v="T1469"/>
    <x v="12"/>
    <x v="5"/>
    <x v="2"/>
    <x v="2"/>
    <s v="Apr"/>
    <x v="0"/>
    <x v="1355"/>
    <n v="26.9"/>
    <x v="1"/>
    <n v="3.9"/>
    <x v="48"/>
    <n v="180"/>
    <x v="2"/>
    <n v="41.1"/>
    <s v="Cybersecurity Analyst"/>
    <n v="-35.299999999999997"/>
    <n v="-13.1"/>
    <x v="97"/>
    <n v="2.7"/>
    <n v="4.9000000000000004"/>
    <n v="2.1"/>
    <s v="Recession"/>
  </r>
  <r>
    <s v="T1470"/>
    <x v="16"/>
    <x v="2"/>
    <x v="1"/>
    <x v="3"/>
    <s v="Jan"/>
    <x v="0"/>
    <x v="1356"/>
    <n v="39.200000000000003"/>
    <x v="0"/>
    <n v="7.3"/>
    <x v="5"/>
    <n v="331"/>
    <x v="2"/>
    <n v="26.4"/>
    <s v="Frontend Developer"/>
    <n v="-9.1999999999999993"/>
    <n v="31.2"/>
    <x v="76"/>
    <n v="7.6"/>
    <n v="3.3"/>
    <n v="3.3"/>
    <s v="Recession"/>
  </r>
  <r>
    <s v="T1471"/>
    <x v="1"/>
    <x v="0"/>
    <x v="3"/>
    <x v="3"/>
    <s v="Apr"/>
    <x v="0"/>
    <x v="824"/>
    <n v="16.899999999999999"/>
    <x v="1"/>
    <n v="8.6999999999999993"/>
    <x v="33"/>
    <n v="5628"/>
    <x v="0"/>
    <n v="53.6"/>
    <s v="ML Engineer"/>
    <n v="79"/>
    <n v="7.2"/>
    <x v="235"/>
    <n v="6.4"/>
    <n v="6"/>
    <n v="5.2"/>
    <s v="Stable"/>
  </r>
  <r>
    <s v="T1472"/>
    <x v="2"/>
    <x v="1"/>
    <x v="3"/>
    <x v="3"/>
    <s v="Sep"/>
    <x v="0"/>
    <x v="1357"/>
    <n v="18.600000000000001"/>
    <x v="2"/>
    <n v="5.7"/>
    <x v="5"/>
    <n v="705"/>
    <x v="1"/>
    <n v="20.100000000000001"/>
    <s v="Cybersecurity Analyst"/>
    <n v="46.6"/>
    <n v="9.8000000000000007"/>
    <x v="7"/>
    <n v="5.3"/>
    <n v="7.6"/>
    <n v="5.2"/>
    <s v="Recession"/>
  </r>
  <r>
    <s v="T1473"/>
    <x v="17"/>
    <x v="0"/>
    <x v="1"/>
    <x v="2"/>
    <s v="Mar"/>
    <x v="0"/>
    <x v="1358"/>
    <n v="2.5"/>
    <x v="0"/>
    <n v="10.5"/>
    <x v="86"/>
    <n v="9338"/>
    <x v="3"/>
    <n v="85.4"/>
    <s v="Data Scientist"/>
    <n v="-34.799999999999997"/>
    <n v="50.1"/>
    <x v="98"/>
    <n v="9.8000000000000007"/>
    <n v="6.5"/>
    <n v="7.1"/>
    <s v="Stable"/>
  </r>
  <r>
    <s v="T1474"/>
    <x v="6"/>
    <x v="1"/>
    <x v="5"/>
    <x v="0"/>
    <s v="Jun"/>
    <x v="1"/>
    <x v="1359"/>
    <n v="4.3"/>
    <x v="1"/>
    <n v="5"/>
    <x v="1"/>
    <n v="1127"/>
    <x v="1"/>
    <n v="68.7"/>
    <s v="Frontend Developer"/>
    <n v="-16.600000000000001"/>
    <n v="43.2"/>
    <x v="367"/>
    <n v="5.3"/>
    <n v="7.7"/>
    <n v="7.6"/>
    <s v="Bull Market"/>
  </r>
  <r>
    <s v="T1475"/>
    <x v="2"/>
    <x v="5"/>
    <x v="5"/>
    <x v="2"/>
    <s v="Jun"/>
    <x v="1"/>
    <x v="1360"/>
    <n v="28.1"/>
    <x v="4"/>
    <n v="3.1"/>
    <x v="63"/>
    <n v="1358"/>
    <x v="1"/>
    <n v="52"/>
    <s v="ML Engineer"/>
    <n v="64.099999999999994"/>
    <n v="14.8"/>
    <x v="235"/>
    <n v="5.0999999999999996"/>
    <n v="6.4"/>
    <n v="3.9"/>
    <s v="Recession"/>
  </r>
  <r>
    <s v="T1476"/>
    <x v="12"/>
    <x v="5"/>
    <x v="0"/>
    <x v="1"/>
    <s v="Sep"/>
    <x v="0"/>
    <x v="1361"/>
    <n v="5.6"/>
    <x v="0"/>
    <n v="7"/>
    <x v="54"/>
    <n v="2777"/>
    <x v="0"/>
    <n v="22.8"/>
    <s v="Product Manager"/>
    <n v="10"/>
    <n v="27.7"/>
    <x v="367"/>
    <n v="4.2"/>
    <n v="7.1"/>
    <n v="8.3000000000000007"/>
    <s v="Bull Market"/>
  </r>
  <r>
    <s v="T1477"/>
    <x v="1"/>
    <x v="1"/>
    <x v="0"/>
    <x v="2"/>
    <s v="Jan"/>
    <x v="0"/>
    <x v="239"/>
    <n v="5.9"/>
    <x v="2"/>
    <n v="8.6999999999999993"/>
    <x v="5"/>
    <n v="4254"/>
    <x v="0"/>
    <n v="35"/>
    <s v="ML Engineer"/>
    <n v="80.099999999999994"/>
    <n v="-15.8"/>
    <x v="298"/>
    <n v="9.4"/>
    <n v="6.1"/>
    <n v="5"/>
    <s v="Bull Market"/>
  </r>
  <r>
    <s v="T1478"/>
    <x v="12"/>
    <x v="0"/>
    <x v="0"/>
    <x v="1"/>
    <s v="Aug"/>
    <x v="2"/>
    <x v="1362"/>
    <n v="15.7"/>
    <x v="4"/>
    <n v="6.1"/>
    <x v="83"/>
    <n v="2635"/>
    <x v="0"/>
    <n v="32.299999999999997"/>
    <s v="ML Engineer"/>
    <n v="-20.100000000000001"/>
    <n v="12.1"/>
    <x v="201"/>
    <n v="7.5"/>
    <n v="4.5"/>
    <n v="4.8"/>
    <s v="Stable"/>
  </r>
  <r>
    <s v="T1479"/>
    <x v="1"/>
    <x v="0"/>
    <x v="2"/>
    <x v="0"/>
    <s v="Aug"/>
    <x v="1"/>
    <x v="1363"/>
    <n v="3.5"/>
    <x v="0"/>
    <n v="3.9"/>
    <x v="75"/>
    <n v="9587"/>
    <x v="3"/>
    <n v="68.3"/>
    <s v="ML Engineer"/>
    <n v="28"/>
    <n v="50.7"/>
    <x v="459"/>
    <n v="5.0999999999999996"/>
    <n v="8.6999999999999993"/>
    <n v="7.3"/>
    <s v="Stable"/>
  </r>
  <r>
    <s v="T1480"/>
    <x v="2"/>
    <x v="2"/>
    <x v="3"/>
    <x v="2"/>
    <s v="Oct"/>
    <x v="1"/>
    <x v="1364"/>
    <n v="5.7"/>
    <x v="3"/>
    <n v="6.1"/>
    <x v="22"/>
    <n v="5060"/>
    <x v="0"/>
    <n v="40"/>
    <s v="Software Engineer"/>
    <n v="-29.4"/>
    <n v="-22.8"/>
    <x v="12"/>
    <n v="4.9000000000000004"/>
    <n v="5"/>
    <n v="5.6"/>
    <s v="Bull Market"/>
  </r>
  <r>
    <s v="T1481"/>
    <x v="6"/>
    <x v="2"/>
    <x v="4"/>
    <x v="3"/>
    <s v="Jun"/>
    <x v="1"/>
    <x v="1365"/>
    <n v="7.6"/>
    <x v="0"/>
    <n v="3.6"/>
    <x v="78"/>
    <n v="4035"/>
    <x v="0"/>
    <n v="46.8"/>
    <s v="Frontend Developer"/>
    <n v="68.8"/>
    <n v="12.1"/>
    <x v="96"/>
    <n v="4.3"/>
    <n v="6"/>
    <n v="7"/>
    <s v="Stable"/>
  </r>
  <r>
    <s v="T1482"/>
    <x v="2"/>
    <x v="0"/>
    <x v="3"/>
    <x v="0"/>
    <s v="Jul"/>
    <x v="0"/>
    <x v="1283"/>
    <n v="1.2"/>
    <x v="0"/>
    <n v="2"/>
    <x v="72"/>
    <n v="7890"/>
    <x v="0"/>
    <n v="39.5"/>
    <s v="ML Engineer"/>
    <n v="51.4"/>
    <n v="-12.5"/>
    <x v="281"/>
    <n v="2"/>
    <n v="8.3000000000000007"/>
    <n v="6"/>
    <s v="Bull Market"/>
  </r>
  <r>
    <s v="T1483"/>
    <x v="4"/>
    <x v="0"/>
    <x v="3"/>
    <x v="0"/>
    <s v="Jun"/>
    <x v="1"/>
    <x v="887"/>
    <n v="6.7"/>
    <x v="2"/>
    <n v="4.8"/>
    <x v="20"/>
    <n v="1275"/>
    <x v="1"/>
    <n v="34.200000000000003"/>
    <s v="Data Scientist"/>
    <n v="-14.4"/>
    <n v="-1.9"/>
    <x v="188"/>
    <n v="4.5"/>
    <n v="8.3000000000000007"/>
    <n v="6.4"/>
    <s v="Bull Market"/>
  </r>
  <r>
    <s v="T1484"/>
    <x v="9"/>
    <x v="1"/>
    <x v="0"/>
    <x v="2"/>
    <s v="Sep"/>
    <x v="0"/>
    <x v="1366"/>
    <n v="7"/>
    <x v="2"/>
    <n v="7"/>
    <x v="17"/>
    <n v="5811"/>
    <x v="1"/>
    <n v="86.8"/>
    <s v="Frontend Developer"/>
    <n v="-37.4"/>
    <n v="5.2"/>
    <x v="406"/>
    <n v="4.4000000000000004"/>
    <n v="5.9"/>
    <n v="6.8"/>
    <s v="Stable"/>
  </r>
  <r>
    <s v="T1485"/>
    <x v="1"/>
    <x v="0"/>
    <x v="4"/>
    <x v="2"/>
    <s v="Apr"/>
    <x v="2"/>
    <x v="1367"/>
    <n v="15.4"/>
    <x v="1"/>
    <n v="10.7"/>
    <x v="5"/>
    <n v="9206"/>
    <x v="3"/>
    <n v="56.3"/>
    <s v="Data Scientist"/>
    <n v="-21.3"/>
    <n v="46"/>
    <x v="2"/>
    <n v="8.8000000000000007"/>
    <n v="7.8"/>
    <n v="5.4"/>
    <s v="Recession"/>
  </r>
  <r>
    <s v="T1486"/>
    <x v="12"/>
    <x v="5"/>
    <x v="2"/>
    <x v="3"/>
    <s v="Mar"/>
    <x v="0"/>
    <x v="1368"/>
    <n v="5.3"/>
    <x v="1"/>
    <n v="2"/>
    <x v="55"/>
    <n v="811"/>
    <x v="1"/>
    <n v="26.8"/>
    <s v="Cloud Engineer"/>
    <n v="-28.4"/>
    <n v="44.9"/>
    <x v="216"/>
    <n v="1.9"/>
    <n v="7.6"/>
    <n v="8.9"/>
    <s v="Stable"/>
  </r>
  <r>
    <s v="T1487"/>
    <x v="15"/>
    <x v="2"/>
    <x v="2"/>
    <x v="0"/>
    <s v="Jan"/>
    <x v="1"/>
    <x v="389"/>
    <n v="6.7"/>
    <x v="2"/>
    <n v="3"/>
    <x v="47"/>
    <n v="3857"/>
    <x v="1"/>
    <n v="44.9"/>
    <s v="Software Engineer"/>
    <n v="-33.299999999999997"/>
    <n v="-19.5"/>
    <x v="249"/>
    <n v="2.5"/>
    <n v="5.5"/>
    <n v="5"/>
    <s v="Bull Market"/>
  </r>
  <r>
    <s v="T1488"/>
    <x v="18"/>
    <x v="0"/>
    <x v="2"/>
    <x v="2"/>
    <s v="Aug"/>
    <x v="1"/>
    <x v="895"/>
    <n v="37.299999999999997"/>
    <x v="4"/>
    <n v="14.7"/>
    <x v="5"/>
    <n v="7268"/>
    <x v="1"/>
    <n v="36.799999999999997"/>
    <s v="Data Scientist"/>
    <n v="23.4"/>
    <n v="-17.899999999999999"/>
    <x v="328"/>
    <n v="9"/>
    <n v="3"/>
    <n v="2.4"/>
    <s v="Recession"/>
  </r>
  <r>
    <s v="T1489"/>
    <x v="8"/>
    <x v="4"/>
    <x v="5"/>
    <x v="2"/>
    <s v="Aug"/>
    <x v="1"/>
    <x v="965"/>
    <n v="7.1"/>
    <x v="1"/>
    <n v="11.4"/>
    <x v="49"/>
    <n v="4699"/>
    <x v="0"/>
    <n v="30.1"/>
    <s v="Data Scientist"/>
    <n v="-29.9"/>
    <n v="-10.1"/>
    <x v="252"/>
    <n v="7.8"/>
    <n v="4.9000000000000004"/>
    <n v="6"/>
    <s v="Stable"/>
  </r>
  <r>
    <s v="T1490"/>
    <x v="2"/>
    <x v="1"/>
    <x v="4"/>
    <x v="0"/>
    <s v="Jun"/>
    <x v="1"/>
    <x v="349"/>
    <n v="8.5"/>
    <x v="0"/>
    <n v="3.2"/>
    <x v="32"/>
    <n v="4369"/>
    <x v="1"/>
    <n v="47.1"/>
    <s v="Cybersecurity Analyst"/>
    <n v="-39"/>
    <n v="54.4"/>
    <x v="407"/>
    <n v="3.3"/>
    <n v="7.5"/>
    <n v="7.8"/>
    <s v="Bull Market"/>
  </r>
  <r>
    <s v="T1491"/>
    <x v="8"/>
    <x v="6"/>
    <x v="0"/>
    <x v="3"/>
    <s v="Mar"/>
    <x v="1"/>
    <x v="1061"/>
    <n v="17.8"/>
    <x v="2"/>
    <n v="10.199999999999999"/>
    <x v="5"/>
    <n v="614"/>
    <x v="1"/>
    <n v="53.2"/>
    <s v="Frontend Developer"/>
    <n v="-15.5"/>
    <n v="-4"/>
    <x v="101"/>
    <n v="8.8000000000000007"/>
    <n v="5.8"/>
    <n v="4.5"/>
    <s v="Stable"/>
  </r>
  <r>
    <s v="T1492"/>
    <x v="2"/>
    <x v="2"/>
    <x v="2"/>
    <x v="0"/>
    <s v="Jun"/>
    <x v="2"/>
    <x v="1369"/>
    <n v="6.3"/>
    <x v="0"/>
    <n v="3"/>
    <x v="0"/>
    <n v="4718"/>
    <x v="0"/>
    <n v="41.6"/>
    <s v="DevOps Engineer"/>
    <n v="-35.1"/>
    <n v="18.7"/>
    <x v="77"/>
    <n v="3.1"/>
    <n v="6.4"/>
    <n v="6.1"/>
    <s v="Bull Market"/>
  </r>
  <r>
    <s v="T1493"/>
    <x v="5"/>
    <x v="3"/>
    <x v="0"/>
    <x v="2"/>
    <s v="Sep"/>
    <x v="1"/>
    <x v="1370"/>
    <n v="7.4"/>
    <x v="2"/>
    <n v="1.9"/>
    <x v="40"/>
    <n v="4461"/>
    <x v="0"/>
    <n v="72.7"/>
    <s v="Data Scientist"/>
    <n v="76.5"/>
    <n v="14.5"/>
    <x v="460"/>
    <n v="2.1"/>
    <n v="6.2"/>
    <n v="7.4"/>
    <s v="Stable"/>
  </r>
  <r>
    <s v="T1494"/>
    <x v="18"/>
    <x v="0"/>
    <x v="2"/>
    <x v="1"/>
    <s v="Oct"/>
    <x v="1"/>
    <x v="1371"/>
    <n v="10.3"/>
    <x v="3"/>
    <n v="2.4"/>
    <x v="7"/>
    <n v="9651"/>
    <x v="3"/>
    <n v="29.3"/>
    <s v="ML Engineer"/>
    <n v="81"/>
    <n v="-6.9"/>
    <x v="113"/>
    <n v="3.9"/>
    <n v="6"/>
    <n v="5.2"/>
    <s v="Recession"/>
  </r>
  <r>
    <s v="T1495"/>
    <x v="6"/>
    <x v="1"/>
    <x v="4"/>
    <x v="2"/>
    <s v="May"/>
    <x v="1"/>
    <x v="1372"/>
    <n v="3.1"/>
    <x v="1"/>
    <n v="6"/>
    <x v="34"/>
    <n v="2413"/>
    <x v="0"/>
    <n v="85.5"/>
    <s v="ML Engineer"/>
    <n v="40.1"/>
    <n v="-2.5"/>
    <x v="167"/>
    <n v="4"/>
    <n v="7.5"/>
    <n v="7"/>
    <s v="Bull Market"/>
  </r>
  <r>
    <s v="T1496"/>
    <x v="7"/>
    <x v="4"/>
    <x v="2"/>
    <x v="1"/>
    <s v="Sep"/>
    <x v="1"/>
    <x v="1373"/>
    <n v="10.9"/>
    <x v="0"/>
    <n v="14.4"/>
    <x v="5"/>
    <n v="1350"/>
    <x v="1"/>
    <n v="63.7"/>
    <s v="Product Manager"/>
    <n v="73.5"/>
    <n v="28.6"/>
    <x v="200"/>
    <n v="9.1"/>
    <n v="8.6999999999999993"/>
    <n v="5.0999999999999996"/>
    <s v="Stable"/>
  </r>
  <r>
    <s v="T1497"/>
    <x v="17"/>
    <x v="0"/>
    <x v="2"/>
    <x v="0"/>
    <s v="Jul"/>
    <x v="2"/>
    <x v="1374"/>
    <n v="8.6999999999999993"/>
    <x v="1"/>
    <n v="9.8000000000000007"/>
    <x v="5"/>
    <n v="4610"/>
    <x v="0"/>
    <n v="77.3"/>
    <s v="ML Engineer"/>
    <n v="80.900000000000006"/>
    <n v="22.6"/>
    <x v="225"/>
    <n v="10"/>
    <n v="8.6"/>
    <n v="6.5"/>
    <s v="Stable"/>
  </r>
  <r>
    <s v="T1498"/>
    <x v="2"/>
    <x v="2"/>
    <x v="1"/>
    <x v="3"/>
    <s v="Feb"/>
    <x v="0"/>
    <x v="1375"/>
    <n v="39.6"/>
    <x v="2"/>
    <n v="7.5"/>
    <x v="5"/>
    <n v="1309"/>
    <x v="1"/>
    <n v="10.6"/>
    <s v="Cloud Engineer"/>
    <n v="70.3"/>
    <n v="26.4"/>
    <x v="4"/>
    <n v="9.5"/>
    <n v="2.9"/>
    <n v="3.1"/>
    <s v="Recession"/>
  </r>
  <r>
    <s v="T1499"/>
    <x v="16"/>
    <x v="2"/>
    <x v="4"/>
    <x v="2"/>
    <s v="Apr"/>
    <x v="2"/>
    <x v="1376"/>
    <n v="6.6"/>
    <x v="1"/>
    <n v="3.6"/>
    <x v="67"/>
    <n v="3925"/>
    <x v="0"/>
    <n v="21.3"/>
    <s v="DevOps Engineer"/>
    <n v="78.599999999999994"/>
    <n v="54.3"/>
    <x v="253"/>
    <n v="4.8"/>
    <n v="9.1999999999999993"/>
    <n v="6.4"/>
    <s v="Bull Market"/>
  </r>
  <r>
    <s v="T1500"/>
    <x v="5"/>
    <x v="3"/>
    <x v="3"/>
    <x v="3"/>
    <s v="Jun"/>
    <x v="2"/>
    <x v="1377"/>
    <n v="26.9"/>
    <x v="4"/>
    <n v="2.8"/>
    <x v="17"/>
    <n v="320"/>
    <x v="2"/>
    <n v="86.4"/>
    <s v="Data Scientist"/>
    <n v="49.6"/>
    <n v="46.4"/>
    <x v="368"/>
    <n v="3"/>
    <n v="4.7"/>
    <n v="5.7"/>
    <s v="Recession"/>
  </r>
  <r>
    <s v="T1501"/>
    <x v="19"/>
    <x v="0"/>
    <x v="3"/>
    <x v="3"/>
    <s v="Apr"/>
    <x v="0"/>
    <x v="1378"/>
    <n v="29"/>
    <x v="3"/>
    <n v="6.5"/>
    <x v="7"/>
    <n v="6694"/>
    <x v="1"/>
    <n v="78.3"/>
    <s v="ML Engineer"/>
    <n v="40.4"/>
    <n v="0.3"/>
    <x v="294"/>
    <n v="4.5"/>
    <n v="5.8"/>
    <n v="3.9"/>
    <s v="Recession"/>
  </r>
  <r>
    <s v="T1502"/>
    <x v="11"/>
    <x v="6"/>
    <x v="4"/>
    <x v="2"/>
    <s v="Apr"/>
    <x v="1"/>
    <x v="1379"/>
    <n v="22.7"/>
    <x v="0"/>
    <n v="7.2"/>
    <x v="5"/>
    <n v="1931"/>
    <x v="1"/>
    <n v="33.4"/>
    <s v="ML Engineer"/>
    <n v="-43.8"/>
    <n v="59.5"/>
    <x v="290"/>
    <n v="8.1"/>
    <n v="8.3000000000000007"/>
    <n v="6.2"/>
    <s v="Recession"/>
  </r>
  <r>
    <s v="T1503"/>
    <x v="3"/>
    <x v="1"/>
    <x v="0"/>
    <x v="0"/>
    <s v="Feb"/>
    <x v="0"/>
    <x v="1380"/>
    <n v="16.7"/>
    <x v="0"/>
    <n v="5.2"/>
    <x v="85"/>
    <n v="89"/>
    <x v="2"/>
    <n v="37.4"/>
    <s v="Frontend Developer"/>
    <n v="-25.2"/>
    <n v="34.6"/>
    <x v="60"/>
    <n v="3.1"/>
    <n v="8.1"/>
    <n v="6"/>
    <s v="Recession"/>
  </r>
  <r>
    <s v="T1504"/>
    <x v="2"/>
    <x v="3"/>
    <x v="3"/>
    <x v="1"/>
    <s v="Nov"/>
    <x v="1"/>
    <x v="1381"/>
    <n v="37.799999999999997"/>
    <x v="4"/>
    <n v="4"/>
    <x v="5"/>
    <n v="1168"/>
    <x v="2"/>
    <n v="51.1"/>
    <s v="Cybersecurity Analyst"/>
    <n v="23.1"/>
    <n v="-6.1"/>
    <x v="460"/>
    <n v="5.3"/>
    <n v="4.2"/>
    <n v="1.5"/>
    <s v="Recession"/>
  </r>
  <r>
    <s v="T1505"/>
    <x v="6"/>
    <x v="2"/>
    <x v="1"/>
    <x v="3"/>
    <s v="Aug"/>
    <x v="2"/>
    <x v="1382"/>
    <n v="14.4"/>
    <x v="0"/>
    <n v="1.8"/>
    <x v="64"/>
    <n v="5967"/>
    <x v="1"/>
    <n v="71.3"/>
    <s v="Cybersecurity Analyst"/>
    <n v="73"/>
    <n v="48.3"/>
    <x v="33"/>
    <n v="1.8"/>
    <n v="5.7"/>
    <n v="6.5"/>
    <s v="Stable"/>
  </r>
  <r>
    <s v="T1506"/>
    <x v="6"/>
    <x v="2"/>
    <x v="1"/>
    <x v="0"/>
    <s v="Jul"/>
    <x v="2"/>
    <x v="1383"/>
    <n v="8.6999999999999993"/>
    <x v="4"/>
    <n v="10.7"/>
    <x v="5"/>
    <n v="1981"/>
    <x v="1"/>
    <n v="51.5"/>
    <s v="Product Manager"/>
    <n v="-7.8"/>
    <n v="-20.6"/>
    <x v="375"/>
    <n v="6.3"/>
    <n v="5.9"/>
    <n v="4.5999999999999996"/>
    <s v="Recession"/>
  </r>
  <r>
    <s v="T1507"/>
    <x v="7"/>
    <x v="4"/>
    <x v="0"/>
    <x v="0"/>
    <s v="Sep"/>
    <x v="2"/>
    <x v="1384"/>
    <n v="8.1999999999999993"/>
    <x v="3"/>
    <n v="2.9"/>
    <x v="6"/>
    <n v="1039"/>
    <x v="1"/>
    <n v="42.3"/>
    <s v="Data Scientist"/>
    <n v="-43"/>
    <n v="24.2"/>
    <x v="305"/>
    <n v="2.2000000000000002"/>
    <n v="8.5"/>
    <n v="8.1"/>
    <s v="Stable"/>
  </r>
  <r>
    <s v="T1508"/>
    <x v="1"/>
    <x v="4"/>
    <x v="5"/>
    <x v="3"/>
    <s v="Dec"/>
    <x v="2"/>
    <x v="1385"/>
    <n v="7.4"/>
    <x v="4"/>
    <n v="2.9"/>
    <x v="56"/>
    <n v="2745"/>
    <x v="1"/>
    <n v="28.5"/>
    <s v="DevOps Engineer"/>
    <n v="-19.600000000000001"/>
    <n v="48.6"/>
    <x v="194"/>
    <n v="4.0999999999999996"/>
    <n v="9.1"/>
    <n v="8.4"/>
    <s v="Bull Market"/>
  </r>
  <r>
    <s v="T1509"/>
    <x v="2"/>
    <x v="3"/>
    <x v="3"/>
    <x v="2"/>
    <s v="Nov"/>
    <x v="1"/>
    <x v="1386"/>
    <n v="1.2"/>
    <x v="3"/>
    <n v="3.6"/>
    <x v="6"/>
    <n v="373"/>
    <x v="1"/>
    <n v="25.1"/>
    <s v="Frontend Developer"/>
    <n v="35.200000000000003"/>
    <n v="21.2"/>
    <x v="83"/>
    <n v="2.7"/>
    <n v="6.6"/>
    <n v="8.5"/>
    <s v="Bull Market"/>
  </r>
  <r>
    <s v="T1510"/>
    <x v="18"/>
    <x v="0"/>
    <x v="2"/>
    <x v="1"/>
    <s v="Oct"/>
    <x v="2"/>
    <x v="1387"/>
    <n v="5.3"/>
    <x v="3"/>
    <n v="3.3"/>
    <x v="0"/>
    <n v="2597"/>
    <x v="0"/>
    <n v="40.1"/>
    <s v="Data Scientist"/>
    <n v="67.599999999999994"/>
    <n v="31.9"/>
    <x v="271"/>
    <n v="3.9"/>
    <n v="7.8"/>
    <n v="8"/>
    <s v="Bull Market"/>
  </r>
  <r>
    <s v="T1511"/>
    <x v="0"/>
    <x v="2"/>
    <x v="4"/>
    <x v="2"/>
    <s v="Mar"/>
    <x v="1"/>
    <x v="1388"/>
    <n v="27.3"/>
    <x v="2"/>
    <n v="3.3"/>
    <x v="25"/>
    <n v="1832"/>
    <x v="1"/>
    <n v="33.9"/>
    <s v="Software Engineer"/>
    <n v="10.3"/>
    <n v="-22.4"/>
    <x v="92"/>
    <n v="3"/>
    <n v="5.7"/>
    <n v="2.7"/>
    <s v="Recession"/>
  </r>
  <r>
    <s v="T1512"/>
    <x v="0"/>
    <x v="5"/>
    <x v="5"/>
    <x v="0"/>
    <s v="Jul"/>
    <x v="2"/>
    <x v="1389"/>
    <n v="0.1"/>
    <x v="1"/>
    <n v="5.2"/>
    <x v="24"/>
    <n v="208"/>
    <x v="0"/>
    <n v="33.299999999999997"/>
    <s v="Product Manager"/>
    <n v="-7.4"/>
    <n v="-15.8"/>
    <x v="332"/>
    <n v="4.0999999999999996"/>
    <n v="7.7"/>
    <n v="6.1"/>
    <s v="Bull Market"/>
  </r>
  <r>
    <s v="T1513"/>
    <x v="1"/>
    <x v="0"/>
    <x v="1"/>
    <x v="0"/>
    <s v="Nov"/>
    <x v="1"/>
    <x v="1390"/>
    <n v="5.0999999999999996"/>
    <x v="2"/>
    <n v="11"/>
    <x v="28"/>
    <n v="9690"/>
    <x v="3"/>
    <n v="57.4"/>
    <s v="Data Scientist"/>
    <n v="-37.4"/>
    <n v="-0.9"/>
    <x v="86"/>
    <n v="7.7"/>
    <n v="5.9"/>
    <n v="6.3"/>
    <s v="Stable"/>
  </r>
  <r>
    <s v="T1514"/>
    <x v="2"/>
    <x v="1"/>
    <x v="2"/>
    <x v="2"/>
    <s v="Nov"/>
    <x v="1"/>
    <x v="1391"/>
    <n v="39.799999999999997"/>
    <x v="2"/>
    <n v="1.7"/>
    <x v="5"/>
    <n v="1964"/>
    <x v="2"/>
    <n v="55.5"/>
    <s v="Data Scientist"/>
    <n v="32"/>
    <n v="-7.7"/>
    <x v="84"/>
    <n v="1.9"/>
    <n v="2.2999999999999998"/>
    <n v="2.2999999999999998"/>
    <s v="Recession"/>
  </r>
  <r>
    <s v="T1515"/>
    <x v="15"/>
    <x v="2"/>
    <x v="3"/>
    <x v="2"/>
    <s v="Dec"/>
    <x v="2"/>
    <x v="1392"/>
    <n v="6.1"/>
    <x v="3"/>
    <n v="8.3000000000000007"/>
    <x v="65"/>
    <n v="659"/>
    <x v="1"/>
    <n v="81.599999999999994"/>
    <s v="Software Engineer"/>
    <n v="7.9"/>
    <n v="-4.4000000000000004"/>
    <x v="106"/>
    <n v="5.9"/>
    <n v="8.1999999999999993"/>
    <n v="5"/>
    <s v="Stable"/>
  </r>
  <r>
    <s v="T1516"/>
    <x v="2"/>
    <x v="0"/>
    <x v="4"/>
    <x v="1"/>
    <s v="Jun"/>
    <x v="2"/>
    <x v="1393"/>
    <n v="25.6"/>
    <x v="1"/>
    <n v="7.7"/>
    <x v="5"/>
    <n v="2684"/>
    <x v="2"/>
    <n v="45.6"/>
    <s v="ML Engineer"/>
    <n v="80.3"/>
    <n v="-1.6"/>
    <x v="101"/>
    <n v="5.0999999999999996"/>
    <n v="6.5"/>
    <n v="3.5"/>
    <s v="Recession"/>
  </r>
  <r>
    <s v="T1517"/>
    <x v="19"/>
    <x v="0"/>
    <x v="1"/>
    <x v="2"/>
    <s v="Jul"/>
    <x v="0"/>
    <x v="1031"/>
    <n v="4.5"/>
    <x v="1"/>
    <n v="14.2"/>
    <x v="5"/>
    <n v="5447"/>
    <x v="3"/>
    <n v="63.4"/>
    <s v="Data Scientist"/>
    <n v="89"/>
    <n v="35.4"/>
    <x v="164"/>
    <n v="9.4"/>
    <n v="6.4"/>
    <n v="7.1"/>
    <s v="Bull Market"/>
  </r>
  <r>
    <s v="T1518"/>
    <x v="1"/>
    <x v="4"/>
    <x v="0"/>
    <x v="1"/>
    <s v="Jan"/>
    <x v="0"/>
    <x v="1394"/>
    <n v="34.200000000000003"/>
    <x v="1"/>
    <n v="8.1"/>
    <x v="5"/>
    <n v="1394"/>
    <x v="2"/>
    <n v="35"/>
    <s v="Cybersecurity Analyst"/>
    <n v="35.6"/>
    <n v="-23"/>
    <x v="58"/>
    <n v="7.9"/>
    <n v="3"/>
    <n v="1.5"/>
    <s v="Recession"/>
  </r>
  <r>
    <s v="T1519"/>
    <x v="9"/>
    <x v="0"/>
    <x v="5"/>
    <x v="1"/>
    <s v="Feb"/>
    <x v="0"/>
    <x v="1395"/>
    <n v="5.6"/>
    <x v="1"/>
    <n v="1.5"/>
    <x v="85"/>
    <n v="4905"/>
    <x v="0"/>
    <n v="75.599999999999994"/>
    <s v="Data Scientist"/>
    <n v="32.299999999999997"/>
    <n v="39"/>
    <x v="433"/>
    <n v="2.4"/>
    <n v="6.2"/>
    <n v="8.5"/>
    <s v="Bull Market"/>
  </r>
  <r>
    <s v="T1520"/>
    <x v="1"/>
    <x v="1"/>
    <x v="0"/>
    <x v="0"/>
    <s v="Nov"/>
    <x v="2"/>
    <x v="1148"/>
    <n v="5.5"/>
    <x v="2"/>
    <n v="4.5"/>
    <x v="54"/>
    <n v="3318"/>
    <x v="1"/>
    <n v="15.9"/>
    <s v="DevOps Engineer"/>
    <n v="23.2"/>
    <n v="-3.7"/>
    <x v="9"/>
    <n v="5"/>
    <n v="7"/>
    <n v="6.4"/>
    <s v="Bull Market"/>
  </r>
  <r>
    <s v="T1521"/>
    <x v="2"/>
    <x v="1"/>
    <x v="5"/>
    <x v="0"/>
    <s v="Jul"/>
    <x v="2"/>
    <x v="1396"/>
    <n v="22.4"/>
    <x v="4"/>
    <n v="9.6999999999999993"/>
    <x v="5"/>
    <n v="700"/>
    <x v="1"/>
    <n v="58.2"/>
    <s v="Cloud Engineer"/>
    <n v="15.7"/>
    <n v="-17.3"/>
    <x v="461"/>
    <n v="7.9"/>
    <n v="5.8"/>
    <n v="2.2999999999999998"/>
    <s v="Recession"/>
  </r>
  <r>
    <s v="T1522"/>
    <x v="2"/>
    <x v="0"/>
    <x v="1"/>
    <x v="1"/>
    <s v="Feb"/>
    <x v="0"/>
    <x v="1397"/>
    <n v="32.799999999999997"/>
    <x v="3"/>
    <n v="8.6999999999999993"/>
    <x v="5"/>
    <n v="9875"/>
    <x v="0"/>
    <n v="51.6"/>
    <s v="ML Engineer"/>
    <n v="38.5"/>
    <n v="54.4"/>
    <x v="62"/>
    <n v="9.4"/>
    <n v="6.9"/>
    <n v="4.7"/>
    <s v="Recession"/>
  </r>
  <r>
    <s v="T1523"/>
    <x v="12"/>
    <x v="5"/>
    <x v="4"/>
    <x v="0"/>
    <s v="Jun"/>
    <x v="2"/>
    <x v="1398"/>
    <n v="12.2"/>
    <x v="3"/>
    <n v="6.4"/>
    <x v="10"/>
    <n v="1346"/>
    <x v="1"/>
    <n v="42.1"/>
    <s v="DevOps Engineer"/>
    <n v="-10.7"/>
    <n v="54.6"/>
    <x v="103"/>
    <n v="3.8"/>
    <n v="8.3000000000000007"/>
    <n v="7.7"/>
    <s v="Recession"/>
  </r>
  <r>
    <s v="T1524"/>
    <x v="6"/>
    <x v="1"/>
    <x v="0"/>
    <x v="0"/>
    <s v="Nov"/>
    <x v="2"/>
    <x v="1399"/>
    <n v="38.799999999999997"/>
    <x v="0"/>
    <n v="7.5"/>
    <x v="5"/>
    <n v="307"/>
    <x v="2"/>
    <n v="12.2"/>
    <s v="Frontend Developer"/>
    <n v="57.9"/>
    <n v="40.6"/>
    <x v="434"/>
    <n v="9"/>
    <n v="5.2"/>
    <n v="2.9"/>
    <s v="Recession"/>
  </r>
  <r>
    <s v="T1525"/>
    <x v="4"/>
    <x v="1"/>
    <x v="5"/>
    <x v="1"/>
    <s v="May"/>
    <x v="1"/>
    <x v="1400"/>
    <n v="1.6"/>
    <x v="1"/>
    <n v="3.3"/>
    <x v="46"/>
    <n v="5115"/>
    <x v="0"/>
    <n v="20.3"/>
    <s v="Cloud Engineer"/>
    <n v="-6.8"/>
    <n v="54"/>
    <x v="251"/>
    <n v="3.3"/>
    <n v="7"/>
    <n v="7.7"/>
    <s v="Stable"/>
  </r>
  <r>
    <s v="T1526"/>
    <x v="17"/>
    <x v="0"/>
    <x v="3"/>
    <x v="0"/>
    <s v="Jul"/>
    <x v="0"/>
    <x v="1401"/>
    <n v="9"/>
    <x v="3"/>
    <n v="9.1999999999999993"/>
    <x v="49"/>
    <n v="6134"/>
    <x v="0"/>
    <n v="14.1"/>
    <s v="Data Scientist"/>
    <n v="36.9"/>
    <n v="43.6"/>
    <x v="462"/>
    <n v="6.7"/>
    <n v="5.6"/>
    <n v="5.6"/>
    <s v="Bull Market"/>
  </r>
  <r>
    <s v="T1527"/>
    <x v="17"/>
    <x v="3"/>
    <x v="2"/>
    <x v="2"/>
    <s v="Nov"/>
    <x v="0"/>
    <x v="1402"/>
    <n v="6.2"/>
    <x v="1"/>
    <n v="3"/>
    <x v="12"/>
    <n v="1924"/>
    <x v="1"/>
    <n v="44.7"/>
    <s v="DevOps Engineer"/>
    <n v="-15.2"/>
    <n v="-4.5999999999999996"/>
    <x v="373"/>
    <n v="3.2"/>
    <n v="5.2"/>
    <n v="6.8"/>
    <s v="Stable"/>
  </r>
  <r>
    <s v="T1528"/>
    <x v="1"/>
    <x v="0"/>
    <x v="3"/>
    <x v="1"/>
    <s v="Jan"/>
    <x v="1"/>
    <x v="1403"/>
    <n v="38.700000000000003"/>
    <x v="3"/>
    <n v="4.8"/>
    <x v="5"/>
    <n v="5886"/>
    <x v="2"/>
    <n v="75.2"/>
    <s v="ML Engineer"/>
    <n v="-1.8"/>
    <n v="13.2"/>
    <x v="24"/>
    <n v="4"/>
    <n v="5.5"/>
    <n v="2.2000000000000002"/>
    <s v="Recession"/>
  </r>
  <r>
    <s v="T1529"/>
    <x v="2"/>
    <x v="2"/>
    <x v="5"/>
    <x v="0"/>
    <s v="Sep"/>
    <x v="0"/>
    <x v="1404"/>
    <n v="26"/>
    <x v="2"/>
    <n v="6.8"/>
    <x v="5"/>
    <n v="853"/>
    <x v="2"/>
    <n v="20.7"/>
    <s v="Software Engineer"/>
    <n v="34.700000000000003"/>
    <n v="-14.6"/>
    <x v="148"/>
    <n v="5.6"/>
    <n v="5.8"/>
    <n v="2.6"/>
    <s v="Recession"/>
  </r>
  <r>
    <s v="T1530"/>
    <x v="0"/>
    <x v="0"/>
    <x v="1"/>
    <x v="3"/>
    <s v="Jul"/>
    <x v="2"/>
    <x v="1405"/>
    <n v="16.2"/>
    <x v="4"/>
    <n v="4.5999999999999996"/>
    <x v="47"/>
    <n v="2751"/>
    <x v="1"/>
    <n v="78.7"/>
    <s v="Data Scientist"/>
    <n v="-11.8"/>
    <n v="36.1"/>
    <x v="257"/>
    <n v="3.2"/>
    <n v="7.8"/>
    <n v="6.7"/>
    <s v="Recession"/>
  </r>
  <r>
    <s v="T1531"/>
    <x v="0"/>
    <x v="0"/>
    <x v="5"/>
    <x v="2"/>
    <s v="Sep"/>
    <x v="2"/>
    <x v="1406"/>
    <n v="4.5"/>
    <x v="2"/>
    <n v="5.6"/>
    <x v="46"/>
    <n v="4805"/>
    <x v="0"/>
    <n v="62.3"/>
    <s v="Data Scientist"/>
    <n v="42.8"/>
    <n v="58.5"/>
    <x v="462"/>
    <n v="3.9"/>
    <n v="6.8"/>
    <n v="7.6"/>
    <s v="Bull Market"/>
  </r>
  <r>
    <s v="T1532"/>
    <x v="9"/>
    <x v="1"/>
    <x v="2"/>
    <x v="1"/>
    <s v="Aug"/>
    <x v="2"/>
    <x v="1407"/>
    <n v="1.9"/>
    <x v="2"/>
    <n v="6.3"/>
    <x v="88"/>
    <n v="3884"/>
    <x v="0"/>
    <n v="76"/>
    <s v="DevOps Engineer"/>
    <n v="81.400000000000006"/>
    <n v="0.4"/>
    <x v="252"/>
    <n v="5.5"/>
    <n v="8.3000000000000007"/>
    <n v="6.5"/>
    <s v="Stable"/>
  </r>
  <r>
    <s v="T1533"/>
    <x v="12"/>
    <x v="0"/>
    <x v="0"/>
    <x v="1"/>
    <s v="Jun"/>
    <x v="1"/>
    <x v="1408"/>
    <n v="7"/>
    <x v="2"/>
    <n v="16.5"/>
    <x v="5"/>
    <n v="7724"/>
    <x v="3"/>
    <n v="75.7"/>
    <s v="ML Engineer"/>
    <n v="10.7"/>
    <n v="57.1"/>
    <x v="449"/>
    <n v="10"/>
    <n v="7.8"/>
    <n v="6.6"/>
    <s v="Bull Market"/>
  </r>
  <r>
    <s v="T1534"/>
    <x v="8"/>
    <x v="6"/>
    <x v="4"/>
    <x v="0"/>
    <s v="Jul"/>
    <x v="1"/>
    <x v="1409"/>
    <n v="8.4"/>
    <x v="3"/>
    <n v="5.9"/>
    <x v="31"/>
    <n v="1727"/>
    <x v="1"/>
    <n v="15.7"/>
    <s v="Product Manager"/>
    <n v="-16.399999999999999"/>
    <n v="-1.1000000000000001"/>
    <x v="441"/>
    <n v="5.6"/>
    <n v="8.1999999999999993"/>
    <n v="6.4"/>
    <s v="Recession"/>
  </r>
  <r>
    <s v="T1535"/>
    <x v="6"/>
    <x v="2"/>
    <x v="5"/>
    <x v="2"/>
    <s v="May"/>
    <x v="2"/>
    <x v="1410"/>
    <n v="15.8"/>
    <x v="4"/>
    <n v="4.8"/>
    <x v="23"/>
    <n v="4548"/>
    <x v="1"/>
    <n v="64.7"/>
    <s v="Product Manager"/>
    <n v="-39.4"/>
    <n v="0.7"/>
    <x v="302"/>
    <n v="3.2"/>
    <n v="5.0999999999999996"/>
    <n v="5.8"/>
    <s v="Stable"/>
  </r>
  <r>
    <s v="T1536"/>
    <x v="0"/>
    <x v="5"/>
    <x v="1"/>
    <x v="2"/>
    <s v="Apr"/>
    <x v="1"/>
    <x v="1411"/>
    <n v="17.899999999999999"/>
    <x v="2"/>
    <n v="3.8"/>
    <x v="45"/>
    <n v="1332"/>
    <x v="1"/>
    <n v="29.8"/>
    <s v="Cloud Engineer"/>
    <n v="-17.2"/>
    <n v="10.1"/>
    <x v="16"/>
    <n v="2.8"/>
    <n v="6.5"/>
    <n v="5.6"/>
    <s v="Recession"/>
  </r>
  <r>
    <s v="T1537"/>
    <x v="1"/>
    <x v="4"/>
    <x v="5"/>
    <x v="1"/>
    <s v="Nov"/>
    <x v="0"/>
    <x v="1412"/>
    <n v="16.8"/>
    <x v="3"/>
    <n v="6"/>
    <x v="5"/>
    <n v="2728"/>
    <x v="1"/>
    <n v="61.1"/>
    <s v="ML Engineer"/>
    <n v="2.1"/>
    <n v="2.1"/>
    <x v="1"/>
    <n v="4.7"/>
    <n v="4.8"/>
    <n v="5.0999999999999996"/>
    <s v="Stable"/>
  </r>
  <r>
    <s v="T1538"/>
    <x v="17"/>
    <x v="3"/>
    <x v="5"/>
    <x v="0"/>
    <s v="Apr"/>
    <x v="0"/>
    <x v="1413"/>
    <n v="22.3"/>
    <x v="0"/>
    <n v="2.6"/>
    <x v="9"/>
    <n v="1614"/>
    <x v="2"/>
    <n v="21"/>
    <s v="DevOps Engineer"/>
    <n v="-41.7"/>
    <n v="22.6"/>
    <x v="85"/>
    <n v="2"/>
    <n v="4.2"/>
    <n v="4"/>
    <s v="Recession"/>
  </r>
  <r>
    <s v="T1539"/>
    <x v="0"/>
    <x v="1"/>
    <x v="3"/>
    <x v="2"/>
    <s v="Aug"/>
    <x v="2"/>
    <x v="1414"/>
    <n v="7.1"/>
    <x v="0"/>
    <n v="1.8"/>
    <x v="76"/>
    <n v="4851"/>
    <x v="0"/>
    <n v="11.4"/>
    <s v="ML Engineer"/>
    <n v="21.8"/>
    <n v="-7.1"/>
    <x v="16"/>
    <n v="2.5"/>
    <n v="5.4"/>
    <n v="6.8"/>
    <s v="Bull Market"/>
  </r>
  <r>
    <s v="T1540"/>
    <x v="16"/>
    <x v="2"/>
    <x v="0"/>
    <x v="1"/>
    <s v="Jul"/>
    <x v="2"/>
    <x v="1415"/>
    <n v="0.8"/>
    <x v="0"/>
    <n v="10"/>
    <x v="5"/>
    <n v="1381"/>
    <x v="0"/>
    <n v="11.3"/>
    <s v="Software Engineer"/>
    <n v="-1.5"/>
    <n v="19.3"/>
    <x v="335"/>
    <n v="9"/>
    <n v="7.1"/>
    <n v="6.8"/>
    <s v="Bull Market"/>
  </r>
  <r>
    <s v="T1541"/>
    <x v="7"/>
    <x v="4"/>
    <x v="3"/>
    <x v="0"/>
    <s v="Jul"/>
    <x v="0"/>
    <x v="711"/>
    <n v="11.1"/>
    <x v="3"/>
    <n v="3.6"/>
    <x v="17"/>
    <n v="4459"/>
    <x v="1"/>
    <n v="30.2"/>
    <s v="ML Engineer"/>
    <n v="57.7"/>
    <n v="3.5"/>
    <x v="272"/>
    <n v="4.5999999999999996"/>
    <n v="8"/>
    <n v="4.7"/>
    <s v="Stable"/>
  </r>
  <r>
    <s v="T1542"/>
    <x v="6"/>
    <x v="1"/>
    <x v="3"/>
    <x v="3"/>
    <s v="Jun"/>
    <x v="0"/>
    <x v="1416"/>
    <n v="5.6"/>
    <x v="2"/>
    <n v="6.8"/>
    <x v="5"/>
    <n v="5384"/>
    <x v="0"/>
    <n v="67.900000000000006"/>
    <s v="Software Engineer"/>
    <n v="72.8"/>
    <n v="38.1"/>
    <x v="463"/>
    <n v="9.6"/>
    <n v="8.5"/>
    <n v="7.1"/>
    <s v="Bull Market"/>
  </r>
  <r>
    <s v="T1543"/>
    <x v="2"/>
    <x v="3"/>
    <x v="5"/>
    <x v="3"/>
    <s v="Jan"/>
    <x v="1"/>
    <x v="1417"/>
    <n v="7.7"/>
    <x v="3"/>
    <n v="8.6999999999999993"/>
    <x v="65"/>
    <n v="1237"/>
    <x v="0"/>
    <n v="22.4"/>
    <s v="Product Manager"/>
    <n v="-12.5"/>
    <n v="56.3"/>
    <x v="425"/>
    <n v="5.7"/>
    <n v="7.8"/>
    <n v="7"/>
    <s v="Bull Market"/>
  </r>
  <r>
    <s v="T1544"/>
    <x v="8"/>
    <x v="4"/>
    <x v="1"/>
    <x v="1"/>
    <s v="Sep"/>
    <x v="0"/>
    <x v="1418"/>
    <n v="28.4"/>
    <x v="1"/>
    <n v="4.4000000000000004"/>
    <x v="52"/>
    <n v="1963"/>
    <x v="2"/>
    <n v="40.9"/>
    <s v="Frontend Developer"/>
    <n v="71.7"/>
    <n v="59.9"/>
    <x v="266"/>
    <n v="2.8"/>
    <n v="8.4"/>
    <n v="5.5"/>
    <s v="Recession"/>
  </r>
  <r>
    <s v="T1545"/>
    <x v="6"/>
    <x v="1"/>
    <x v="2"/>
    <x v="1"/>
    <s v="Dec"/>
    <x v="2"/>
    <x v="1419"/>
    <n v="16.100000000000001"/>
    <x v="4"/>
    <n v="4.4000000000000004"/>
    <x v="5"/>
    <n v="5213"/>
    <x v="1"/>
    <n v="83.9"/>
    <s v="ML Engineer"/>
    <n v="57"/>
    <n v="2.2000000000000002"/>
    <x v="31"/>
    <n v="7.1"/>
    <n v="7.6"/>
    <n v="4.4000000000000004"/>
    <s v="Stable"/>
  </r>
  <r>
    <s v="T1546"/>
    <x v="16"/>
    <x v="2"/>
    <x v="0"/>
    <x v="2"/>
    <s v="Oct"/>
    <x v="2"/>
    <x v="1420"/>
    <n v="21.1"/>
    <x v="3"/>
    <n v="11.6"/>
    <x v="50"/>
    <n v="373"/>
    <x v="2"/>
    <n v="34.700000000000003"/>
    <s v="Cloud Engineer"/>
    <n v="-43.2"/>
    <n v="5"/>
    <x v="58"/>
    <n v="7.5"/>
    <n v="3.7"/>
    <n v="4.2"/>
    <s v="Recession"/>
  </r>
  <r>
    <s v="T1547"/>
    <x v="4"/>
    <x v="0"/>
    <x v="5"/>
    <x v="1"/>
    <s v="Apr"/>
    <x v="2"/>
    <x v="1421"/>
    <n v="39.4"/>
    <x v="3"/>
    <n v="14.7"/>
    <x v="5"/>
    <n v="6285"/>
    <x v="0"/>
    <n v="76.8"/>
    <s v="ML Engineer"/>
    <n v="54.9"/>
    <n v="-23.3"/>
    <x v="199"/>
    <n v="9.9"/>
    <n v="2.8"/>
    <n v="2.2000000000000002"/>
    <s v="Recession"/>
  </r>
  <r>
    <s v="T1548"/>
    <x v="1"/>
    <x v="4"/>
    <x v="3"/>
    <x v="0"/>
    <s v="Nov"/>
    <x v="1"/>
    <x v="1422"/>
    <n v="39.299999999999997"/>
    <x v="4"/>
    <n v="3.8"/>
    <x v="5"/>
    <n v="491"/>
    <x v="2"/>
    <n v="29.1"/>
    <s v="ML Engineer"/>
    <n v="16.2"/>
    <n v="48.9"/>
    <x v="231"/>
    <n v="2.5"/>
    <n v="3.3"/>
    <n v="4"/>
    <s v="Recession"/>
  </r>
  <r>
    <s v="T1549"/>
    <x v="2"/>
    <x v="5"/>
    <x v="5"/>
    <x v="3"/>
    <s v="Jan"/>
    <x v="1"/>
    <x v="1423"/>
    <n v="1.6"/>
    <x v="2"/>
    <n v="2.8"/>
    <x v="44"/>
    <n v="5666"/>
    <x v="0"/>
    <n v="22.4"/>
    <s v="DevOps Engineer"/>
    <n v="10.9"/>
    <n v="51.1"/>
    <x v="130"/>
    <n v="2.2000000000000002"/>
    <n v="8.5"/>
    <n v="9.1999999999999993"/>
    <s v="Stable"/>
  </r>
  <r>
    <s v="T1550"/>
    <x v="0"/>
    <x v="1"/>
    <x v="4"/>
    <x v="2"/>
    <s v="Dec"/>
    <x v="1"/>
    <x v="724"/>
    <n v="5.9"/>
    <x v="3"/>
    <n v="6.5"/>
    <x v="30"/>
    <n v="5428"/>
    <x v="0"/>
    <n v="79.8"/>
    <s v="Cloud Engineer"/>
    <n v="66.400000000000006"/>
    <n v="-2.7"/>
    <x v="322"/>
    <n v="4.2"/>
    <n v="8.1999999999999993"/>
    <n v="5.9"/>
    <s v="Bull Market"/>
  </r>
  <r>
    <s v="T1551"/>
    <x v="0"/>
    <x v="2"/>
    <x v="0"/>
    <x v="3"/>
    <s v="Mar"/>
    <x v="2"/>
    <x v="39"/>
    <n v="8.4"/>
    <x v="3"/>
    <n v="7.7"/>
    <x v="65"/>
    <n v="1705"/>
    <x v="1"/>
    <n v="28.6"/>
    <s v="DevOps Engineer"/>
    <n v="-23.5"/>
    <n v="13.7"/>
    <x v="248"/>
    <n v="9.3000000000000007"/>
    <n v="7.6"/>
    <n v="5.6"/>
    <s v="Stable"/>
  </r>
  <r>
    <s v="T1552"/>
    <x v="8"/>
    <x v="6"/>
    <x v="3"/>
    <x v="1"/>
    <s v="Oct"/>
    <x v="1"/>
    <x v="1424"/>
    <n v="19.5"/>
    <x v="0"/>
    <n v="2.1"/>
    <x v="75"/>
    <n v="578"/>
    <x v="1"/>
    <n v="32.1"/>
    <s v="Software Engineer"/>
    <n v="6.1"/>
    <n v="23.3"/>
    <x v="106"/>
    <n v="1.6"/>
    <n v="6.7"/>
    <n v="5.0999999999999996"/>
    <s v="Recession"/>
  </r>
  <r>
    <s v="T1553"/>
    <x v="17"/>
    <x v="3"/>
    <x v="0"/>
    <x v="2"/>
    <s v="Nov"/>
    <x v="2"/>
    <x v="1425"/>
    <n v="3.6"/>
    <x v="3"/>
    <n v="7.3"/>
    <x v="5"/>
    <n v="3789"/>
    <x v="0"/>
    <n v="48.6"/>
    <s v="Cloud Engineer"/>
    <n v="-18.5"/>
    <n v="30.7"/>
    <x v="464"/>
    <n v="9.3000000000000007"/>
    <n v="9"/>
    <n v="7.4"/>
    <s v="Bull Market"/>
  </r>
  <r>
    <s v="T1554"/>
    <x v="17"/>
    <x v="0"/>
    <x v="4"/>
    <x v="0"/>
    <s v="Jul"/>
    <x v="0"/>
    <x v="1426"/>
    <n v="16.7"/>
    <x v="3"/>
    <n v="11.6"/>
    <x v="5"/>
    <n v="6213"/>
    <x v="0"/>
    <n v="35.5"/>
    <s v="Data Scientist"/>
    <n v="29.2"/>
    <n v="47"/>
    <x v="61"/>
    <n v="9.6"/>
    <n v="6.9"/>
    <n v="6.1"/>
    <s v="Stable"/>
  </r>
  <r>
    <s v="T1555"/>
    <x v="4"/>
    <x v="0"/>
    <x v="1"/>
    <x v="0"/>
    <s v="Aug"/>
    <x v="1"/>
    <x v="1427"/>
    <n v="33.4"/>
    <x v="3"/>
    <n v="2.2000000000000002"/>
    <x v="8"/>
    <n v="1286"/>
    <x v="2"/>
    <n v="19.5"/>
    <s v="ML Engineer"/>
    <n v="28"/>
    <n v="-1.9"/>
    <x v="170"/>
    <n v="1.6"/>
    <n v="5.7"/>
    <n v="3.5"/>
    <s v="Recession"/>
  </r>
  <r>
    <s v="T1556"/>
    <x v="11"/>
    <x v="6"/>
    <x v="2"/>
    <x v="3"/>
    <s v="Jul"/>
    <x v="0"/>
    <x v="1428"/>
    <n v="30.1"/>
    <x v="0"/>
    <n v="6.4"/>
    <x v="51"/>
    <n v="721"/>
    <x v="2"/>
    <n v="24.2"/>
    <s v="ML Engineer"/>
    <n v="-42.3"/>
    <n v="0.8"/>
    <x v="362"/>
    <n v="4.7"/>
    <n v="6.2"/>
    <n v="4.0999999999999996"/>
    <s v="Recession"/>
  </r>
  <r>
    <s v="T1557"/>
    <x v="15"/>
    <x v="2"/>
    <x v="2"/>
    <x v="3"/>
    <s v="Dec"/>
    <x v="2"/>
    <x v="1429"/>
    <n v="3.3"/>
    <x v="3"/>
    <n v="9.6"/>
    <x v="5"/>
    <n v="3852"/>
    <x v="0"/>
    <n v="20.6"/>
    <s v="Product Manager"/>
    <n v="-14.7"/>
    <n v="-14.3"/>
    <x v="110"/>
    <n v="9.6999999999999993"/>
    <n v="7"/>
    <n v="5"/>
    <s v="Bull Market"/>
  </r>
  <r>
    <s v="T1558"/>
    <x v="6"/>
    <x v="1"/>
    <x v="4"/>
    <x v="2"/>
    <s v="Mar"/>
    <x v="1"/>
    <x v="1430"/>
    <n v="12.3"/>
    <x v="0"/>
    <n v="2.2999999999999998"/>
    <x v="7"/>
    <n v="190"/>
    <x v="2"/>
    <n v="41.7"/>
    <s v="Software Engineer"/>
    <n v="42"/>
    <n v="17.100000000000001"/>
    <x v="317"/>
    <n v="2.2999999999999998"/>
    <n v="7.3"/>
    <n v="6.4"/>
    <s v="Recession"/>
  </r>
  <r>
    <s v="T1559"/>
    <x v="2"/>
    <x v="1"/>
    <x v="0"/>
    <x v="2"/>
    <s v="Dec"/>
    <x v="2"/>
    <x v="1431"/>
    <n v="3.1"/>
    <x v="1"/>
    <n v="11.4"/>
    <x v="18"/>
    <n v="3462"/>
    <x v="0"/>
    <n v="62.2"/>
    <s v="Product Manager"/>
    <n v="89.7"/>
    <n v="-16.100000000000001"/>
    <x v="322"/>
    <n v="8.4"/>
    <n v="5.0999999999999996"/>
    <n v="5.0999999999999996"/>
    <s v="Bull Market"/>
  </r>
  <r>
    <s v="T1560"/>
    <x v="10"/>
    <x v="3"/>
    <x v="0"/>
    <x v="1"/>
    <s v="Aug"/>
    <x v="1"/>
    <x v="1432"/>
    <n v="13.8"/>
    <x v="4"/>
    <n v="7.7"/>
    <x v="51"/>
    <n v="1942"/>
    <x v="0"/>
    <n v="32.4"/>
    <s v="Data Scientist"/>
    <n v="-13.4"/>
    <n v="28.5"/>
    <x v="77"/>
    <n v="6"/>
    <n v="6.5"/>
    <n v="6.1"/>
    <s v="Stable"/>
  </r>
  <r>
    <s v="T1561"/>
    <x v="12"/>
    <x v="0"/>
    <x v="0"/>
    <x v="1"/>
    <s v="Jun"/>
    <x v="2"/>
    <x v="1433"/>
    <n v="16.8"/>
    <x v="1"/>
    <n v="5.9"/>
    <x v="9"/>
    <n v="9255"/>
    <x v="0"/>
    <n v="83.3"/>
    <s v="ML Engineer"/>
    <n v="49.8"/>
    <n v="-14.4"/>
    <x v="16"/>
    <n v="6.2"/>
    <n v="4.4000000000000004"/>
    <n v="5"/>
    <s v="Recession"/>
  </r>
  <r>
    <s v="T1562"/>
    <x v="1"/>
    <x v="0"/>
    <x v="4"/>
    <x v="3"/>
    <s v="Jun"/>
    <x v="0"/>
    <x v="694"/>
    <n v="7.3"/>
    <x v="2"/>
    <n v="9.5"/>
    <x v="28"/>
    <n v="1731"/>
    <x v="1"/>
    <n v="44.7"/>
    <s v="Data Scientist"/>
    <n v="-42.9"/>
    <n v="20.399999999999999"/>
    <x v="0"/>
    <n v="6"/>
    <n v="8.8000000000000007"/>
    <n v="6.6"/>
    <s v="Bull Market"/>
  </r>
  <r>
    <s v="T1563"/>
    <x v="4"/>
    <x v="1"/>
    <x v="3"/>
    <x v="0"/>
    <s v="Apr"/>
    <x v="2"/>
    <x v="1434"/>
    <n v="12.8"/>
    <x v="0"/>
    <n v="2.2000000000000002"/>
    <x v="38"/>
    <n v="1424"/>
    <x v="1"/>
    <n v="61.6"/>
    <s v="ML Engineer"/>
    <n v="46.3"/>
    <n v="7.7"/>
    <x v="465"/>
    <n v="1.8"/>
    <n v="4.8"/>
    <n v="6.3"/>
    <s v="Recession"/>
  </r>
  <r>
    <s v="T1564"/>
    <x v="17"/>
    <x v="3"/>
    <x v="3"/>
    <x v="0"/>
    <s v="Oct"/>
    <x v="2"/>
    <x v="1435"/>
    <n v="20.3"/>
    <x v="4"/>
    <n v="3.2"/>
    <x v="18"/>
    <n v="485"/>
    <x v="1"/>
    <n v="65.5"/>
    <s v="Frontend Developer"/>
    <n v="40.200000000000003"/>
    <n v="2.7"/>
    <x v="191"/>
    <n v="4.5999999999999996"/>
    <n v="6.5"/>
    <n v="4.4000000000000004"/>
    <s v="Recession"/>
  </r>
  <r>
    <s v="T1565"/>
    <x v="13"/>
    <x v="5"/>
    <x v="4"/>
    <x v="1"/>
    <s v="Nov"/>
    <x v="1"/>
    <x v="1436"/>
    <n v="6.2"/>
    <x v="3"/>
    <n v="9"/>
    <x v="58"/>
    <n v="3233"/>
    <x v="0"/>
    <n v="70.3"/>
    <s v="Frontend Developer"/>
    <n v="67"/>
    <n v="12.6"/>
    <x v="183"/>
    <n v="6.6"/>
    <n v="5.8"/>
    <n v="5.7"/>
    <s v="Bull Market"/>
  </r>
  <r>
    <s v="T1566"/>
    <x v="2"/>
    <x v="3"/>
    <x v="4"/>
    <x v="0"/>
    <s v="Mar"/>
    <x v="1"/>
    <x v="1437"/>
    <n v="10.8"/>
    <x v="3"/>
    <n v="2.8"/>
    <x v="90"/>
    <n v="3865"/>
    <x v="1"/>
    <n v="84.7"/>
    <s v="Cloud Engineer"/>
    <n v="43.7"/>
    <n v="45.9"/>
    <x v="412"/>
    <n v="2.2999999999999998"/>
    <n v="9.3000000000000007"/>
    <n v="7.7"/>
    <s v="Stable"/>
  </r>
  <r>
    <s v="T1567"/>
    <x v="4"/>
    <x v="1"/>
    <x v="4"/>
    <x v="0"/>
    <s v="Mar"/>
    <x v="1"/>
    <x v="1438"/>
    <n v="2.2000000000000002"/>
    <x v="4"/>
    <n v="6.5"/>
    <x v="24"/>
    <n v="4266"/>
    <x v="0"/>
    <n v="76.400000000000006"/>
    <s v="Software Engineer"/>
    <n v="81.099999999999994"/>
    <n v="2.2000000000000002"/>
    <x v="51"/>
    <n v="5.4"/>
    <n v="8.1"/>
    <n v="6.9"/>
    <s v="Bull Market"/>
  </r>
  <r>
    <s v="T1568"/>
    <x v="17"/>
    <x v="0"/>
    <x v="5"/>
    <x v="3"/>
    <s v="Aug"/>
    <x v="0"/>
    <x v="260"/>
    <n v="0"/>
    <x v="2"/>
    <n v="3.9"/>
    <x v="4"/>
    <n v="8170"/>
    <x v="3"/>
    <n v="11.9"/>
    <s v="ML Engineer"/>
    <n v="-13.2"/>
    <n v="45.5"/>
    <x v="214"/>
    <n v="3.3"/>
    <n v="8.1"/>
    <n v="9.3000000000000007"/>
    <s v="Bull Market"/>
  </r>
  <r>
    <s v="T1569"/>
    <x v="12"/>
    <x v="0"/>
    <x v="0"/>
    <x v="2"/>
    <s v="Oct"/>
    <x v="2"/>
    <x v="1439"/>
    <n v="8.1"/>
    <x v="2"/>
    <n v="5.5"/>
    <x v="31"/>
    <n v="7388"/>
    <x v="0"/>
    <n v="89.2"/>
    <s v="ML Engineer"/>
    <n v="47.4"/>
    <n v="43.7"/>
    <x v="11"/>
    <n v="4.4000000000000004"/>
    <n v="5.7"/>
    <n v="7.7"/>
    <s v="Stable"/>
  </r>
  <r>
    <s v="T1570"/>
    <x v="12"/>
    <x v="0"/>
    <x v="4"/>
    <x v="2"/>
    <s v="Dec"/>
    <x v="2"/>
    <x v="395"/>
    <n v="6.7"/>
    <x v="1"/>
    <n v="8.6999999999999993"/>
    <x v="69"/>
    <n v="8827"/>
    <x v="0"/>
    <n v="87.9"/>
    <s v="ML Engineer"/>
    <n v="-26.9"/>
    <n v="-17.899999999999999"/>
    <x v="136"/>
    <n v="5.9"/>
    <n v="6.3"/>
    <n v="4.8"/>
    <s v="Bull Market"/>
  </r>
  <r>
    <s v="T1571"/>
    <x v="6"/>
    <x v="1"/>
    <x v="1"/>
    <x v="1"/>
    <s v="Oct"/>
    <x v="0"/>
    <x v="1440"/>
    <n v="11.8"/>
    <x v="2"/>
    <n v="11.2"/>
    <x v="48"/>
    <n v="4147"/>
    <x v="0"/>
    <n v="72.099999999999994"/>
    <s v="Cybersecurity Analyst"/>
    <n v="85.9"/>
    <n v="-23.7"/>
    <x v="262"/>
    <n v="8.8000000000000007"/>
    <n v="3.4"/>
    <n v="3.3"/>
    <s v="Stable"/>
  </r>
  <r>
    <s v="T1572"/>
    <x v="9"/>
    <x v="1"/>
    <x v="1"/>
    <x v="1"/>
    <s v="Jul"/>
    <x v="1"/>
    <x v="1441"/>
    <n v="8.6999999999999993"/>
    <x v="2"/>
    <n v="10.3"/>
    <x v="5"/>
    <n v="2870"/>
    <x v="0"/>
    <n v="77.5"/>
    <s v="Cloud Engineer"/>
    <n v="69.5"/>
    <n v="-15.9"/>
    <x v="186"/>
    <n v="8.8000000000000007"/>
    <n v="5.6"/>
    <n v="3.8"/>
    <s v="Bull Market"/>
  </r>
  <r>
    <s v="T1573"/>
    <x v="17"/>
    <x v="3"/>
    <x v="0"/>
    <x v="3"/>
    <s v="Feb"/>
    <x v="1"/>
    <x v="1442"/>
    <n v="15.2"/>
    <x v="3"/>
    <n v="8.5"/>
    <x v="5"/>
    <n v="5096"/>
    <x v="0"/>
    <n v="71.7"/>
    <s v="Cloud Engineer"/>
    <n v="8.6999999999999993"/>
    <n v="15.4"/>
    <x v="50"/>
    <n v="8.6999999999999993"/>
    <n v="4.5"/>
    <n v="5.0999999999999996"/>
    <s v="Stable"/>
  </r>
  <r>
    <s v="T1574"/>
    <x v="14"/>
    <x v="1"/>
    <x v="4"/>
    <x v="1"/>
    <s v="Jul"/>
    <x v="2"/>
    <x v="1443"/>
    <n v="4.2"/>
    <x v="0"/>
    <n v="4"/>
    <x v="79"/>
    <n v="5649"/>
    <x v="0"/>
    <n v="62.3"/>
    <s v="Cybersecurity Analyst"/>
    <n v="-31.5"/>
    <n v="39.299999999999997"/>
    <x v="198"/>
    <n v="3.8"/>
    <n v="8.4"/>
    <n v="9.1999999999999993"/>
    <s v="Stable"/>
  </r>
  <r>
    <s v="T1575"/>
    <x v="14"/>
    <x v="1"/>
    <x v="5"/>
    <x v="0"/>
    <s v="Jun"/>
    <x v="0"/>
    <x v="1444"/>
    <n v="7.7"/>
    <x v="3"/>
    <n v="2.8"/>
    <x v="76"/>
    <n v="1906"/>
    <x v="1"/>
    <n v="80.3"/>
    <s v="DevOps Engineer"/>
    <n v="24.4"/>
    <n v="-19.600000000000001"/>
    <x v="101"/>
    <n v="1.7"/>
    <n v="4"/>
    <n v="5.6"/>
    <s v="Stable"/>
  </r>
  <r>
    <s v="T1576"/>
    <x v="5"/>
    <x v="3"/>
    <x v="1"/>
    <x v="3"/>
    <s v="Dec"/>
    <x v="2"/>
    <x v="1445"/>
    <n v="16.5"/>
    <x v="1"/>
    <n v="3.2"/>
    <x v="0"/>
    <n v="2725"/>
    <x v="2"/>
    <n v="82.3"/>
    <s v="Product Manager"/>
    <n v="43.6"/>
    <n v="25.8"/>
    <x v="280"/>
    <n v="3.4"/>
    <n v="5.0999999999999996"/>
    <n v="6.6"/>
    <s v="Stable"/>
  </r>
  <r>
    <s v="T1577"/>
    <x v="2"/>
    <x v="3"/>
    <x v="4"/>
    <x v="0"/>
    <s v="Nov"/>
    <x v="0"/>
    <x v="1436"/>
    <n v="3.3"/>
    <x v="3"/>
    <n v="13.1"/>
    <x v="5"/>
    <n v="3322"/>
    <x v="0"/>
    <n v="28.2"/>
    <s v="Cybersecurity Analyst"/>
    <n v="-25.1"/>
    <n v="33.1"/>
    <x v="8"/>
    <n v="9.1999999999999993"/>
    <n v="8"/>
    <n v="6.5"/>
    <s v="Bull Market"/>
  </r>
  <r>
    <s v="T1578"/>
    <x v="0"/>
    <x v="5"/>
    <x v="5"/>
    <x v="3"/>
    <s v="Dec"/>
    <x v="2"/>
    <x v="1446"/>
    <n v="9.1999999999999993"/>
    <x v="4"/>
    <n v="5.7"/>
    <x v="5"/>
    <n v="1523"/>
    <x v="1"/>
    <n v="13.3"/>
    <s v="Cybersecurity Analyst"/>
    <n v="57"/>
    <n v="22.6"/>
    <x v="29"/>
    <n v="8.8000000000000007"/>
    <n v="8.8000000000000007"/>
    <n v="6"/>
    <s v="Stable"/>
  </r>
  <r>
    <s v="T1579"/>
    <x v="9"/>
    <x v="0"/>
    <x v="4"/>
    <x v="2"/>
    <s v="Aug"/>
    <x v="2"/>
    <x v="1447"/>
    <n v="24.4"/>
    <x v="2"/>
    <n v="3.4"/>
    <x v="56"/>
    <n v="6010"/>
    <x v="1"/>
    <n v="11.9"/>
    <s v="Data Scientist"/>
    <n v="-37.6"/>
    <n v="-5.2"/>
    <x v="222"/>
    <n v="3.1"/>
    <n v="4.5999999999999996"/>
    <n v="3.7"/>
    <s v="Recession"/>
  </r>
  <r>
    <s v="T1580"/>
    <x v="2"/>
    <x v="5"/>
    <x v="0"/>
    <x v="0"/>
    <s v="Oct"/>
    <x v="2"/>
    <x v="1448"/>
    <n v="7"/>
    <x v="3"/>
    <n v="8.1999999999999993"/>
    <x v="54"/>
    <n v="2986"/>
    <x v="0"/>
    <n v="66.400000000000006"/>
    <s v="Cybersecurity Analyst"/>
    <n v="74.7"/>
    <n v="-11.1"/>
    <x v="298"/>
    <n v="7.4"/>
    <n v="5.2"/>
    <n v="6.1"/>
    <s v="Bull Market"/>
  </r>
  <r>
    <s v="T1581"/>
    <x v="19"/>
    <x v="0"/>
    <x v="4"/>
    <x v="1"/>
    <s v="Mar"/>
    <x v="2"/>
    <x v="1449"/>
    <n v="12.9"/>
    <x v="3"/>
    <n v="9.6"/>
    <x v="5"/>
    <n v="7182"/>
    <x v="0"/>
    <n v="36.6"/>
    <s v="Data Scientist"/>
    <n v="13"/>
    <n v="28.8"/>
    <x v="319"/>
    <n v="9.3000000000000007"/>
    <n v="7.4"/>
    <n v="6.1"/>
    <s v="Stable"/>
  </r>
  <r>
    <s v="T1582"/>
    <x v="19"/>
    <x v="0"/>
    <x v="2"/>
    <x v="1"/>
    <s v="Apr"/>
    <x v="1"/>
    <x v="1450"/>
    <n v="34.4"/>
    <x v="0"/>
    <n v="6.4"/>
    <x v="5"/>
    <n v="2255"/>
    <x v="1"/>
    <n v="18.600000000000001"/>
    <s v="Data Scientist"/>
    <n v="-42.2"/>
    <n v="58.6"/>
    <x v="10"/>
    <n v="10"/>
    <n v="5.2"/>
    <n v="4.5"/>
    <s v="Recession"/>
  </r>
  <r>
    <s v="T1583"/>
    <x v="4"/>
    <x v="0"/>
    <x v="2"/>
    <x v="2"/>
    <s v="Nov"/>
    <x v="1"/>
    <x v="1265"/>
    <n v="36.700000000000003"/>
    <x v="2"/>
    <n v="3.2"/>
    <x v="16"/>
    <n v="3821"/>
    <x v="2"/>
    <n v="64"/>
    <s v="ML Engineer"/>
    <n v="26.6"/>
    <n v="-12"/>
    <x v="466"/>
    <n v="3.6"/>
    <n v="4.8"/>
    <n v="1.9"/>
    <s v="Recession"/>
  </r>
  <r>
    <s v="T1584"/>
    <x v="17"/>
    <x v="0"/>
    <x v="4"/>
    <x v="0"/>
    <s v="Jun"/>
    <x v="2"/>
    <x v="1451"/>
    <n v="15.9"/>
    <x v="2"/>
    <n v="15.1"/>
    <x v="5"/>
    <n v="1208"/>
    <x v="1"/>
    <n v="71.599999999999994"/>
    <s v="ML Engineer"/>
    <n v="-0.7"/>
    <n v="-20.6"/>
    <x v="31"/>
    <n v="9.3000000000000007"/>
    <n v="6.8"/>
    <n v="3.6"/>
    <s v="Stable"/>
  </r>
  <r>
    <s v="T1585"/>
    <x v="9"/>
    <x v="1"/>
    <x v="5"/>
    <x v="3"/>
    <s v="May"/>
    <x v="0"/>
    <x v="1452"/>
    <n v="34.5"/>
    <x v="2"/>
    <n v="2.5"/>
    <x v="5"/>
    <n v="1975"/>
    <x v="2"/>
    <n v="75.400000000000006"/>
    <s v="DevOps Engineer"/>
    <n v="-18.2"/>
    <n v="7.5"/>
    <x v="362"/>
    <n v="3.3"/>
    <n v="5"/>
    <n v="3.5"/>
    <s v="Recession"/>
  </r>
  <r>
    <s v="T1586"/>
    <x v="2"/>
    <x v="0"/>
    <x v="2"/>
    <x v="0"/>
    <s v="Jan"/>
    <x v="0"/>
    <x v="1453"/>
    <n v="35.700000000000003"/>
    <x v="0"/>
    <n v="5.7"/>
    <x v="5"/>
    <n v="9534"/>
    <x v="0"/>
    <n v="89.9"/>
    <s v="ML Engineer"/>
    <n v="70.3"/>
    <n v="17.8"/>
    <x v="374"/>
    <n v="4.9000000000000004"/>
    <n v="6.4"/>
    <n v="2.6"/>
    <s v="Recession"/>
  </r>
  <r>
    <s v="T1587"/>
    <x v="3"/>
    <x v="1"/>
    <x v="0"/>
    <x v="1"/>
    <s v="Dec"/>
    <x v="2"/>
    <x v="1454"/>
    <n v="32.4"/>
    <x v="2"/>
    <n v="7"/>
    <x v="5"/>
    <n v="758"/>
    <x v="2"/>
    <n v="15.8"/>
    <s v="Data Scientist"/>
    <n v="-0.7"/>
    <n v="25.2"/>
    <x v="85"/>
    <n v="5.4"/>
    <n v="3.7"/>
    <n v="4"/>
    <s v="Recession"/>
  </r>
  <r>
    <s v="T1588"/>
    <x v="1"/>
    <x v="1"/>
    <x v="5"/>
    <x v="3"/>
    <s v="Nov"/>
    <x v="2"/>
    <x v="1455"/>
    <n v="16.2"/>
    <x v="4"/>
    <n v="4.5999999999999996"/>
    <x v="69"/>
    <n v="5972"/>
    <x v="1"/>
    <n v="79.400000000000006"/>
    <s v="Software Engineer"/>
    <n v="39.4"/>
    <n v="-20.3"/>
    <x v="330"/>
    <n v="4.5999999999999996"/>
    <n v="4.5999999999999996"/>
    <n v="3.1"/>
    <s v="Stable"/>
  </r>
  <r>
    <s v="T1589"/>
    <x v="1"/>
    <x v="0"/>
    <x v="2"/>
    <x v="0"/>
    <s v="Feb"/>
    <x v="2"/>
    <x v="1456"/>
    <n v="1.6"/>
    <x v="2"/>
    <n v="7.3"/>
    <x v="38"/>
    <n v="5367"/>
    <x v="0"/>
    <n v="71.099999999999994"/>
    <s v="ML Engineer"/>
    <n v="1.5"/>
    <n v="-8.5"/>
    <x v="67"/>
    <n v="4.9000000000000004"/>
    <n v="5.2"/>
    <n v="7.4"/>
    <s v="Bull Market"/>
  </r>
  <r>
    <s v="T1590"/>
    <x v="0"/>
    <x v="0"/>
    <x v="2"/>
    <x v="3"/>
    <s v="Dec"/>
    <x v="2"/>
    <x v="81"/>
    <n v="5"/>
    <x v="4"/>
    <n v="7.3"/>
    <x v="5"/>
    <n v="4384"/>
    <x v="3"/>
    <n v="10.5"/>
    <s v="ML Engineer"/>
    <n v="36.1"/>
    <n v="17.8"/>
    <x v="86"/>
    <n v="9.1999999999999993"/>
    <n v="7.1"/>
    <n v="5.8"/>
    <s v="Bull Market"/>
  </r>
  <r>
    <s v="T1591"/>
    <x v="0"/>
    <x v="0"/>
    <x v="3"/>
    <x v="3"/>
    <s v="Jun"/>
    <x v="1"/>
    <x v="1457"/>
    <n v="39.4"/>
    <x v="3"/>
    <n v="10.4"/>
    <x v="5"/>
    <n v="9280"/>
    <x v="1"/>
    <n v="89.4"/>
    <s v="Data Scientist"/>
    <n v="76.8"/>
    <n v="11.5"/>
    <x v="260"/>
    <n v="6.2"/>
    <n v="5.8"/>
    <n v="2.6"/>
    <s v="Recession"/>
  </r>
  <r>
    <s v="T1592"/>
    <x v="8"/>
    <x v="4"/>
    <x v="5"/>
    <x v="1"/>
    <s v="Aug"/>
    <x v="1"/>
    <x v="1458"/>
    <n v="9.4"/>
    <x v="3"/>
    <n v="2.7"/>
    <x v="79"/>
    <n v="1858"/>
    <x v="1"/>
    <n v="46.8"/>
    <s v="Software Engineer"/>
    <n v="16.8"/>
    <n v="-16.8"/>
    <x v="260"/>
    <n v="3.4"/>
    <n v="6.9"/>
    <n v="6"/>
    <s v="Bull Market"/>
  </r>
  <r>
    <s v="T1593"/>
    <x v="2"/>
    <x v="5"/>
    <x v="1"/>
    <x v="3"/>
    <s v="Dec"/>
    <x v="1"/>
    <x v="1459"/>
    <n v="1.2"/>
    <x v="2"/>
    <n v="10"/>
    <x v="29"/>
    <n v="2266"/>
    <x v="0"/>
    <n v="71.099999999999994"/>
    <s v="DevOps Engineer"/>
    <n v="63.7"/>
    <n v="-17.5"/>
    <x v="400"/>
    <n v="7.8"/>
    <n v="6.7"/>
    <n v="6.9"/>
    <s v="Bull Market"/>
  </r>
  <r>
    <s v="T1594"/>
    <x v="1"/>
    <x v="0"/>
    <x v="5"/>
    <x v="0"/>
    <s v="Oct"/>
    <x v="0"/>
    <x v="1460"/>
    <n v="8.1999999999999993"/>
    <x v="4"/>
    <n v="9.1999999999999993"/>
    <x v="68"/>
    <n v="5181"/>
    <x v="0"/>
    <n v="27.4"/>
    <s v="ML Engineer"/>
    <n v="43.8"/>
    <n v="-15.1"/>
    <x v="109"/>
    <n v="5.9"/>
    <n v="6"/>
    <n v="5.4"/>
    <s v="Bull Market"/>
  </r>
  <r>
    <s v="T1595"/>
    <x v="3"/>
    <x v="1"/>
    <x v="2"/>
    <x v="1"/>
    <s v="Aug"/>
    <x v="2"/>
    <x v="1461"/>
    <n v="2.2999999999999998"/>
    <x v="1"/>
    <n v="6.1"/>
    <x v="2"/>
    <n v="2650"/>
    <x v="1"/>
    <n v="45.8"/>
    <s v="Frontend Developer"/>
    <n v="22.4"/>
    <n v="-6.2"/>
    <x v="197"/>
    <n v="4.3"/>
    <n v="6"/>
    <n v="5.2"/>
    <s v="Bull Market"/>
  </r>
  <r>
    <s v="T1596"/>
    <x v="19"/>
    <x v="0"/>
    <x v="1"/>
    <x v="1"/>
    <s v="Sep"/>
    <x v="0"/>
    <x v="1462"/>
    <n v="3.1"/>
    <x v="4"/>
    <n v="8.3000000000000007"/>
    <x v="5"/>
    <n v="6382"/>
    <x v="0"/>
    <n v="50.6"/>
    <s v="ML Engineer"/>
    <n v="3.8"/>
    <n v="39.299999999999997"/>
    <x v="377"/>
    <n v="9.6999999999999993"/>
    <n v="7.7"/>
    <n v="6"/>
    <s v="Stable"/>
  </r>
  <r>
    <s v="T1597"/>
    <x v="6"/>
    <x v="2"/>
    <x v="3"/>
    <x v="3"/>
    <s v="Sep"/>
    <x v="2"/>
    <x v="1463"/>
    <n v="9.3000000000000007"/>
    <x v="0"/>
    <n v="3.3"/>
    <x v="8"/>
    <n v="967"/>
    <x v="1"/>
    <n v="81.7"/>
    <s v="Software Engineer"/>
    <n v="-1.1000000000000001"/>
    <n v="-2.9"/>
    <x v="337"/>
    <n v="4.0999999999999996"/>
    <n v="6.4"/>
    <n v="5.9"/>
    <s v="Bull Market"/>
  </r>
  <r>
    <s v="T1598"/>
    <x v="2"/>
    <x v="5"/>
    <x v="0"/>
    <x v="0"/>
    <s v="Sep"/>
    <x v="0"/>
    <x v="1464"/>
    <n v="14.9"/>
    <x v="0"/>
    <n v="15"/>
    <x v="5"/>
    <n v="3868"/>
    <x v="1"/>
    <n v="54.1"/>
    <s v="Software Engineer"/>
    <n v="68.7"/>
    <n v="-15.9"/>
    <x v="160"/>
    <n v="8.9"/>
    <n v="7.1"/>
    <n v="4.8"/>
    <s v="Stable"/>
  </r>
  <r>
    <s v="T1599"/>
    <x v="1"/>
    <x v="4"/>
    <x v="5"/>
    <x v="0"/>
    <s v="Oct"/>
    <x v="0"/>
    <x v="1465"/>
    <n v="8.6"/>
    <x v="2"/>
    <n v="3.1"/>
    <x v="82"/>
    <n v="1189"/>
    <x v="1"/>
    <n v="51.7"/>
    <s v="ML Engineer"/>
    <n v="6.4"/>
    <n v="-7.5"/>
    <x v="329"/>
    <n v="4.2"/>
    <n v="5.2"/>
    <n v="5.8"/>
    <s v="Bull Market"/>
  </r>
  <r>
    <s v="T1600"/>
    <x v="4"/>
    <x v="0"/>
    <x v="3"/>
    <x v="2"/>
    <s v="Nov"/>
    <x v="0"/>
    <x v="1466"/>
    <n v="1.5"/>
    <x v="0"/>
    <n v="8.4"/>
    <x v="31"/>
    <n v="4295"/>
    <x v="3"/>
    <n v="70.2"/>
    <s v="ML Engineer"/>
    <n v="5.4"/>
    <n v="-25"/>
    <x v="314"/>
    <n v="5.8"/>
    <n v="7.7"/>
    <n v="6.1"/>
    <s v="Bull Market"/>
  </r>
  <r>
    <s v="T1601"/>
    <x v="2"/>
    <x v="1"/>
    <x v="4"/>
    <x v="3"/>
    <s v="May"/>
    <x v="0"/>
    <x v="1467"/>
    <n v="6.6"/>
    <x v="0"/>
    <n v="8.3000000000000007"/>
    <x v="0"/>
    <n v="359"/>
    <x v="1"/>
    <n v="80.3"/>
    <s v="DevOps Engineer"/>
    <n v="55.3"/>
    <n v="51"/>
    <x v="289"/>
    <n v="6"/>
    <n v="8"/>
    <n v="7.2"/>
    <s v="Stable"/>
  </r>
  <r>
    <s v="T1602"/>
    <x v="0"/>
    <x v="5"/>
    <x v="3"/>
    <x v="2"/>
    <s v="Jun"/>
    <x v="1"/>
    <x v="1468"/>
    <n v="15.6"/>
    <x v="0"/>
    <n v="1.2"/>
    <x v="78"/>
    <n v="5299"/>
    <x v="1"/>
    <n v="32.1"/>
    <s v="Cybersecurity Analyst"/>
    <n v="59.5"/>
    <n v="17.5"/>
    <x v="169"/>
    <n v="1.6"/>
    <n v="7"/>
    <n v="5.6"/>
    <s v="Stable"/>
  </r>
  <r>
    <s v="T1603"/>
    <x v="9"/>
    <x v="1"/>
    <x v="1"/>
    <x v="1"/>
    <s v="Sep"/>
    <x v="1"/>
    <x v="1469"/>
    <n v="13.4"/>
    <x v="4"/>
    <n v="2.5"/>
    <x v="85"/>
    <n v="4851"/>
    <x v="1"/>
    <n v="27.3"/>
    <s v="Software Engineer"/>
    <n v="-42.5"/>
    <n v="11"/>
    <x v="309"/>
    <n v="2.8"/>
    <n v="6.1"/>
    <n v="6.6"/>
    <s v="Stable"/>
  </r>
  <r>
    <s v="T1604"/>
    <x v="2"/>
    <x v="2"/>
    <x v="3"/>
    <x v="0"/>
    <s v="Feb"/>
    <x v="2"/>
    <x v="1470"/>
    <n v="9.4"/>
    <x v="1"/>
    <n v="13.2"/>
    <x v="2"/>
    <n v="2639"/>
    <x v="1"/>
    <n v="50.2"/>
    <s v="Cybersecurity Analyst"/>
    <n v="-0.5"/>
    <n v="-14.7"/>
    <x v="243"/>
    <n v="8"/>
    <n v="5.6"/>
    <n v="6.1"/>
    <s v="Stable"/>
  </r>
  <r>
    <s v="T1605"/>
    <x v="3"/>
    <x v="1"/>
    <x v="3"/>
    <x v="3"/>
    <s v="Sep"/>
    <x v="2"/>
    <x v="1471"/>
    <n v="10.5"/>
    <x v="1"/>
    <n v="9.4"/>
    <x v="9"/>
    <n v="387"/>
    <x v="1"/>
    <n v="62"/>
    <s v="Software Engineer"/>
    <n v="0"/>
    <n v="26.1"/>
    <x v="29"/>
    <n v="7.5"/>
    <n v="5.7"/>
    <n v="6.5"/>
    <s v="Recession"/>
  </r>
  <r>
    <s v="T1606"/>
    <x v="14"/>
    <x v="1"/>
    <x v="0"/>
    <x v="2"/>
    <s v="Aug"/>
    <x v="2"/>
    <x v="1472"/>
    <n v="15.3"/>
    <x v="4"/>
    <n v="6.7"/>
    <x v="65"/>
    <n v="255"/>
    <x v="1"/>
    <n v="78.400000000000006"/>
    <s v="Cloud Engineer"/>
    <n v="64.2"/>
    <n v="4.4000000000000004"/>
    <x v="115"/>
    <n v="4.4000000000000004"/>
    <n v="6.7"/>
    <n v="4.3"/>
    <s v="Recession"/>
  </r>
  <r>
    <s v="T1607"/>
    <x v="0"/>
    <x v="2"/>
    <x v="0"/>
    <x v="1"/>
    <s v="Mar"/>
    <x v="0"/>
    <x v="1473"/>
    <n v="36.5"/>
    <x v="2"/>
    <n v="4.5999999999999996"/>
    <x v="5"/>
    <n v="652"/>
    <x v="2"/>
    <n v="77.8"/>
    <s v="Cloud Engineer"/>
    <n v="55.5"/>
    <n v="21.7"/>
    <x v="333"/>
    <n v="5.0999999999999996"/>
    <n v="6.5"/>
    <n v="2.1"/>
    <s v="Recession"/>
  </r>
  <r>
    <s v="T1608"/>
    <x v="2"/>
    <x v="0"/>
    <x v="4"/>
    <x v="0"/>
    <s v="Nov"/>
    <x v="2"/>
    <x v="1474"/>
    <n v="29.6"/>
    <x v="2"/>
    <n v="6.5"/>
    <x v="5"/>
    <n v="1374"/>
    <x v="1"/>
    <n v="84.1"/>
    <s v="ML Engineer"/>
    <n v="81.900000000000006"/>
    <n v="17.5"/>
    <x v="467"/>
    <n v="6.7"/>
    <n v="6.7"/>
    <n v="2.8"/>
    <s v="Recession"/>
  </r>
  <r>
    <s v="T1609"/>
    <x v="14"/>
    <x v="1"/>
    <x v="4"/>
    <x v="0"/>
    <s v="Jun"/>
    <x v="1"/>
    <x v="618"/>
    <n v="3.3"/>
    <x v="4"/>
    <n v="11.7"/>
    <x v="5"/>
    <n v="3574"/>
    <x v="0"/>
    <n v="28.3"/>
    <s v="Data Scientist"/>
    <n v="-22"/>
    <n v="53.6"/>
    <x v="468"/>
    <n v="8.3000000000000007"/>
    <n v="8.8000000000000007"/>
    <n v="7.9"/>
    <s v="Stable"/>
  </r>
  <r>
    <s v="T1610"/>
    <x v="0"/>
    <x v="5"/>
    <x v="3"/>
    <x v="2"/>
    <s v="Sep"/>
    <x v="0"/>
    <x v="1475"/>
    <n v="11.3"/>
    <x v="1"/>
    <n v="5.9"/>
    <x v="9"/>
    <n v="5957"/>
    <x v="0"/>
    <n v="66.400000000000006"/>
    <s v="Software Engineer"/>
    <n v="13.4"/>
    <n v="-19.8"/>
    <x v="327"/>
    <n v="5.6"/>
    <n v="4.2"/>
    <n v="5.2"/>
    <s v="Stable"/>
  </r>
  <r>
    <s v="T1611"/>
    <x v="17"/>
    <x v="0"/>
    <x v="5"/>
    <x v="2"/>
    <s v="Sep"/>
    <x v="0"/>
    <x v="1476"/>
    <n v="17.899999999999999"/>
    <x v="1"/>
    <n v="11.9"/>
    <x v="5"/>
    <n v="5495"/>
    <x v="0"/>
    <n v="52.1"/>
    <s v="Data Scientist"/>
    <n v="-0.8"/>
    <n v="27.3"/>
    <x v="112"/>
    <n v="9.6"/>
    <n v="5.7"/>
    <n v="5.6"/>
    <s v="Stable"/>
  </r>
  <r>
    <s v="T1612"/>
    <x v="13"/>
    <x v="5"/>
    <x v="1"/>
    <x v="1"/>
    <s v="May"/>
    <x v="0"/>
    <x v="1477"/>
    <n v="29.9"/>
    <x v="0"/>
    <n v="12"/>
    <x v="5"/>
    <n v="1740"/>
    <x v="1"/>
    <n v="37.700000000000003"/>
    <s v="Cybersecurity Analyst"/>
    <n v="-22.9"/>
    <n v="59.4"/>
    <x v="13"/>
    <n v="8.6"/>
    <n v="4.8"/>
    <n v="5.5"/>
    <s v="Recession"/>
  </r>
  <r>
    <s v="T1613"/>
    <x v="14"/>
    <x v="1"/>
    <x v="4"/>
    <x v="1"/>
    <s v="Nov"/>
    <x v="1"/>
    <x v="1478"/>
    <n v="1.6"/>
    <x v="0"/>
    <n v="2.7"/>
    <x v="30"/>
    <n v="4216"/>
    <x v="0"/>
    <n v="59.7"/>
    <s v="Cybersecurity Analyst"/>
    <n v="43.7"/>
    <n v="-2.7"/>
    <x v="366"/>
    <n v="4.2"/>
    <n v="4.8"/>
    <n v="6.5"/>
    <s v="Bull Market"/>
  </r>
  <r>
    <s v="T1614"/>
    <x v="19"/>
    <x v="0"/>
    <x v="3"/>
    <x v="3"/>
    <s v="May"/>
    <x v="0"/>
    <x v="1479"/>
    <n v="18.8"/>
    <x v="2"/>
    <n v="7.5"/>
    <x v="5"/>
    <n v="6869"/>
    <x v="0"/>
    <n v="88.7"/>
    <s v="ML Engineer"/>
    <n v="65.2"/>
    <n v="-10.3"/>
    <x v="127"/>
    <n v="9.8000000000000007"/>
    <n v="6.6"/>
    <n v="2.8"/>
    <s v="Recession"/>
  </r>
  <r>
    <s v="T1615"/>
    <x v="14"/>
    <x v="1"/>
    <x v="0"/>
    <x v="0"/>
    <s v="Dec"/>
    <x v="1"/>
    <x v="1480"/>
    <n v="14.8"/>
    <x v="4"/>
    <n v="8.6"/>
    <x v="86"/>
    <n v="4733"/>
    <x v="0"/>
    <n v="47.3"/>
    <s v="Frontend Developer"/>
    <n v="-16.8"/>
    <n v="29.6"/>
    <x v="367"/>
    <n v="8.6999999999999993"/>
    <n v="4.9000000000000004"/>
    <n v="6"/>
    <s v="Stable"/>
  </r>
  <r>
    <s v="T1616"/>
    <x v="12"/>
    <x v="5"/>
    <x v="3"/>
    <x v="1"/>
    <s v="Feb"/>
    <x v="2"/>
    <x v="1481"/>
    <n v="1.4"/>
    <x v="4"/>
    <n v="12.1"/>
    <x v="5"/>
    <n v="3386"/>
    <x v="0"/>
    <n v="66.5"/>
    <s v="Frontend Developer"/>
    <n v="18.2"/>
    <n v="46.5"/>
    <x v="161"/>
    <n v="7.8"/>
    <n v="6.5"/>
    <n v="8.1"/>
    <s v="Bull Market"/>
  </r>
  <r>
    <s v="T1617"/>
    <x v="5"/>
    <x v="3"/>
    <x v="2"/>
    <x v="1"/>
    <s v="Sep"/>
    <x v="2"/>
    <x v="1482"/>
    <n v="4.2"/>
    <x v="0"/>
    <n v="10.4"/>
    <x v="63"/>
    <n v="3456"/>
    <x v="0"/>
    <n v="36.700000000000003"/>
    <s v="Cloud Engineer"/>
    <n v="2.7"/>
    <n v="3.1"/>
    <x v="340"/>
    <n v="6.5"/>
    <n v="7.9"/>
    <n v="6.4"/>
    <s v="Stable"/>
  </r>
  <r>
    <s v="T1618"/>
    <x v="2"/>
    <x v="5"/>
    <x v="4"/>
    <x v="1"/>
    <s v="Nov"/>
    <x v="2"/>
    <x v="1483"/>
    <n v="7.6"/>
    <x v="3"/>
    <n v="10.5"/>
    <x v="48"/>
    <n v="1927"/>
    <x v="1"/>
    <n v="68.5"/>
    <s v="Cybersecurity Analyst"/>
    <n v="26.2"/>
    <n v="-18.8"/>
    <x v="327"/>
    <n v="6.8"/>
    <n v="4.5999999999999996"/>
    <n v="4.5"/>
    <s v="Stable"/>
  </r>
  <r>
    <s v="T1619"/>
    <x v="14"/>
    <x v="1"/>
    <x v="3"/>
    <x v="0"/>
    <s v="Mar"/>
    <x v="0"/>
    <x v="1484"/>
    <n v="24.8"/>
    <x v="0"/>
    <n v="4"/>
    <x v="26"/>
    <n v="1271"/>
    <x v="1"/>
    <n v="86.1"/>
    <s v="ML Engineer"/>
    <n v="38"/>
    <n v="3.3"/>
    <x v="451"/>
    <n v="6"/>
    <n v="6.1"/>
    <n v="4.5"/>
    <s v="Recession"/>
  </r>
  <r>
    <s v="T1620"/>
    <x v="11"/>
    <x v="6"/>
    <x v="3"/>
    <x v="3"/>
    <s v="May"/>
    <x v="2"/>
    <x v="1485"/>
    <n v="17.7"/>
    <x v="1"/>
    <n v="6"/>
    <x v="5"/>
    <n v="2557"/>
    <x v="0"/>
    <n v="32.9"/>
    <s v="Cloud Engineer"/>
    <n v="-29.5"/>
    <n v="1.6"/>
    <x v="348"/>
    <n v="9.9"/>
    <n v="5"/>
    <n v="4.7"/>
    <s v="Stable"/>
  </r>
  <r>
    <s v="T1621"/>
    <x v="15"/>
    <x v="2"/>
    <x v="0"/>
    <x v="1"/>
    <s v="Feb"/>
    <x v="0"/>
    <x v="1486"/>
    <n v="16.8"/>
    <x v="1"/>
    <n v="7.2"/>
    <x v="69"/>
    <n v="1263"/>
    <x v="1"/>
    <n v="32.700000000000003"/>
    <s v="Software Engineer"/>
    <n v="71.3"/>
    <n v="39.9"/>
    <x v="169"/>
    <n v="5.3"/>
    <n v="7.8"/>
    <n v="4.8"/>
    <s v="Recession"/>
  </r>
  <r>
    <s v="T1622"/>
    <x v="12"/>
    <x v="5"/>
    <x v="0"/>
    <x v="1"/>
    <s v="May"/>
    <x v="1"/>
    <x v="1487"/>
    <n v="11.8"/>
    <x v="2"/>
    <n v="3.9"/>
    <x v="31"/>
    <n v="2273"/>
    <x v="1"/>
    <n v="62.8"/>
    <s v="Software Engineer"/>
    <n v="29.4"/>
    <n v="10.1"/>
    <x v="336"/>
    <n v="4"/>
    <n v="5.0999999999999996"/>
    <n v="5.0999999999999996"/>
    <s v="Stable"/>
  </r>
  <r>
    <s v="T1623"/>
    <x v="6"/>
    <x v="1"/>
    <x v="2"/>
    <x v="2"/>
    <s v="Aug"/>
    <x v="2"/>
    <x v="1488"/>
    <n v="38.799999999999997"/>
    <x v="4"/>
    <n v="3.4"/>
    <x v="69"/>
    <n v="1587"/>
    <x v="2"/>
    <n v="33"/>
    <s v="Frontend Developer"/>
    <n v="40.799999999999997"/>
    <n v="27.9"/>
    <x v="237"/>
    <n v="4.0999999999999996"/>
    <n v="5.4"/>
    <n v="2.2999999999999998"/>
    <s v="Recession"/>
  </r>
  <r>
    <s v="T1624"/>
    <x v="8"/>
    <x v="6"/>
    <x v="4"/>
    <x v="3"/>
    <s v="May"/>
    <x v="1"/>
    <x v="762"/>
    <n v="5.0999999999999996"/>
    <x v="4"/>
    <n v="11.8"/>
    <x v="5"/>
    <n v="1749"/>
    <x v="0"/>
    <n v="21.7"/>
    <s v="Product Manager"/>
    <n v="-14.3"/>
    <n v="27.9"/>
    <x v="204"/>
    <n v="9.8000000000000007"/>
    <n v="8.6999999999999993"/>
    <n v="6.6"/>
    <s v="Bull Market"/>
  </r>
  <r>
    <s v="T1625"/>
    <x v="3"/>
    <x v="1"/>
    <x v="2"/>
    <x v="0"/>
    <s v="May"/>
    <x v="2"/>
    <x v="1489"/>
    <n v="9.8000000000000007"/>
    <x v="0"/>
    <n v="14.4"/>
    <x v="5"/>
    <n v="233"/>
    <x v="1"/>
    <n v="73.099999999999994"/>
    <s v="ML Engineer"/>
    <n v="79.900000000000006"/>
    <n v="9.6"/>
    <x v="255"/>
    <n v="8.8000000000000007"/>
    <n v="8.4"/>
    <n v="6.1"/>
    <s v="Stable"/>
  </r>
  <r>
    <s v="T1626"/>
    <x v="1"/>
    <x v="6"/>
    <x v="2"/>
    <x v="1"/>
    <s v="Sep"/>
    <x v="1"/>
    <x v="1490"/>
    <n v="9.4"/>
    <x v="2"/>
    <n v="6.1"/>
    <x v="71"/>
    <n v="3549"/>
    <x v="1"/>
    <n v="25.9"/>
    <s v="Data Scientist"/>
    <n v="-11.2"/>
    <n v="-16.8"/>
    <x v="446"/>
    <n v="4.3"/>
    <n v="5.0999999999999996"/>
    <n v="6.4"/>
    <s v="Bull Market"/>
  </r>
  <r>
    <s v="T1627"/>
    <x v="12"/>
    <x v="5"/>
    <x v="2"/>
    <x v="0"/>
    <s v="Apr"/>
    <x v="2"/>
    <x v="1491"/>
    <n v="4.4000000000000004"/>
    <x v="3"/>
    <n v="6.6"/>
    <x v="67"/>
    <n v="845"/>
    <x v="0"/>
    <n v="72.2"/>
    <s v="Product Manager"/>
    <n v="34.799999999999997"/>
    <n v="12.3"/>
    <x v="382"/>
    <n v="5.8"/>
    <n v="8.8000000000000007"/>
    <n v="7.2"/>
    <s v="Bull Market"/>
  </r>
  <r>
    <s v="T1628"/>
    <x v="1"/>
    <x v="0"/>
    <x v="5"/>
    <x v="1"/>
    <s v="Dec"/>
    <x v="2"/>
    <x v="1492"/>
    <n v="13.7"/>
    <x v="1"/>
    <n v="4"/>
    <x v="0"/>
    <n v="6506"/>
    <x v="0"/>
    <n v="76.8"/>
    <s v="Data Scientist"/>
    <n v="88.5"/>
    <n v="0.4"/>
    <x v="237"/>
    <n v="2.6"/>
    <n v="5.6"/>
    <n v="5.6"/>
    <s v="Stable"/>
  </r>
  <r>
    <s v="T1629"/>
    <x v="15"/>
    <x v="2"/>
    <x v="4"/>
    <x v="1"/>
    <s v="May"/>
    <x v="1"/>
    <x v="649"/>
    <n v="6.5"/>
    <x v="3"/>
    <n v="1.7"/>
    <x v="4"/>
    <n v="2953"/>
    <x v="1"/>
    <n v="62.4"/>
    <s v="Data Scientist"/>
    <n v="21.7"/>
    <n v="27.3"/>
    <x v="368"/>
    <n v="2.2999999999999998"/>
    <n v="5.6"/>
    <n v="6.9"/>
    <s v="Bull Market"/>
  </r>
  <r>
    <s v="T1630"/>
    <x v="7"/>
    <x v="4"/>
    <x v="1"/>
    <x v="2"/>
    <s v="Nov"/>
    <x v="2"/>
    <x v="1493"/>
    <n v="1.3"/>
    <x v="3"/>
    <n v="4.8"/>
    <x v="46"/>
    <n v="4824"/>
    <x v="0"/>
    <n v="71.7"/>
    <s v="Frontend Developer"/>
    <n v="88.1"/>
    <n v="6.9"/>
    <x v="123"/>
    <n v="3.8"/>
    <n v="7.6"/>
    <n v="7.8"/>
    <s v="Bull Market"/>
  </r>
  <r>
    <s v="T1631"/>
    <x v="0"/>
    <x v="0"/>
    <x v="4"/>
    <x v="3"/>
    <s v="Dec"/>
    <x v="0"/>
    <x v="1494"/>
    <n v="6.1"/>
    <x v="2"/>
    <n v="8.1"/>
    <x v="17"/>
    <n v="6125"/>
    <x v="0"/>
    <n v="46"/>
    <s v="ML Engineer"/>
    <n v="-31.6"/>
    <n v="33.1"/>
    <x v="14"/>
    <n v="5.4"/>
    <n v="7.6"/>
    <n v="7"/>
    <s v="Bull Market"/>
  </r>
  <r>
    <s v="T1632"/>
    <x v="0"/>
    <x v="5"/>
    <x v="2"/>
    <x v="1"/>
    <s v="Jan"/>
    <x v="2"/>
    <x v="1495"/>
    <n v="1"/>
    <x v="1"/>
    <n v="8.6999999999999993"/>
    <x v="28"/>
    <n v="5416"/>
    <x v="0"/>
    <n v="63.4"/>
    <s v="Frontend Developer"/>
    <n v="-36.5"/>
    <n v="50.9"/>
    <x v="267"/>
    <n v="5.4"/>
    <n v="7.5"/>
    <n v="7.2"/>
    <s v="Bull Market"/>
  </r>
  <r>
    <s v="T1633"/>
    <x v="11"/>
    <x v="6"/>
    <x v="1"/>
    <x v="1"/>
    <s v="Nov"/>
    <x v="2"/>
    <x v="1496"/>
    <n v="17.600000000000001"/>
    <x v="2"/>
    <n v="10.199999999999999"/>
    <x v="5"/>
    <n v="333"/>
    <x v="1"/>
    <n v="35.799999999999997"/>
    <s v="Data Scientist"/>
    <n v="9.5"/>
    <n v="41.6"/>
    <x v="189"/>
    <n v="7.1"/>
    <n v="7.1"/>
    <n v="4.8"/>
    <s v="Recession"/>
  </r>
  <r>
    <s v="T1634"/>
    <x v="0"/>
    <x v="2"/>
    <x v="3"/>
    <x v="3"/>
    <s v="Apr"/>
    <x v="2"/>
    <x v="1497"/>
    <n v="19.7"/>
    <x v="3"/>
    <n v="2.5"/>
    <x v="82"/>
    <n v="979"/>
    <x v="1"/>
    <n v="24.1"/>
    <s v="Data Scientist"/>
    <n v="69.5"/>
    <n v="-14.2"/>
    <x v="237"/>
    <n v="2.9"/>
    <n v="6.4"/>
    <n v="4.7"/>
    <s v="Recession"/>
  </r>
  <r>
    <s v="T1635"/>
    <x v="1"/>
    <x v="4"/>
    <x v="0"/>
    <x v="2"/>
    <s v="Jan"/>
    <x v="2"/>
    <x v="1498"/>
    <n v="15.6"/>
    <x v="2"/>
    <n v="6.7"/>
    <x v="65"/>
    <n v="1380"/>
    <x v="1"/>
    <n v="26.9"/>
    <s v="ML Engineer"/>
    <n v="27.6"/>
    <n v="52.2"/>
    <x v="347"/>
    <n v="4.2"/>
    <n v="8.4"/>
    <n v="6.2"/>
    <s v="Stable"/>
  </r>
  <r>
    <s v="T1636"/>
    <x v="9"/>
    <x v="0"/>
    <x v="5"/>
    <x v="1"/>
    <s v="Oct"/>
    <x v="1"/>
    <x v="1499"/>
    <n v="14"/>
    <x v="0"/>
    <n v="7.8"/>
    <x v="5"/>
    <n v="8241"/>
    <x v="0"/>
    <n v="82.1"/>
    <s v="ML Engineer"/>
    <n v="71.400000000000006"/>
    <n v="60"/>
    <x v="205"/>
    <n v="5.7"/>
    <n v="8.3000000000000007"/>
    <n v="6.2"/>
    <s v="Stable"/>
  </r>
  <r>
    <s v="T1637"/>
    <x v="2"/>
    <x v="2"/>
    <x v="0"/>
    <x v="0"/>
    <s v="Sep"/>
    <x v="2"/>
    <x v="940"/>
    <n v="7.8"/>
    <x v="2"/>
    <n v="13.3"/>
    <x v="11"/>
    <n v="574"/>
    <x v="0"/>
    <n v="30.7"/>
    <s v="Data Scientist"/>
    <n v="-25.3"/>
    <n v="34.200000000000003"/>
    <x v="225"/>
    <n v="8.9"/>
    <n v="8.3000000000000007"/>
    <n v="6"/>
    <s v="Bull Market"/>
  </r>
  <r>
    <s v="T1638"/>
    <x v="11"/>
    <x v="6"/>
    <x v="0"/>
    <x v="3"/>
    <s v="Jun"/>
    <x v="1"/>
    <x v="1500"/>
    <n v="12.1"/>
    <x v="0"/>
    <n v="10.199999999999999"/>
    <x v="5"/>
    <n v="4131"/>
    <x v="0"/>
    <n v="80.400000000000006"/>
    <s v="Software Engineer"/>
    <n v="13.6"/>
    <n v="-17.600000000000001"/>
    <x v="84"/>
    <n v="7"/>
    <n v="6.5"/>
    <n v="4.5999999999999996"/>
    <s v="Stable"/>
  </r>
  <r>
    <s v="T1639"/>
    <x v="4"/>
    <x v="1"/>
    <x v="0"/>
    <x v="1"/>
    <s v="Mar"/>
    <x v="0"/>
    <x v="1501"/>
    <n v="9"/>
    <x v="3"/>
    <n v="7.7"/>
    <x v="2"/>
    <n v="5062"/>
    <x v="1"/>
    <n v="67.3"/>
    <s v="Cybersecurity Analyst"/>
    <n v="-30.4"/>
    <n v="-10.3"/>
    <x v="4"/>
    <n v="5.2"/>
    <n v="6.6"/>
    <n v="5.6"/>
    <s v="Bull Market"/>
  </r>
  <r>
    <s v="T1640"/>
    <x v="0"/>
    <x v="0"/>
    <x v="2"/>
    <x v="3"/>
    <s v="Oct"/>
    <x v="0"/>
    <x v="1502"/>
    <n v="2.8"/>
    <x v="0"/>
    <n v="1.3"/>
    <x v="6"/>
    <n v="8878"/>
    <x v="3"/>
    <n v="53.9"/>
    <s v="Data Scientist"/>
    <n v="44.1"/>
    <n v="-23.3"/>
    <x v="469"/>
    <n v="1.4"/>
    <n v="5.8"/>
    <n v="6"/>
    <s v="Stable"/>
  </r>
  <r>
    <s v="T1641"/>
    <x v="7"/>
    <x v="4"/>
    <x v="0"/>
    <x v="2"/>
    <s v="Jun"/>
    <x v="2"/>
    <x v="1503"/>
    <n v="27.9"/>
    <x v="2"/>
    <n v="2.1"/>
    <x v="43"/>
    <n v="1894"/>
    <x v="2"/>
    <n v="55.4"/>
    <s v="Software Engineer"/>
    <n v="85.5"/>
    <n v="3.6"/>
    <x v="129"/>
    <n v="2.6"/>
    <n v="4"/>
    <n v="2.5"/>
    <s v="Recession"/>
  </r>
  <r>
    <s v="T1642"/>
    <x v="17"/>
    <x v="3"/>
    <x v="2"/>
    <x v="2"/>
    <s v="Oct"/>
    <x v="0"/>
    <x v="1504"/>
    <n v="15.9"/>
    <x v="2"/>
    <n v="13.2"/>
    <x v="5"/>
    <n v="4988"/>
    <x v="0"/>
    <n v="17.3"/>
    <s v="DevOps Engineer"/>
    <n v="-13.1"/>
    <n v="-18.100000000000001"/>
    <x v="441"/>
    <n v="7.9"/>
    <n v="4.5999999999999996"/>
    <n v="3.1"/>
    <s v="Stable"/>
  </r>
  <r>
    <s v="T1643"/>
    <x v="1"/>
    <x v="1"/>
    <x v="2"/>
    <x v="3"/>
    <s v="May"/>
    <x v="0"/>
    <x v="1505"/>
    <n v="11.7"/>
    <x v="2"/>
    <n v="5.9"/>
    <x v="5"/>
    <n v="1159"/>
    <x v="1"/>
    <n v="76.8"/>
    <s v="Frontend Developer"/>
    <n v="73"/>
    <n v="24.1"/>
    <x v="19"/>
    <n v="8"/>
    <n v="6.5"/>
    <n v="6.2"/>
    <s v="Stable"/>
  </r>
  <r>
    <s v="T1644"/>
    <x v="6"/>
    <x v="2"/>
    <x v="5"/>
    <x v="3"/>
    <s v="Feb"/>
    <x v="0"/>
    <x v="572"/>
    <n v="4.3"/>
    <x v="3"/>
    <n v="5.3"/>
    <x v="15"/>
    <n v="5371"/>
    <x v="3"/>
    <n v="34.799999999999997"/>
    <s v="Data Scientist"/>
    <n v="67"/>
    <n v="5.0999999999999996"/>
    <x v="470"/>
    <n v="7.5"/>
    <n v="7"/>
    <n v="6.3"/>
    <s v="Stable"/>
  </r>
  <r>
    <s v="T1645"/>
    <x v="1"/>
    <x v="1"/>
    <x v="3"/>
    <x v="3"/>
    <s v="Mar"/>
    <x v="1"/>
    <x v="1506"/>
    <n v="33.799999999999997"/>
    <x v="3"/>
    <n v="2.2999999999999998"/>
    <x v="67"/>
    <n v="921"/>
    <x v="2"/>
    <n v="35.9"/>
    <s v="Cloud Engineer"/>
    <n v="53.6"/>
    <n v="45.5"/>
    <x v="434"/>
    <n v="2.4"/>
    <n v="6.9"/>
    <n v="5.4"/>
    <s v="Recession"/>
  </r>
  <r>
    <s v="T1646"/>
    <x v="9"/>
    <x v="1"/>
    <x v="4"/>
    <x v="3"/>
    <s v="Jul"/>
    <x v="2"/>
    <x v="1033"/>
    <n v="7"/>
    <x v="2"/>
    <n v="11.3"/>
    <x v="8"/>
    <n v="4114"/>
    <x v="0"/>
    <n v="41.9"/>
    <s v="Data Scientist"/>
    <n v="-24.6"/>
    <n v="-19.3"/>
    <x v="362"/>
    <n v="6.7"/>
    <n v="7.7"/>
    <n v="4.5"/>
    <s v="Stable"/>
  </r>
  <r>
    <s v="T1647"/>
    <x v="0"/>
    <x v="2"/>
    <x v="1"/>
    <x v="0"/>
    <s v="Feb"/>
    <x v="2"/>
    <x v="1507"/>
    <n v="2.2000000000000002"/>
    <x v="1"/>
    <n v="1.7"/>
    <x v="55"/>
    <n v="4058"/>
    <x v="1"/>
    <n v="54.6"/>
    <s v="Data Scientist"/>
    <n v="0.9"/>
    <n v="27"/>
    <x v="206"/>
    <n v="1.7"/>
    <n v="9.1"/>
    <n v="9"/>
    <s v="Bull Market"/>
  </r>
  <r>
    <s v="T1648"/>
    <x v="8"/>
    <x v="4"/>
    <x v="4"/>
    <x v="0"/>
    <s v="Dec"/>
    <x v="2"/>
    <x v="1508"/>
    <n v="5.8"/>
    <x v="2"/>
    <n v="10.1"/>
    <x v="54"/>
    <n v="4349"/>
    <x v="0"/>
    <n v="69.599999999999994"/>
    <s v="Cloud Engineer"/>
    <n v="9.1999999999999993"/>
    <n v="-17.2"/>
    <x v="97"/>
    <n v="7.4"/>
    <n v="5.0999999999999996"/>
    <n v="5.3"/>
    <s v="Stable"/>
  </r>
  <r>
    <s v="T1649"/>
    <x v="8"/>
    <x v="4"/>
    <x v="5"/>
    <x v="0"/>
    <s v="Jun"/>
    <x v="1"/>
    <x v="1509"/>
    <n v="2.2999999999999998"/>
    <x v="2"/>
    <n v="3.1"/>
    <x v="74"/>
    <n v="3066"/>
    <x v="1"/>
    <n v="21.8"/>
    <s v="DevOps Engineer"/>
    <n v="82.6"/>
    <n v="-16.600000000000001"/>
    <x v="471"/>
    <n v="3.8"/>
    <n v="5.9"/>
    <n v="6.3"/>
    <s v="Stable"/>
  </r>
  <r>
    <s v="T1650"/>
    <x v="10"/>
    <x v="3"/>
    <x v="2"/>
    <x v="0"/>
    <s v="Mar"/>
    <x v="0"/>
    <x v="1510"/>
    <n v="1.7"/>
    <x v="1"/>
    <n v="6.9"/>
    <x v="45"/>
    <n v="1912"/>
    <x v="0"/>
    <n v="63.8"/>
    <s v="Software Engineer"/>
    <n v="22.7"/>
    <n v="-13.1"/>
    <x v="126"/>
    <n v="6.2"/>
    <n v="8"/>
    <n v="5.5"/>
    <s v="Bull Market"/>
  </r>
  <r>
    <s v="T1651"/>
    <x v="0"/>
    <x v="5"/>
    <x v="4"/>
    <x v="0"/>
    <s v="Jun"/>
    <x v="0"/>
    <x v="1511"/>
    <n v="6.6"/>
    <x v="1"/>
    <n v="8.1"/>
    <x v="50"/>
    <n v="5837"/>
    <x v="0"/>
    <n v="55.1"/>
    <s v="Cybersecurity Analyst"/>
    <n v="-35.200000000000003"/>
    <n v="57.4"/>
    <x v="415"/>
    <n v="7.3"/>
    <n v="6.4"/>
    <n v="7.2"/>
    <s v="Stable"/>
  </r>
  <r>
    <s v="T1652"/>
    <x v="2"/>
    <x v="0"/>
    <x v="3"/>
    <x v="1"/>
    <s v="Feb"/>
    <x v="1"/>
    <x v="1512"/>
    <n v="7.9"/>
    <x v="1"/>
    <n v="4"/>
    <x v="10"/>
    <n v="3427"/>
    <x v="1"/>
    <n v="68"/>
    <s v="Data Scientist"/>
    <n v="-24.5"/>
    <n v="-18"/>
    <x v="113"/>
    <n v="3.7"/>
    <n v="3.8"/>
    <n v="5.6"/>
    <s v="Bull Market"/>
  </r>
  <r>
    <s v="T1653"/>
    <x v="17"/>
    <x v="0"/>
    <x v="1"/>
    <x v="1"/>
    <s v="Dec"/>
    <x v="0"/>
    <x v="1513"/>
    <n v="4.3"/>
    <x v="3"/>
    <n v="11.3"/>
    <x v="5"/>
    <n v="4018"/>
    <x v="0"/>
    <n v="64.599999999999994"/>
    <s v="ML Engineer"/>
    <n v="73.5"/>
    <n v="7.9"/>
    <x v="138"/>
    <n v="9.6"/>
    <n v="7.5"/>
    <n v="6.7"/>
    <s v="Bull Market"/>
  </r>
  <r>
    <s v="T1654"/>
    <x v="16"/>
    <x v="2"/>
    <x v="2"/>
    <x v="0"/>
    <s v="Mar"/>
    <x v="1"/>
    <x v="1514"/>
    <n v="12.8"/>
    <x v="1"/>
    <n v="3.9"/>
    <x v="5"/>
    <n v="546"/>
    <x v="1"/>
    <n v="59.9"/>
    <s v="Cybersecurity Analyst"/>
    <n v="-31.8"/>
    <n v="30.1"/>
    <x v="434"/>
    <n v="4.9000000000000004"/>
    <n v="5.3"/>
    <n v="4.8"/>
    <s v="Recession"/>
  </r>
  <r>
    <s v="T1655"/>
    <x v="8"/>
    <x v="4"/>
    <x v="3"/>
    <x v="0"/>
    <s v="May"/>
    <x v="0"/>
    <x v="1515"/>
    <n v="4.8"/>
    <x v="0"/>
    <n v="5.7"/>
    <x v="70"/>
    <n v="5702"/>
    <x v="3"/>
    <n v="48.3"/>
    <s v="Cloud Engineer"/>
    <n v="1"/>
    <n v="36.1"/>
    <x v="25"/>
    <n v="5.8"/>
    <n v="9.1999999999999993"/>
    <n v="7.6"/>
    <s v="Bull Market"/>
  </r>
  <r>
    <s v="T1656"/>
    <x v="1"/>
    <x v="4"/>
    <x v="3"/>
    <x v="0"/>
    <s v="Mar"/>
    <x v="1"/>
    <x v="1516"/>
    <n v="17"/>
    <x v="3"/>
    <n v="3.8"/>
    <x v="56"/>
    <n v="1066"/>
    <x v="1"/>
    <n v="18.100000000000001"/>
    <s v="DevOps Engineer"/>
    <n v="37.5"/>
    <n v="16.2"/>
    <x v="143"/>
    <n v="2.9"/>
    <n v="5.0999999999999996"/>
    <n v="4.7"/>
    <s v="Recession"/>
  </r>
  <r>
    <s v="T1657"/>
    <x v="1"/>
    <x v="6"/>
    <x v="4"/>
    <x v="3"/>
    <s v="May"/>
    <x v="2"/>
    <x v="1517"/>
    <n v="8"/>
    <x v="4"/>
    <n v="9"/>
    <x v="68"/>
    <n v="2633"/>
    <x v="0"/>
    <n v="20"/>
    <s v="DevOps Engineer"/>
    <n v="-20.2"/>
    <n v="-0.2"/>
    <x v="15"/>
    <n v="6.5"/>
    <n v="4.7"/>
    <n v="6.8"/>
    <s v="Bull Market"/>
  </r>
  <r>
    <s v="T1658"/>
    <x v="4"/>
    <x v="1"/>
    <x v="0"/>
    <x v="1"/>
    <s v="Mar"/>
    <x v="2"/>
    <x v="903"/>
    <n v="4.2"/>
    <x v="0"/>
    <n v="2.6"/>
    <x v="4"/>
    <n v="919"/>
    <x v="1"/>
    <n v="50.4"/>
    <s v="Product Manager"/>
    <n v="72.099999999999994"/>
    <n v="45.4"/>
    <x v="131"/>
    <n v="2.2999999999999998"/>
    <n v="9"/>
    <n v="7.8"/>
    <s v="Stable"/>
  </r>
  <r>
    <s v="T1659"/>
    <x v="18"/>
    <x v="0"/>
    <x v="4"/>
    <x v="1"/>
    <s v="Aug"/>
    <x v="1"/>
    <x v="1518"/>
    <n v="10"/>
    <x v="4"/>
    <n v="1.3"/>
    <x v="24"/>
    <n v="9612"/>
    <x v="3"/>
    <n v="77.7"/>
    <s v="ML Engineer"/>
    <n v="55.5"/>
    <n v="34.299999999999997"/>
    <x v="242"/>
    <n v="1.6"/>
    <n v="5.3"/>
    <n v="7.7"/>
    <s v="Recession"/>
  </r>
  <r>
    <s v="T1660"/>
    <x v="2"/>
    <x v="3"/>
    <x v="2"/>
    <x v="1"/>
    <s v="Mar"/>
    <x v="2"/>
    <x v="1519"/>
    <n v="8.4"/>
    <x v="2"/>
    <n v="2.1"/>
    <x v="25"/>
    <n v="1836"/>
    <x v="1"/>
    <n v="87.8"/>
    <s v="Cloud Engineer"/>
    <n v="64.099999999999994"/>
    <n v="32.799999999999997"/>
    <x v="29"/>
    <n v="3.4"/>
    <n v="8.4"/>
    <n v="6.5"/>
    <s v="Recession"/>
  </r>
  <r>
    <s v="T1661"/>
    <x v="0"/>
    <x v="5"/>
    <x v="3"/>
    <x v="1"/>
    <s v="Feb"/>
    <x v="2"/>
    <x v="1520"/>
    <n v="2.8"/>
    <x v="1"/>
    <n v="7.1"/>
    <x v="5"/>
    <n v="2715"/>
    <x v="0"/>
    <n v="39.1"/>
    <s v="Product Manager"/>
    <n v="30.5"/>
    <n v="0.4"/>
    <x v="261"/>
    <n v="9"/>
    <n v="5.9"/>
    <n v="4.8"/>
    <s v="Stable"/>
  </r>
  <r>
    <s v="T1662"/>
    <x v="9"/>
    <x v="1"/>
    <x v="0"/>
    <x v="3"/>
    <s v="Apr"/>
    <x v="0"/>
    <x v="1521"/>
    <n v="24.3"/>
    <x v="0"/>
    <n v="4.5999999999999996"/>
    <x v="5"/>
    <n v="516"/>
    <x v="2"/>
    <n v="34.1"/>
    <s v="DevOps Engineer"/>
    <n v="39.6"/>
    <n v="-22.5"/>
    <x v="472"/>
    <n v="6.3"/>
    <n v="3.9"/>
    <n v="2.8"/>
    <s v="Recession"/>
  </r>
  <r>
    <s v="T1663"/>
    <x v="0"/>
    <x v="0"/>
    <x v="0"/>
    <x v="1"/>
    <s v="Sep"/>
    <x v="1"/>
    <x v="1522"/>
    <n v="35.5"/>
    <x v="2"/>
    <n v="2.6"/>
    <x v="5"/>
    <n v="1223"/>
    <x v="2"/>
    <n v="75.900000000000006"/>
    <s v="Data Scientist"/>
    <n v="83.5"/>
    <n v="24.4"/>
    <x v="260"/>
    <n v="3.4"/>
    <n v="4.3"/>
    <n v="2.9"/>
    <s v="Recession"/>
  </r>
  <r>
    <s v="T1664"/>
    <x v="4"/>
    <x v="1"/>
    <x v="5"/>
    <x v="0"/>
    <s v="Dec"/>
    <x v="2"/>
    <x v="108"/>
    <n v="8.5"/>
    <x v="3"/>
    <n v="2.9"/>
    <x v="8"/>
    <n v="370"/>
    <x v="1"/>
    <n v="31.7"/>
    <s v="Product Manager"/>
    <n v="73.099999999999994"/>
    <n v="20.6"/>
    <x v="248"/>
    <n v="3.5"/>
    <n v="6.3"/>
    <n v="6.8"/>
    <s v="Stable"/>
  </r>
  <r>
    <s v="T1665"/>
    <x v="0"/>
    <x v="1"/>
    <x v="4"/>
    <x v="2"/>
    <s v="Jul"/>
    <x v="2"/>
    <x v="1523"/>
    <n v="1.8"/>
    <x v="3"/>
    <n v="8.4"/>
    <x v="2"/>
    <n v="1026"/>
    <x v="1"/>
    <n v="45.6"/>
    <s v="Product Manager"/>
    <n v="63.4"/>
    <n v="39.1"/>
    <x v="184"/>
    <n v="6.9"/>
    <n v="8"/>
    <n v="6.7"/>
    <s v="Bull Market"/>
  </r>
  <r>
    <s v="T1666"/>
    <x v="12"/>
    <x v="0"/>
    <x v="3"/>
    <x v="3"/>
    <s v="Jun"/>
    <x v="2"/>
    <x v="1524"/>
    <n v="4"/>
    <x v="4"/>
    <n v="4.4000000000000004"/>
    <x v="20"/>
    <n v="6579"/>
    <x v="3"/>
    <n v="74.599999999999994"/>
    <s v="ML Engineer"/>
    <n v="23.8"/>
    <n v="2"/>
    <x v="336"/>
    <n v="3.9"/>
    <n v="5.0999999999999996"/>
    <n v="6.4"/>
    <s v="Stable"/>
  </r>
  <r>
    <s v="T1667"/>
    <x v="7"/>
    <x v="4"/>
    <x v="0"/>
    <x v="3"/>
    <s v="Jul"/>
    <x v="2"/>
    <x v="1525"/>
    <n v="15.9"/>
    <x v="0"/>
    <n v="9.8000000000000007"/>
    <x v="5"/>
    <n v="2845"/>
    <x v="1"/>
    <n v="36.700000000000003"/>
    <s v="Product Manager"/>
    <n v="31.1"/>
    <n v="48.8"/>
    <x v="22"/>
    <n v="6.3"/>
    <n v="7.8"/>
    <n v="6.8"/>
    <s v="Stable"/>
  </r>
  <r>
    <s v="T1668"/>
    <x v="2"/>
    <x v="3"/>
    <x v="0"/>
    <x v="2"/>
    <s v="Mar"/>
    <x v="0"/>
    <x v="1526"/>
    <n v="27.3"/>
    <x v="1"/>
    <n v="5.5"/>
    <x v="5"/>
    <n v="1007"/>
    <x v="1"/>
    <n v="81.099999999999994"/>
    <s v="DevOps Engineer"/>
    <n v="22.1"/>
    <n v="21.9"/>
    <x v="356"/>
    <n v="8.1"/>
    <n v="6.3"/>
    <n v="3.4"/>
    <s v="Recession"/>
  </r>
  <r>
    <s v="T1669"/>
    <x v="3"/>
    <x v="1"/>
    <x v="5"/>
    <x v="0"/>
    <s v="Mar"/>
    <x v="0"/>
    <x v="1465"/>
    <n v="7.5"/>
    <x v="4"/>
    <n v="5.2"/>
    <x v="44"/>
    <n v="4812"/>
    <x v="0"/>
    <n v="58.4"/>
    <s v="Frontend Developer"/>
    <n v="1.8"/>
    <n v="33.1"/>
    <x v="96"/>
    <n v="3.7"/>
    <n v="6.9"/>
    <n v="7.9"/>
    <s v="Bull Market"/>
  </r>
  <r>
    <s v="T1670"/>
    <x v="12"/>
    <x v="5"/>
    <x v="5"/>
    <x v="2"/>
    <s v="Dec"/>
    <x v="1"/>
    <x v="1527"/>
    <n v="5.5"/>
    <x v="2"/>
    <n v="11.1"/>
    <x v="43"/>
    <n v="295"/>
    <x v="0"/>
    <n v="47.2"/>
    <s v="Cloud Engineer"/>
    <n v="-0.7"/>
    <n v="42.3"/>
    <x v="96"/>
    <n v="9"/>
    <n v="8.4"/>
    <n v="7.6"/>
    <s v="Bull Market"/>
  </r>
  <r>
    <s v="T1671"/>
    <x v="6"/>
    <x v="1"/>
    <x v="1"/>
    <x v="0"/>
    <s v="Dec"/>
    <x v="0"/>
    <x v="1528"/>
    <n v="30.8"/>
    <x v="2"/>
    <n v="11.3"/>
    <x v="5"/>
    <n v="768"/>
    <x v="2"/>
    <n v="69.8"/>
    <s v="Frontend Developer"/>
    <n v="49.4"/>
    <n v="25.7"/>
    <x v="248"/>
    <n v="7.3"/>
    <n v="5.8"/>
    <n v="4"/>
    <s v="Recession"/>
  </r>
  <r>
    <s v="T1672"/>
    <x v="19"/>
    <x v="0"/>
    <x v="1"/>
    <x v="1"/>
    <s v="Mar"/>
    <x v="1"/>
    <x v="1529"/>
    <n v="35.200000000000003"/>
    <x v="2"/>
    <n v="9.3000000000000007"/>
    <x v="5"/>
    <n v="2199"/>
    <x v="2"/>
    <n v="73.8"/>
    <s v="ML Engineer"/>
    <n v="45.9"/>
    <n v="40"/>
    <x v="232"/>
    <n v="6.3"/>
    <n v="6.1"/>
    <n v="3.8"/>
    <s v="Recession"/>
  </r>
  <r>
    <s v="T1673"/>
    <x v="13"/>
    <x v="5"/>
    <x v="2"/>
    <x v="3"/>
    <s v="Oct"/>
    <x v="1"/>
    <x v="1530"/>
    <n v="35.6"/>
    <x v="0"/>
    <n v="2"/>
    <x v="65"/>
    <n v="1828"/>
    <x v="2"/>
    <n v="63.7"/>
    <s v="Product Manager"/>
    <n v="35.4"/>
    <n v="25.7"/>
    <x v="108"/>
    <n v="1.5"/>
    <n v="5.0999999999999996"/>
    <n v="3.1"/>
    <s v="Recession"/>
  </r>
  <r>
    <s v="T1674"/>
    <x v="14"/>
    <x v="1"/>
    <x v="4"/>
    <x v="2"/>
    <s v="Dec"/>
    <x v="0"/>
    <x v="1531"/>
    <n v="23"/>
    <x v="0"/>
    <n v="5.9"/>
    <x v="5"/>
    <n v="1576"/>
    <x v="2"/>
    <n v="86.3"/>
    <s v="Product Manager"/>
    <n v="14.8"/>
    <n v="38.799999999999997"/>
    <x v="98"/>
    <n v="6.7"/>
    <n v="5.0999999999999996"/>
    <n v="4.2"/>
    <s v="Recession"/>
  </r>
  <r>
    <s v="T1675"/>
    <x v="17"/>
    <x v="0"/>
    <x v="3"/>
    <x v="3"/>
    <s v="Nov"/>
    <x v="0"/>
    <x v="1532"/>
    <n v="8.6999999999999993"/>
    <x v="3"/>
    <n v="1.6"/>
    <x v="17"/>
    <n v="8620"/>
    <x v="0"/>
    <n v="66.599999999999994"/>
    <s v="Data Scientist"/>
    <n v="40.5"/>
    <n v="33.4"/>
    <x v="229"/>
    <n v="2.6"/>
    <n v="6.8"/>
    <n v="7.6"/>
    <s v="Stable"/>
  </r>
  <r>
    <s v="T1676"/>
    <x v="2"/>
    <x v="5"/>
    <x v="0"/>
    <x v="1"/>
    <s v="Aug"/>
    <x v="0"/>
    <x v="1533"/>
    <n v="29.4"/>
    <x v="3"/>
    <n v="4.9000000000000004"/>
    <x v="5"/>
    <n v="1109"/>
    <x v="2"/>
    <n v="56.9"/>
    <s v="Cybersecurity Analyst"/>
    <n v="32.700000000000003"/>
    <n v="50.5"/>
    <x v="253"/>
    <n v="7.8"/>
    <n v="7.3"/>
    <n v="5.2"/>
    <s v="Recession"/>
  </r>
  <r>
    <s v="T1677"/>
    <x v="2"/>
    <x v="3"/>
    <x v="2"/>
    <x v="3"/>
    <s v="Apr"/>
    <x v="0"/>
    <x v="1534"/>
    <n v="24"/>
    <x v="1"/>
    <n v="8"/>
    <x v="5"/>
    <n v="980"/>
    <x v="2"/>
    <n v="20.5"/>
    <s v="Software Engineer"/>
    <n v="88.5"/>
    <n v="-9.3000000000000007"/>
    <x v="373"/>
    <n v="8.1999999999999993"/>
    <n v="5.9"/>
    <n v="3.3"/>
    <s v="Recession"/>
  </r>
  <r>
    <s v="T1678"/>
    <x v="0"/>
    <x v="5"/>
    <x v="4"/>
    <x v="1"/>
    <s v="Oct"/>
    <x v="0"/>
    <x v="1535"/>
    <n v="11.2"/>
    <x v="3"/>
    <n v="12.7"/>
    <x v="52"/>
    <n v="845"/>
    <x v="0"/>
    <n v="68.099999999999994"/>
    <s v="Cybersecurity Analyst"/>
    <n v="87.5"/>
    <n v="-7.7"/>
    <x v="340"/>
    <n v="7.5"/>
    <n v="4.9000000000000004"/>
    <n v="6.2"/>
    <s v="Stable"/>
  </r>
  <r>
    <s v="T1679"/>
    <x v="2"/>
    <x v="3"/>
    <x v="1"/>
    <x v="1"/>
    <s v="Mar"/>
    <x v="1"/>
    <x v="1536"/>
    <n v="1.4"/>
    <x v="4"/>
    <n v="1.8"/>
    <x v="12"/>
    <n v="1814"/>
    <x v="1"/>
    <n v="56.2"/>
    <s v="Cybersecurity Analyst"/>
    <n v="8.1999999999999993"/>
    <n v="2.6"/>
    <x v="156"/>
    <n v="2.6"/>
    <n v="8.8000000000000007"/>
    <n v="7.3"/>
    <s v="Bull Market"/>
  </r>
  <r>
    <s v="T1680"/>
    <x v="0"/>
    <x v="5"/>
    <x v="5"/>
    <x v="0"/>
    <s v="May"/>
    <x v="0"/>
    <x v="1537"/>
    <n v="37.200000000000003"/>
    <x v="3"/>
    <n v="2.5"/>
    <x v="5"/>
    <n v="451"/>
    <x v="2"/>
    <n v="88.9"/>
    <s v="Software Engineer"/>
    <n v="6.9"/>
    <n v="38.9"/>
    <x v="94"/>
    <n v="3.3"/>
    <n v="5.4"/>
    <n v="2.7"/>
    <s v="Recession"/>
  </r>
  <r>
    <s v="T1681"/>
    <x v="2"/>
    <x v="5"/>
    <x v="0"/>
    <x v="0"/>
    <s v="Jun"/>
    <x v="0"/>
    <x v="1538"/>
    <n v="32"/>
    <x v="4"/>
    <n v="6.3"/>
    <x v="5"/>
    <n v="280"/>
    <x v="1"/>
    <n v="75"/>
    <s v="DevOps Engineer"/>
    <n v="-14.6"/>
    <n v="3.9"/>
    <x v="349"/>
    <n v="9.8000000000000007"/>
    <n v="6.2"/>
    <n v="2.4"/>
    <s v="Recession"/>
  </r>
  <r>
    <s v="T1682"/>
    <x v="10"/>
    <x v="3"/>
    <x v="2"/>
    <x v="0"/>
    <s v="Mar"/>
    <x v="1"/>
    <x v="1539"/>
    <n v="31.8"/>
    <x v="0"/>
    <n v="4.5"/>
    <x v="5"/>
    <n v="1012"/>
    <x v="1"/>
    <n v="42.8"/>
    <s v="Cloud Engineer"/>
    <n v="-33.200000000000003"/>
    <n v="-11"/>
    <x v="339"/>
    <n v="7.5"/>
    <n v="2.2999999999999998"/>
    <n v="2.2999999999999998"/>
    <s v="Recession"/>
  </r>
  <r>
    <s v="T1683"/>
    <x v="9"/>
    <x v="1"/>
    <x v="5"/>
    <x v="0"/>
    <s v="Sep"/>
    <x v="0"/>
    <x v="1540"/>
    <n v="0.3"/>
    <x v="1"/>
    <n v="12.3"/>
    <x v="7"/>
    <n v="1344"/>
    <x v="0"/>
    <n v="37.200000000000003"/>
    <s v="ML Engineer"/>
    <n v="-35"/>
    <n v="26.1"/>
    <x v="66"/>
    <n v="7.8"/>
    <n v="7.5"/>
    <n v="7.9"/>
    <s v="Bull Market"/>
  </r>
  <r>
    <s v="T1684"/>
    <x v="17"/>
    <x v="3"/>
    <x v="2"/>
    <x v="0"/>
    <s v="Feb"/>
    <x v="0"/>
    <x v="36"/>
    <n v="3.5"/>
    <x v="0"/>
    <n v="8.6"/>
    <x v="76"/>
    <n v="5107"/>
    <x v="0"/>
    <n v="14"/>
    <s v="Cybersecurity Analyst"/>
    <n v="-11.1"/>
    <n v="6.8"/>
    <x v="308"/>
    <n v="8.6999999999999993"/>
    <n v="6.2"/>
    <n v="8"/>
    <s v="Bull Market"/>
  </r>
  <r>
    <s v="T1685"/>
    <x v="6"/>
    <x v="2"/>
    <x v="1"/>
    <x v="1"/>
    <s v="Oct"/>
    <x v="0"/>
    <x v="1541"/>
    <n v="6.7"/>
    <x v="0"/>
    <n v="2.6"/>
    <x v="21"/>
    <n v="3830"/>
    <x v="0"/>
    <n v="31.9"/>
    <s v="Frontend Developer"/>
    <n v="22.8"/>
    <n v="42.9"/>
    <x v="107"/>
    <n v="2.1"/>
    <n v="9.1"/>
    <n v="8.1999999999999993"/>
    <s v="Bull Market"/>
  </r>
  <r>
    <s v="T1686"/>
    <x v="1"/>
    <x v="0"/>
    <x v="0"/>
    <x v="1"/>
    <s v="Oct"/>
    <x v="2"/>
    <x v="1542"/>
    <n v="8.1999999999999993"/>
    <x v="4"/>
    <n v="7.6"/>
    <x v="5"/>
    <n v="9017"/>
    <x v="0"/>
    <n v="71.2"/>
    <s v="Data Scientist"/>
    <n v="-34.1"/>
    <n v="41.8"/>
    <x v="154"/>
    <n v="7.7"/>
    <n v="6"/>
    <n v="6.3"/>
    <s v="Bull Market"/>
  </r>
  <r>
    <s v="T1687"/>
    <x v="2"/>
    <x v="3"/>
    <x v="3"/>
    <x v="3"/>
    <s v="Sep"/>
    <x v="2"/>
    <x v="1208"/>
    <n v="5.9"/>
    <x v="2"/>
    <n v="2.8"/>
    <x v="41"/>
    <n v="5790"/>
    <x v="0"/>
    <n v="30.3"/>
    <s v="DevOps Engineer"/>
    <n v="-17.899999999999999"/>
    <n v="34.5"/>
    <x v="284"/>
    <n v="2.9"/>
    <n v="8.1999999999999993"/>
    <n v="6.4"/>
    <s v="Bull Market"/>
  </r>
  <r>
    <s v="T1688"/>
    <x v="6"/>
    <x v="1"/>
    <x v="4"/>
    <x v="2"/>
    <s v="Sep"/>
    <x v="0"/>
    <x v="1543"/>
    <n v="14.4"/>
    <x v="0"/>
    <n v="13"/>
    <x v="5"/>
    <n v="352"/>
    <x v="1"/>
    <n v="87.9"/>
    <s v="Software Engineer"/>
    <n v="44.4"/>
    <n v="52.9"/>
    <x v="364"/>
    <n v="9.3000000000000007"/>
    <n v="9.1"/>
    <n v="7.1"/>
    <s v="Recession"/>
  </r>
  <r>
    <s v="T1689"/>
    <x v="0"/>
    <x v="5"/>
    <x v="5"/>
    <x v="0"/>
    <s v="Oct"/>
    <x v="0"/>
    <x v="1544"/>
    <n v="6.6"/>
    <x v="0"/>
    <n v="2"/>
    <x v="77"/>
    <n v="255"/>
    <x v="2"/>
    <n v="83.2"/>
    <s v="Cybersecurity Analyst"/>
    <n v="-14.6"/>
    <n v="11.8"/>
    <x v="335"/>
    <n v="1.3"/>
    <n v="5.2"/>
    <n v="7.9"/>
    <s v="Bull Market"/>
  </r>
  <r>
    <s v="T1690"/>
    <x v="2"/>
    <x v="3"/>
    <x v="0"/>
    <x v="1"/>
    <s v="Mar"/>
    <x v="1"/>
    <x v="1545"/>
    <n v="22.5"/>
    <x v="3"/>
    <n v="3.3"/>
    <x v="11"/>
    <n v="1081"/>
    <x v="2"/>
    <n v="50"/>
    <s v="Cloud Engineer"/>
    <n v="-37.299999999999997"/>
    <n v="6"/>
    <x v="379"/>
    <n v="2.2000000000000002"/>
    <n v="3.5"/>
    <n v="5.0999999999999996"/>
    <s v="Recession"/>
  </r>
  <r>
    <s v="T1691"/>
    <x v="0"/>
    <x v="5"/>
    <x v="4"/>
    <x v="0"/>
    <s v="Nov"/>
    <x v="2"/>
    <x v="1546"/>
    <n v="7.6"/>
    <x v="1"/>
    <n v="0.9"/>
    <x v="53"/>
    <n v="3553"/>
    <x v="1"/>
    <n v="79"/>
    <s v="DevOps Engineer"/>
    <n v="27.3"/>
    <n v="43.9"/>
    <x v="118"/>
    <n v="1.4"/>
    <n v="6.7"/>
    <n v="9"/>
    <s v="Bull Market"/>
  </r>
  <r>
    <s v="T1692"/>
    <x v="0"/>
    <x v="1"/>
    <x v="2"/>
    <x v="0"/>
    <s v="Sep"/>
    <x v="0"/>
    <x v="1547"/>
    <n v="32.4"/>
    <x v="2"/>
    <n v="2.8"/>
    <x v="16"/>
    <n v="1577"/>
    <x v="2"/>
    <n v="39.9"/>
    <s v="Frontend Developer"/>
    <n v="9.6"/>
    <n v="-18.3"/>
    <x v="413"/>
    <n v="1.9"/>
    <n v="4.5999999999999996"/>
    <n v="2.9"/>
    <s v="Recession"/>
  </r>
  <r>
    <s v="T1693"/>
    <x v="9"/>
    <x v="1"/>
    <x v="0"/>
    <x v="3"/>
    <s v="Jul"/>
    <x v="1"/>
    <x v="1548"/>
    <n v="16.600000000000001"/>
    <x v="2"/>
    <n v="12.9"/>
    <x v="48"/>
    <n v="2556"/>
    <x v="0"/>
    <n v="30.5"/>
    <s v="Cybersecurity Analyst"/>
    <n v="-3.8"/>
    <n v="-9.4"/>
    <x v="126"/>
    <n v="7.9"/>
    <n v="6.2"/>
    <n v="3.8"/>
    <s v="Stable"/>
  </r>
  <r>
    <s v="T1694"/>
    <x v="14"/>
    <x v="1"/>
    <x v="2"/>
    <x v="1"/>
    <s v="May"/>
    <x v="2"/>
    <x v="1549"/>
    <n v="26.2"/>
    <x v="3"/>
    <n v="3.6"/>
    <x v="84"/>
    <n v="839"/>
    <x v="2"/>
    <n v="17.399999999999999"/>
    <s v="Frontend Developer"/>
    <n v="-6.4"/>
    <n v="2.7"/>
    <x v="15"/>
    <n v="5.5"/>
    <n v="3.3"/>
    <n v="3.1"/>
    <s v="Recession"/>
  </r>
  <r>
    <s v="T1695"/>
    <x v="2"/>
    <x v="2"/>
    <x v="1"/>
    <x v="1"/>
    <s v="Apr"/>
    <x v="1"/>
    <x v="1550"/>
    <n v="5.4"/>
    <x v="1"/>
    <n v="8.5"/>
    <x v="5"/>
    <n v="3656"/>
    <x v="0"/>
    <n v="21.3"/>
    <s v="Cloud Engineer"/>
    <n v="30.9"/>
    <n v="50.7"/>
    <x v="311"/>
    <n v="7.6"/>
    <n v="9.4"/>
    <n v="7.5"/>
    <s v="Bull Market"/>
  </r>
  <r>
    <s v="T1696"/>
    <x v="8"/>
    <x v="6"/>
    <x v="5"/>
    <x v="1"/>
    <s v="Mar"/>
    <x v="1"/>
    <x v="1551"/>
    <n v="8.8000000000000007"/>
    <x v="4"/>
    <n v="4.8"/>
    <x v="28"/>
    <n v="3485"/>
    <x v="1"/>
    <n v="57.6"/>
    <s v="DevOps Engineer"/>
    <n v="-36.1"/>
    <n v="53"/>
    <x v="105"/>
    <n v="3.8"/>
    <n v="9.3000000000000007"/>
    <n v="7.4"/>
    <s v="Stable"/>
  </r>
  <r>
    <s v="T1697"/>
    <x v="3"/>
    <x v="1"/>
    <x v="5"/>
    <x v="2"/>
    <s v="Oct"/>
    <x v="2"/>
    <x v="1552"/>
    <n v="14.3"/>
    <x v="3"/>
    <n v="5.7"/>
    <x v="16"/>
    <n v="3488"/>
    <x v="1"/>
    <n v="21.1"/>
    <s v="Data Scientist"/>
    <n v="85.6"/>
    <n v="30.5"/>
    <x v="165"/>
    <n v="3.6"/>
    <n v="4.9000000000000004"/>
    <n v="5.7"/>
    <s v="Stable"/>
  </r>
  <r>
    <s v="T1698"/>
    <x v="0"/>
    <x v="0"/>
    <x v="1"/>
    <x v="0"/>
    <s v="Nov"/>
    <x v="2"/>
    <x v="1553"/>
    <n v="35.9"/>
    <x v="3"/>
    <n v="5.5"/>
    <x v="5"/>
    <n v="7616"/>
    <x v="1"/>
    <n v="19.600000000000001"/>
    <s v="ML Engineer"/>
    <n v="22.4"/>
    <n v="51.8"/>
    <x v="305"/>
    <n v="4"/>
    <n v="5.4"/>
    <n v="3.1"/>
    <s v="Recession"/>
  </r>
  <r>
    <s v="T1699"/>
    <x v="16"/>
    <x v="2"/>
    <x v="3"/>
    <x v="3"/>
    <s v="May"/>
    <x v="1"/>
    <x v="95"/>
    <n v="9.8000000000000007"/>
    <x v="2"/>
    <n v="4.3"/>
    <x v="66"/>
    <n v="4640"/>
    <x v="1"/>
    <n v="46.2"/>
    <s v="ML Engineer"/>
    <n v="-19.2"/>
    <n v="0.8"/>
    <x v="50"/>
    <n v="3"/>
    <n v="6.6"/>
    <n v="6.7"/>
    <s v="Bull Market"/>
  </r>
  <r>
    <s v="T1700"/>
    <x v="9"/>
    <x v="0"/>
    <x v="4"/>
    <x v="2"/>
    <s v="Jan"/>
    <x v="1"/>
    <x v="1554"/>
    <n v="7.5"/>
    <x v="4"/>
    <n v="7.5"/>
    <x v="78"/>
    <n v="8810"/>
    <x v="0"/>
    <n v="39.1"/>
    <s v="Data Scientist"/>
    <n v="79.599999999999994"/>
    <n v="2"/>
    <x v="282"/>
    <n v="5.0999999999999996"/>
    <n v="5.9"/>
    <n v="6.3"/>
    <s v="Stable"/>
  </r>
  <r>
    <s v="T1701"/>
    <x v="17"/>
    <x v="0"/>
    <x v="4"/>
    <x v="2"/>
    <s v="Aug"/>
    <x v="2"/>
    <x v="1555"/>
    <n v="11.9"/>
    <x v="4"/>
    <n v="14.8"/>
    <x v="5"/>
    <n v="1621"/>
    <x v="0"/>
    <n v="85.5"/>
    <s v="Data Scientist"/>
    <n v="-0.8"/>
    <n v="-14.1"/>
    <x v="254"/>
    <n v="9.8000000000000007"/>
    <n v="7.2"/>
    <n v="5.0999999999999996"/>
    <s v="Stable"/>
  </r>
  <r>
    <s v="T1702"/>
    <x v="12"/>
    <x v="5"/>
    <x v="3"/>
    <x v="0"/>
    <s v="Nov"/>
    <x v="2"/>
    <x v="271"/>
    <n v="37.200000000000003"/>
    <x v="4"/>
    <n v="7.3"/>
    <x v="5"/>
    <n v="481"/>
    <x v="2"/>
    <n v="11.9"/>
    <s v="ML Engineer"/>
    <n v="-27.9"/>
    <n v="42.1"/>
    <x v="0"/>
    <n v="4.4000000000000004"/>
    <n v="6.9"/>
    <n v="4.4000000000000004"/>
    <s v="Recession"/>
  </r>
  <r>
    <s v="T1703"/>
    <x v="14"/>
    <x v="1"/>
    <x v="1"/>
    <x v="0"/>
    <s v="Feb"/>
    <x v="0"/>
    <x v="1556"/>
    <n v="1.5"/>
    <x v="3"/>
    <n v="1.7"/>
    <x v="71"/>
    <n v="4804"/>
    <x v="0"/>
    <n v="13"/>
    <s v="Data Scientist"/>
    <n v="76.5"/>
    <n v="51.9"/>
    <x v="87"/>
    <n v="1.3"/>
    <n v="8.6999999999999993"/>
    <n v="8.6"/>
    <s v="Bull Market"/>
  </r>
  <r>
    <s v="T1704"/>
    <x v="5"/>
    <x v="3"/>
    <x v="1"/>
    <x v="3"/>
    <s v="Apr"/>
    <x v="2"/>
    <x v="1557"/>
    <n v="34.6"/>
    <x v="2"/>
    <n v="2.8"/>
    <x v="5"/>
    <n v="1242"/>
    <x v="2"/>
    <n v="84"/>
    <s v="Cloud Engineer"/>
    <n v="84.1"/>
    <n v="21.6"/>
    <x v="382"/>
    <n v="4.5"/>
    <n v="3.3"/>
    <n v="4.0999999999999996"/>
    <s v="Recession"/>
  </r>
  <r>
    <s v="T1705"/>
    <x v="2"/>
    <x v="0"/>
    <x v="0"/>
    <x v="1"/>
    <s v="Oct"/>
    <x v="0"/>
    <x v="1558"/>
    <n v="36.200000000000003"/>
    <x v="1"/>
    <n v="2.8"/>
    <x v="57"/>
    <n v="9431"/>
    <x v="1"/>
    <n v="68.3"/>
    <s v="Data Scientist"/>
    <n v="-36.799999999999997"/>
    <n v="9.3000000000000007"/>
    <x v="30"/>
    <n v="2.4"/>
    <n v="5.7"/>
    <n v="3.3"/>
    <s v="Recession"/>
  </r>
  <r>
    <s v="T1706"/>
    <x v="8"/>
    <x v="6"/>
    <x v="5"/>
    <x v="2"/>
    <s v="Jan"/>
    <x v="2"/>
    <x v="1559"/>
    <n v="16.100000000000001"/>
    <x v="4"/>
    <n v="5.8"/>
    <x v="5"/>
    <n v="3243"/>
    <x v="1"/>
    <n v="14.2"/>
    <s v="DevOps Engineer"/>
    <n v="-8.1999999999999993"/>
    <n v="23"/>
    <x v="11"/>
    <n v="9.3000000000000007"/>
    <n v="4.7"/>
    <n v="5.2"/>
    <s v="Stable"/>
  </r>
  <r>
    <s v="T1707"/>
    <x v="1"/>
    <x v="6"/>
    <x v="2"/>
    <x v="2"/>
    <s v="Oct"/>
    <x v="2"/>
    <x v="1560"/>
    <n v="9"/>
    <x v="4"/>
    <n v="2.2000000000000002"/>
    <x v="53"/>
    <n v="2158"/>
    <x v="1"/>
    <n v="55.9"/>
    <s v="Data Scientist"/>
    <n v="-25.9"/>
    <n v="36.299999999999997"/>
    <x v="473"/>
    <n v="1.9"/>
    <n v="6.5"/>
    <n v="8.1999999999999993"/>
    <s v="Stable"/>
  </r>
  <r>
    <s v="T1708"/>
    <x v="11"/>
    <x v="6"/>
    <x v="5"/>
    <x v="3"/>
    <s v="Feb"/>
    <x v="1"/>
    <x v="1561"/>
    <n v="4.0999999999999996"/>
    <x v="0"/>
    <n v="15.2"/>
    <x v="17"/>
    <n v="2347"/>
    <x v="0"/>
    <n v="26"/>
    <s v="DevOps Engineer"/>
    <n v="40.700000000000003"/>
    <n v="-5.5"/>
    <x v="269"/>
    <n v="9"/>
    <n v="6"/>
    <n v="5.3"/>
    <s v="Bull Market"/>
  </r>
  <r>
    <s v="T1709"/>
    <x v="17"/>
    <x v="0"/>
    <x v="1"/>
    <x v="1"/>
    <s v="Nov"/>
    <x v="0"/>
    <x v="777"/>
    <n v="8.4"/>
    <x v="1"/>
    <n v="3.2"/>
    <x v="34"/>
    <n v="4284"/>
    <x v="1"/>
    <n v="11.3"/>
    <s v="Data Scientist"/>
    <n v="20.9"/>
    <n v="1.7"/>
    <x v="143"/>
    <n v="2.4"/>
    <n v="5.7"/>
    <n v="7.3"/>
    <s v="Bull Market"/>
  </r>
  <r>
    <s v="T1710"/>
    <x v="2"/>
    <x v="1"/>
    <x v="4"/>
    <x v="1"/>
    <s v="Mar"/>
    <x v="0"/>
    <x v="6"/>
    <n v="15.2"/>
    <x v="1"/>
    <n v="7"/>
    <x v="10"/>
    <n v="1395"/>
    <x v="1"/>
    <n v="12"/>
    <s v="Data Scientist"/>
    <n v="66.400000000000006"/>
    <n v="20.399999999999999"/>
    <x v="273"/>
    <n v="5.8"/>
    <n v="4.5"/>
    <n v="4.9000000000000004"/>
    <s v="Recession"/>
  </r>
  <r>
    <s v="T1711"/>
    <x v="1"/>
    <x v="0"/>
    <x v="5"/>
    <x v="0"/>
    <s v="Feb"/>
    <x v="1"/>
    <x v="1562"/>
    <n v="19.399999999999999"/>
    <x v="1"/>
    <n v="4"/>
    <x v="29"/>
    <n v="8029"/>
    <x v="1"/>
    <n v="78.2"/>
    <s v="Data Scientist"/>
    <n v="-16.5"/>
    <n v="23.7"/>
    <x v="141"/>
    <n v="3.1"/>
    <n v="4.5999999999999996"/>
    <n v="4.9000000000000004"/>
    <s v="Recession"/>
  </r>
  <r>
    <s v="T1712"/>
    <x v="19"/>
    <x v="0"/>
    <x v="0"/>
    <x v="1"/>
    <s v="Mar"/>
    <x v="1"/>
    <x v="1295"/>
    <n v="0.2"/>
    <x v="1"/>
    <n v="9"/>
    <x v="87"/>
    <n v="1881"/>
    <x v="0"/>
    <n v="55.5"/>
    <s v="ML Engineer"/>
    <n v="35.799999999999997"/>
    <n v="2.4"/>
    <x v="387"/>
    <n v="5.7"/>
    <n v="6.5"/>
    <n v="8"/>
    <s v="Bull Market"/>
  </r>
  <r>
    <s v="T1713"/>
    <x v="6"/>
    <x v="1"/>
    <x v="1"/>
    <x v="2"/>
    <s v="Dec"/>
    <x v="0"/>
    <x v="1563"/>
    <n v="1.8"/>
    <x v="1"/>
    <n v="10.8"/>
    <x v="68"/>
    <n v="1117"/>
    <x v="0"/>
    <n v="56.2"/>
    <s v="ML Engineer"/>
    <n v="24.8"/>
    <n v="26.1"/>
    <x v="396"/>
    <n v="9.1"/>
    <n v="8.6999999999999993"/>
    <n v="6.4"/>
    <s v="Bull Market"/>
  </r>
  <r>
    <s v="T1714"/>
    <x v="2"/>
    <x v="3"/>
    <x v="5"/>
    <x v="1"/>
    <s v="May"/>
    <x v="1"/>
    <x v="1564"/>
    <n v="27.3"/>
    <x v="1"/>
    <n v="11.2"/>
    <x v="5"/>
    <n v="396"/>
    <x v="1"/>
    <n v="79.099999999999994"/>
    <s v="Data Scientist"/>
    <n v="68.2"/>
    <n v="58.5"/>
    <x v="381"/>
    <n v="9"/>
    <n v="7.8"/>
    <n v="4.4000000000000004"/>
    <s v="Recession"/>
  </r>
  <r>
    <s v="T1715"/>
    <x v="6"/>
    <x v="2"/>
    <x v="4"/>
    <x v="1"/>
    <s v="Jun"/>
    <x v="2"/>
    <x v="1565"/>
    <n v="14.7"/>
    <x v="3"/>
    <n v="6.2"/>
    <x v="69"/>
    <n v="584"/>
    <x v="0"/>
    <n v="79.5"/>
    <s v="Frontend Developer"/>
    <n v="-29.3"/>
    <n v="20.2"/>
    <x v="311"/>
    <n v="8.8000000000000007"/>
    <n v="7.2"/>
    <n v="4.5"/>
    <s v="Recession"/>
  </r>
  <r>
    <s v="T1716"/>
    <x v="4"/>
    <x v="0"/>
    <x v="2"/>
    <x v="2"/>
    <s v="Feb"/>
    <x v="2"/>
    <x v="3"/>
    <n v="5"/>
    <x v="0"/>
    <n v="4.8"/>
    <x v="77"/>
    <n v="8361"/>
    <x v="0"/>
    <n v="51.4"/>
    <s v="ML Engineer"/>
    <n v="22"/>
    <n v="4.0999999999999996"/>
    <x v="38"/>
    <n v="3.4"/>
    <n v="5.4"/>
    <n v="6.8"/>
    <s v="Stable"/>
  </r>
  <r>
    <s v="T1717"/>
    <x v="0"/>
    <x v="0"/>
    <x v="2"/>
    <x v="3"/>
    <s v="Mar"/>
    <x v="1"/>
    <x v="1566"/>
    <n v="39.1"/>
    <x v="0"/>
    <n v="3.2"/>
    <x v="5"/>
    <n v="2553"/>
    <x v="2"/>
    <n v="73.099999999999994"/>
    <s v="Data Scientist"/>
    <n v="14.1"/>
    <n v="-17.899999999999999"/>
    <x v="474"/>
    <n v="3.1"/>
    <n v="1.6"/>
    <n v="1.5"/>
    <s v="Recession"/>
  </r>
  <r>
    <s v="T1718"/>
    <x v="0"/>
    <x v="5"/>
    <x v="2"/>
    <x v="3"/>
    <s v="Jan"/>
    <x v="1"/>
    <x v="1546"/>
    <n v="9.1999999999999993"/>
    <x v="2"/>
    <n v="12.7"/>
    <x v="5"/>
    <n v="1516"/>
    <x v="0"/>
    <n v="37.6"/>
    <s v="Data Scientist"/>
    <n v="51.8"/>
    <n v="59.2"/>
    <x v="428"/>
    <n v="8"/>
    <n v="7.4"/>
    <n v="7.6"/>
    <s v="Bull Market"/>
  </r>
  <r>
    <s v="T1719"/>
    <x v="13"/>
    <x v="5"/>
    <x v="5"/>
    <x v="2"/>
    <s v="Oct"/>
    <x v="2"/>
    <x v="1387"/>
    <n v="3.9"/>
    <x v="4"/>
    <n v="4.7"/>
    <x v="2"/>
    <n v="1593"/>
    <x v="0"/>
    <n v="70"/>
    <s v="Frontend Developer"/>
    <n v="88.8"/>
    <n v="57.9"/>
    <x v="415"/>
    <n v="6.7"/>
    <n v="8.6999999999999993"/>
    <n v="7.5"/>
    <s v="Stable"/>
  </r>
  <r>
    <s v="T1720"/>
    <x v="12"/>
    <x v="5"/>
    <x v="4"/>
    <x v="1"/>
    <s v="Jul"/>
    <x v="0"/>
    <x v="1567"/>
    <n v="13.6"/>
    <x v="4"/>
    <n v="4.3"/>
    <x v="20"/>
    <n v="4098"/>
    <x v="1"/>
    <n v="84.7"/>
    <s v="DevOps Engineer"/>
    <n v="20.3"/>
    <n v="40.5"/>
    <x v="412"/>
    <n v="3.2"/>
    <n v="6.5"/>
    <n v="6.3"/>
    <s v="Stable"/>
  </r>
  <r>
    <s v="T1721"/>
    <x v="0"/>
    <x v="0"/>
    <x v="2"/>
    <x v="1"/>
    <s v="Aug"/>
    <x v="2"/>
    <x v="21"/>
    <n v="5.3"/>
    <x v="4"/>
    <n v="4.4000000000000004"/>
    <x v="71"/>
    <n v="6299"/>
    <x v="0"/>
    <n v="70.5"/>
    <s v="ML Engineer"/>
    <n v="71.900000000000006"/>
    <n v="-12.6"/>
    <x v="475"/>
    <n v="2.9"/>
    <n v="6.3"/>
    <n v="7.1"/>
    <s v="Bull Market"/>
  </r>
  <r>
    <s v="T1722"/>
    <x v="9"/>
    <x v="1"/>
    <x v="1"/>
    <x v="1"/>
    <s v="Nov"/>
    <x v="2"/>
    <x v="1568"/>
    <n v="6.1"/>
    <x v="1"/>
    <n v="4.9000000000000004"/>
    <x v="27"/>
    <n v="3856"/>
    <x v="1"/>
    <n v="21.2"/>
    <s v="Frontend Developer"/>
    <n v="-39.200000000000003"/>
    <n v="12.6"/>
    <x v="188"/>
    <n v="4.9000000000000004"/>
    <n v="6"/>
    <n v="5.2"/>
    <s v="Bull Market"/>
  </r>
  <r>
    <s v="T1723"/>
    <x v="1"/>
    <x v="4"/>
    <x v="2"/>
    <x v="3"/>
    <s v="Nov"/>
    <x v="1"/>
    <x v="1569"/>
    <n v="18"/>
    <x v="3"/>
    <n v="4.5999999999999996"/>
    <x v="5"/>
    <n v="5644"/>
    <x v="0"/>
    <n v="37.6"/>
    <s v="Product Manager"/>
    <n v="24.9"/>
    <n v="44.7"/>
    <x v="395"/>
    <n v="5.7"/>
    <n v="6"/>
    <n v="5.0999999999999996"/>
    <s v="Stable"/>
  </r>
  <r>
    <s v="T1724"/>
    <x v="19"/>
    <x v="0"/>
    <x v="3"/>
    <x v="3"/>
    <s v="Nov"/>
    <x v="0"/>
    <x v="1283"/>
    <n v="5.2"/>
    <x v="4"/>
    <n v="6.3"/>
    <x v="52"/>
    <n v="9104"/>
    <x v="3"/>
    <n v="23.7"/>
    <s v="Data Scientist"/>
    <n v="60.1"/>
    <n v="41.6"/>
    <x v="219"/>
    <n v="9.3000000000000007"/>
    <n v="8.6"/>
    <n v="6.7"/>
    <s v="Bull Market"/>
  </r>
  <r>
    <s v="T1725"/>
    <x v="14"/>
    <x v="1"/>
    <x v="3"/>
    <x v="2"/>
    <s v="Dec"/>
    <x v="0"/>
    <x v="176"/>
    <n v="0.9"/>
    <x v="1"/>
    <n v="4.2"/>
    <x v="25"/>
    <n v="863"/>
    <x v="0"/>
    <n v="89.2"/>
    <s v="Software Engineer"/>
    <n v="-24.1"/>
    <n v="15.4"/>
    <x v="163"/>
    <n v="3.1"/>
    <n v="7.5"/>
    <n v="8.1999999999999993"/>
    <s v="Bull Market"/>
  </r>
  <r>
    <s v="T1726"/>
    <x v="1"/>
    <x v="4"/>
    <x v="2"/>
    <x v="1"/>
    <s v="Feb"/>
    <x v="1"/>
    <x v="1570"/>
    <n v="4.3"/>
    <x v="3"/>
    <n v="3.1"/>
    <x v="32"/>
    <n v="3314"/>
    <x v="1"/>
    <n v="36.799999999999997"/>
    <s v="Data Scientist"/>
    <n v="43.6"/>
    <n v="-15.6"/>
    <x v="72"/>
    <n v="4.2"/>
    <n v="7.5"/>
    <n v="6.6"/>
    <s v="Bull Market"/>
  </r>
  <r>
    <s v="T1727"/>
    <x v="12"/>
    <x v="5"/>
    <x v="0"/>
    <x v="0"/>
    <s v="Mar"/>
    <x v="2"/>
    <x v="1571"/>
    <n v="6"/>
    <x v="4"/>
    <n v="8.1999999999999993"/>
    <x v="5"/>
    <n v="4107"/>
    <x v="0"/>
    <n v="14.9"/>
    <s v="Software Engineer"/>
    <n v="-19.2"/>
    <n v="1.6"/>
    <x v="1"/>
    <n v="9.3000000000000007"/>
    <n v="5.0999999999999996"/>
    <n v="6.4"/>
    <s v="Stable"/>
  </r>
  <r>
    <s v="T1728"/>
    <x v="0"/>
    <x v="2"/>
    <x v="5"/>
    <x v="2"/>
    <s v="Dec"/>
    <x v="1"/>
    <x v="1572"/>
    <n v="10.9"/>
    <x v="1"/>
    <n v="8.9"/>
    <x v="27"/>
    <n v="273"/>
    <x v="0"/>
    <n v="11.1"/>
    <s v="Software Engineer"/>
    <n v="60.8"/>
    <n v="2"/>
    <x v="273"/>
    <n v="8.4"/>
    <n v="4.7"/>
    <n v="5.6"/>
    <s v="Recession"/>
  </r>
  <r>
    <s v="T1729"/>
    <x v="9"/>
    <x v="0"/>
    <x v="0"/>
    <x v="0"/>
    <s v="Feb"/>
    <x v="0"/>
    <x v="669"/>
    <n v="11.2"/>
    <x v="4"/>
    <n v="2.8"/>
    <x v="17"/>
    <n v="2248"/>
    <x v="1"/>
    <n v="43.7"/>
    <s v="Data Scientist"/>
    <n v="76.2"/>
    <n v="-2.7"/>
    <x v="50"/>
    <n v="3.4"/>
    <n v="4.5999999999999996"/>
    <n v="4.5999999999999996"/>
    <s v="Stable"/>
  </r>
  <r>
    <s v="T1730"/>
    <x v="1"/>
    <x v="1"/>
    <x v="0"/>
    <x v="0"/>
    <s v="Apr"/>
    <x v="0"/>
    <x v="1573"/>
    <n v="9.3000000000000007"/>
    <x v="1"/>
    <n v="10"/>
    <x v="25"/>
    <n v="1595"/>
    <x v="1"/>
    <n v="38.6"/>
    <s v="Cloud Engineer"/>
    <n v="12.4"/>
    <n v="8.6"/>
    <x v="318"/>
    <n v="6.1"/>
    <n v="6.6"/>
    <n v="5.3"/>
    <s v="Bull Market"/>
  </r>
  <r>
    <s v="T1731"/>
    <x v="0"/>
    <x v="2"/>
    <x v="1"/>
    <x v="1"/>
    <s v="Oct"/>
    <x v="0"/>
    <x v="1574"/>
    <n v="26.2"/>
    <x v="1"/>
    <n v="5.3"/>
    <x v="5"/>
    <n v="1070"/>
    <x v="1"/>
    <n v="83.8"/>
    <s v="Data Scientist"/>
    <n v="-9.1"/>
    <n v="9.4"/>
    <x v="88"/>
    <n v="8.3000000000000007"/>
    <n v="5.6"/>
    <n v="3.5"/>
    <s v="Recession"/>
  </r>
  <r>
    <s v="T1732"/>
    <x v="4"/>
    <x v="1"/>
    <x v="5"/>
    <x v="2"/>
    <s v="Feb"/>
    <x v="0"/>
    <x v="1575"/>
    <n v="17.600000000000001"/>
    <x v="0"/>
    <n v="8.4"/>
    <x v="5"/>
    <n v="1870"/>
    <x v="1"/>
    <n v="68.5"/>
    <s v="Software Engineer"/>
    <n v="1.7"/>
    <n v="59.4"/>
    <x v="357"/>
    <n v="6.4"/>
    <n v="6.4"/>
    <n v="5.7"/>
    <s v="Stable"/>
  </r>
  <r>
    <s v="T1733"/>
    <x v="6"/>
    <x v="1"/>
    <x v="2"/>
    <x v="3"/>
    <s v="Nov"/>
    <x v="0"/>
    <x v="1576"/>
    <n v="5.6"/>
    <x v="2"/>
    <n v="7.8"/>
    <x v="5"/>
    <n v="3921"/>
    <x v="0"/>
    <n v="55.7"/>
    <s v="ML Engineer"/>
    <n v="16.3"/>
    <n v="4"/>
    <x v="3"/>
    <n v="9.6"/>
    <n v="7.1"/>
    <n v="5.6"/>
    <s v="Stable"/>
  </r>
  <r>
    <s v="T1734"/>
    <x v="1"/>
    <x v="0"/>
    <x v="1"/>
    <x v="1"/>
    <s v="Jul"/>
    <x v="0"/>
    <x v="1577"/>
    <n v="12.5"/>
    <x v="3"/>
    <n v="7.3"/>
    <x v="27"/>
    <n v="4844"/>
    <x v="0"/>
    <n v="65.099999999999994"/>
    <s v="Data Scientist"/>
    <n v="37.4"/>
    <n v="53.3"/>
    <x v="208"/>
    <n v="6.3"/>
    <n v="7.8"/>
    <n v="7.2"/>
    <s v="Stable"/>
  </r>
  <r>
    <s v="T1735"/>
    <x v="9"/>
    <x v="0"/>
    <x v="4"/>
    <x v="0"/>
    <s v="Apr"/>
    <x v="2"/>
    <x v="657"/>
    <n v="5.4"/>
    <x v="1"/>
    <n v="1.2"/>
    <x v="19"/>
    <n v="4917"/>
    <x v="0"/>
    <n v="67.599999999999994"/>
    <s v="ML Engineer"/>
    <n v="28.5"/>
    <n v="30.4"/>
    <x v="423"/>
    <n v="1.5"/>
    <n v="6.3"/>
    <n v="8"/>
    <s v="Bull Market"/>
  </r>
  <r>
    <s v="T1736"/>
    <x v="2"/>
    <x v="3"/>
    <x v="3"/>
    <x v="0"/>
    <s v="Nov"/>
    <x v="0"/>
    <x v="1578"/>
    <n v="20.8"/>
    <x v="1"/>
    <n v="5.2"/>
    <x v="5"/>
    <n v="658"/>
    <x v="1"/>
    <n v="84.9"/>
    <s v="Frontend Developer"/>
    <n v="-36.4"/>
    <n v="-20"/>
    <x v="476"/>
    <n v="6"/>
    <n v="3.2"/>
    <n v="2.8"/>
    <s v="Recession"/>
  </r>
  <r>
    <s v="T1737"/>
    <x v="9"/>
    <x v="0"/>
    <x v="4"/>
    <x v="0"/>
    <s v="Nov"/>
    <x v="0"/>
    <x v="1579"/>
    <n v="21.3"/>
    <x v="4"/>
    <n v="2.5"/>
    <x v="24"/>
    <n v="6497"/>
    <x v="1"/>
    <n v="18.5"/>
    <s v="ML Engineer"/>
    <n v="49.5"/>
    <n v="44.6"/>
    <x v="146"/>
    <n v="1.9"/>
    <n v="6.6"/>
    <n v="6.4"/>
    <s v="Recession"/>
  </r>
  <r>
    <s v="T1738"/>
    <x v="2"/>
    <x v="1"/>
    <x v="0"/>
    <x v="0"/>
    <s v="Jun"/>
    <x v="0"/>
    <x v="1580"/>
    <n v="6.4"/>
    <x v="2"/>
    <n v="3.3"/>
    <x v="10"/>
    <n v="4167"/>
    <x v="0"/>
    <n v="66.599999999999994"/>
    <s v="Product Manager"/>
    <n v="21.5"/>
    <n v="41.4"/>
    <x v="324"/>
    <n v="4.4000000000000004"/>
    <n v="7.5"/>
    <n v="7.7"/>
    <s v="Bull Market"/>
  </r>
  <r>
    <s v="T1739"/>
    <x v="13"/>
    <x v="5"/>
    <x v="3"/>
    <x v="2"/>
    <s v="Sep"/>
    <x v="0"/>
    <x v="582"/>
    <n v="2.2000000000000002"/>
    <x v="2"/>
    <n v="3.5"/>
    <x v="79"/>
    <n v="1698"/>
    <x v="1"/>
    <n v="20.6"/>
    <s v="Frontend Developer"/>
    <n v="-10.1"/>
    <n v="-3"/>
    <x v="110"/>
    <n v="2.8"/>
    <n v="6.4"/>
    <n v="6.5"/>
    <s v="Stable"/>
  </r>
  <r>
    <s v="T1740"/>
    <x v="6"/>
    <x v="2"/>
    <x v="3"/>
    <x v="2"/>
    <s v="Dec"/>
    <x v="0"/>
    <x v="847"/>
    <n v="0.9"/>
    <x v="1"/>
    <n v="2.1"/>
    <x v="76"/>
    <n v="2506"/>
    <x v="1"/>
    <n v="31.3"/>
    <s v="ML Engineer"/>
    <n v="6.4"/>
    <n v="-10.3"/>
    <x v="337"/>
    <n v="3.1"/>
    <n v="8.1999999999999993"/>
    <n v="6.8"/>
    <s v="Bull Market"/>
  </r>
  <r>
    <s v="T1741"/>
    <x v="12"/>
    <x v="5"/>
    <x v="5"/>
    <x v="0"/>
    <s v="Feb"/>
    <x v="2"/>
    <x v="1581"/>
    <n v="22.2"/>
    <x v="4"/>
    <n v="2.7"/>
    <x v="16"/>
    <n v="1439"/>
    <x v="2"/>
    <n v="10.3"/>
    <s v="Product Manager"/>
    <n v="7.9"/>
    <n v="31.5"/>
    <x v="138"/>
    <n v="1.8"/>
    <n v="6.3"/>
    <n v="4.5"/>
    <s v="Recession"/>
  </r>
  <r>
    <s v="T1742"/>
    <x v="17"/>
    <x v="0"/>
    <x v="1"/>
    <x v="0"/>
    <s v="May"/>
    <x v="1"/>
    <x v="1582"/>
    <n v="21"/>
    <x v="0"/>
    <n v="9.4"/>
    <x v="5"/>
    <n v="4202"/>
    <x v="1"/>
    <n v="59.7"/>
    <s v="ML Engineer"/>
    <n v="-35.799999999999997"/>
    <n v="2.4"/>
    <x v="176"/>
    <n v="6.4"/>
    <n v="6.5"/>
    <n v="4.7"/>
    <s v="Recession"/>
  </r>
  <r>
    <s v="T1743"/>
    <x v="9"/>
    <x v="0"/>
    <x v="2"/>
    <x v="2"/>
    <s v="Jul"/>
    <x v="1"/>
    <x v="1583"/>
    <n v="1.4"/>
    <x v="0"/>
    <n v="8.1"/>
    <x v="5"/>
    <n v="3680"/>
    <x v="0"/>
    <n v="26.9"/>
    <s v="Data Scientist"/>
    <n v="20.399999999999999"/>
    <n v="15.1"/>
    <x v="282"/>
    <n v="7.2"/>
    <n v="8.1999999999999993"/>
    <n v="7"/>
    <s v="Bull Market"/>
  </r>
  <r>
    <s v="T1744"/>
    <x v="0"/>
    <x v="0"/>
    <x v="5"/>
    <x v="2"/>
    <s v="May"/>
    <x v="0"/>
    <x v="1584"/>
    <n v="8"/>
    <x v="4"/>
    <n v="3.1"/>
    <x v="25"/>
    <n v="2814"/>
    <x v="0"/>
    <n v="78.7"/>
    <s v="Data Scientist"/>
    <n v="45.7"/>
    <n v="16.7"/>
    <x v="31"/>
    <n v="2.4"/>
    <n v="5.5"/>
    <n v="6.6"/>
    <s v="Bull Market"/>
  </r>
  <r>
    <s v="T1745"/>
    <x v="19"/>
    <x v="0"/>
    <x v="3"/>
    <x v="0"/>
    <s v="Sep"/>
    <x v="2"/>
    <x v="1585"/>
    <n v="33.799999999999997"/>
    <x v="4"/>
    <n v="7.2"/>
    <x v="5"/>
    <n v="4555"/>
    <x v="2"/>
    <n v="17.7"/>
    <s v="Data Scientist"/>
    <n v="-3.6"/>
    <n v="-14.6"/>
    <x v="126"/>
    <n v="4.7"/>
    <n v="5.6"/>
    <n v="1.5"/>
    <s v="Recession"/>
  </r>
  <r>
    <s v="T1746"/>
    <x v="8"/>
    <x v="4"/>
    <x v="1"/>
    <x v="0"/>
    <s v="Aug"/>
    <x v="1"/>
    <x v="1586"/>
    <n v="25.6"/>
    <x v="1"/>
    <n v="9.9"/>
    <x v="5"/>
    <n v="451"/>
    <x v="1"/>
    <n v="84.7"/>
    <s v="DevOps Engineer"/>
    <n v="-18.5"/>
    <n v="-10.4"/>
    <x v="215"/>
    <n v="8.5"/>
    <n v="5.5"/>
    <n v="4.0999999999999996"/>
    <s v="Recession"/>
  </r>
  <r>
    <s v="T1747"/>
    <x v="0"/>
    <x v="1"/>
    <x v="5"/>
    <x v="1"/>
    <s v="Aug"/>
    <x v="2"/>
    <x v="711"/>
    <n v="15.2"/>
    <x v="1"/>
    <n v="4.2"/>
    <x v="5"/>
    <n v="1420"/>
    <x v="1"/>
    <n v="80.2"/>
    <s v="Data Scientist"/>
    <n v="10.1"/>
    <n v="-4.9000000000000004"/>
    <x v="21"/>
    <n v="6.6"/>
    <n v="6.8"/>
    <n v="5.2"/>
    <s v="Recession"/>
  </r>
  <r>
    <s v="T1748"/>
    <x v="2"/>
    <x v="3"/>
    <x v="3"/>
    <x v="3"/>
    <s v="Mar"/>
    <x v="0"/>
    <x v="1587"/>
    <n v="2.4"/>
    <x v="1"/>
    <n v="11.5"/>
    <x v="70"/>
    <n v="5932"/>
    <x v="3"/>
    <n v="76.3"/>
    <s v="ML Engineer"/>
    <n v="39.200000000000003"/>
    <n v="-17.899999999999999"/>
    <x v="144"/>
    <n v="8.5"/>
    <n v="7.4"/>
    <n v="7.3"/>
    <s v="Bull Market"/>
  </r>
  <r>
    <s v="T1749"/>
    <x v="19"/>
    <x v="0"/>
    <x v="0"/>
    <x v="1"/>
    <s v="Jun"/>
    <x v="0"/>
    <x v="1588"/>
    <n v="3.7"/>
    <x v="1"/>
    <n v="3.7"/>
    <x v="10"/>
    <n v="6805"/>
    <x v="0"/>
    <n v="82.8"/>
    <s v="Data Scientist"/>
    <n v="-37.6"/>
    <n v="51.1"/>
    <x v="2"/>
    <n v="3.1"/>
    <n v="8.4"/>
    <n v="8.6"/>
    <s v="Stable"/>
  </r>
  <r>
    <s v="T1750"/>
    <x v="1"/>
    <x v="1"/>
    <x v="4"/>
    <x v="2"/>
    <s v="Apr"/>
    <x v="0"/>
    <x v="1589"/>
    <n v="9.6999999999999993"/>
    <x v="3"/>
    <n v="12.8"/>
    <x v="60"/>
    <n v="4994"/>
    <x v="0"/>
    <n v="47.6"/>
    <s v="Cloud Engineer"/>
    <n v="-6.5"/>
    <n v="-2"/>
    <x v="260"/>
    <n v="7.6"/>
    <n v="4.3"/>
    <n v="4.3"/>
    <s v="Stable"/>
  </r>
  <r>
    <s v="T1751"/>
    <x v="2"/>
    <x v="2"/>
    <x v="2"/>
    <x v="0"/>
    <s v="Apr"/>
    <x v="1"/>
    <x v="1590"/>
    <n v="15.4"/>
    <x v="3"/>
    <n v="4.9000000000000004"/>
    <x v="2"/>
    <n v="210"/>
    <x v="1"/>
    <n v="48.4"/>
    <s v="DevOps Engineer"/>
    <n v="13.7"/>
    <n v="-13.7"/>
    <x v="477"/>
    <n v="3.9"/>
    <n v="5"/>
    <n v="3.8"/>
    <s v="Stable"/>
  </r>
  <r>
    <s v="T1752"/>
    <x v="19"/>
    <x v="0"/>
    <x v="5"/>
    <x v="3"/>
    <s v="Jun"/>
    <x v="0"/>
    <x v="904"/>
    <n v="5.9"/>
    <x v="2"/>
    <n v="1.8"/>
    <x v="19"/>
    <n v="1054"/>
    <x v="1"/>
    <n v="85.4"/>
    <s v="Data Scientist"/>
    <n v="-35.4"/>
    <n v="32.1"/>
    <x v="174"/>
    <n v="1.2"/>
    <n v="5.9"/>
    <n v="9.1999999999999993"/>
    <s v="Bull Market"/>
  </r>
  <r>
    <s v="T1753"/>
    <x v="3"/>
    <x v="1"/>
    <x v="1"/>
    <x v="2"/>
    <s v="Jul"/>
    <x v="2"/>
    <x v="1591"/>
    <n v="21.6"/>
    <x v="4"/>
    <n v="4"/>
    <x v="5"/>
    <n v="780"/>
    <x v="2"/>
    <n v="21.6"/>
    <s v="Data Scientist"/>
    <n v="56.9"/>
    <n v="-9.5"/>
    <x v="461"/>
    <n v="6"/>
    <n v="4.5"/>
    <n v="4"/>
    <s v="Recession"/>
  </r>
  <r>
    <s v="T1754"/>
    <x v="8"/>
    <x v="6"/>
    <x v="4"/>
    <x v="0"/>
    <s v="Aug"/>
    <x v="1"/>
    <x v="1045"/>
    <n v="7.9"/>
    <x v="4"/>
    <n v="12.6"/>
    <x v="5"/>
    <n v="1214"/>
    <x v="1"/>
    <n v="47.9"/>
    <s v="Frontend Developer"/>
    <n v="84.5"/>
    <n v="45.8"/>
    <x v="164"/>
    <n v="9.6999999999999993"/>
    <n v="7"/>
    <n v="6"/>
    <s v="Bull Market"/>
  </r>
  <r>
    <s v="T1755"/>
    <x v="17"/>
    <x v="3"/>
    <x v="4"/>
    <x v="1"/>
    <s v="Sep"/>
    <x v="0"/>
    <x v="802"/>
    <n v="8.3000000000000007"/>
    <x v="1"/>
    <n v="2.1"/>
    <x v="39"/>
    <n v="5610"/>
    <x v="1"/>
    <n v="73"/>
    <s v="Cloud Engineer"/>
    <n v="63.6"/>
    <n v="53.5"/>
    <x v="172"/>
    <n v="1.6"/>
    <n v="9.9"/>
    <n v="7.4"/>
    <s v="Bull Market"/>
  </r>
  <r>
    <s v="T1756"/>
    <x v="1"/>
    <x v="6"/>
    <x v="2"/>
    <x v="0"/>
    <s v="Oct"/>
    <x v="0"/>
    <x v="1592"/>
    <n v="9.1"/>
    <x v="4"/>
    <n v="8.9"/>
    <x v="65"/>
    <n v="1986"/>
    <x v="0"/>
    <n v="10.5"/>
    <s v="Product Manager"/>
    <n v="35.700000000000003"/>
    <n v="16.7"/>
    <x v="119"/>
    <n v="7"/>
    <n v="8.5"/>
    <n v="6.6"/>
    <s v="Recession"/>
  </r>
  <r>
    <s v="T1757"/>
    <x v="13"/>
    <x v="5"/>
    <x v="2"/>
    <x v="0"/>
    <s v="Jul"/>
    <x v="2"/>
    <x v="520"/>
    <n v="2.6"/>
    <x v="4"/>
    <n v="9.1999999999999993"/>
    <x v="17"/>
    <n v="3725"/>
    <x v="0"/>
    <n v="47.8"/>
    <s v="Cybersecurity Analyst"/>
    <n v="14.3"/>
    <n v="-17.399999999999999"/>
    <x v="281"/>
    <n v="6.1"/>
    <n v="6.9"/>
    <n v="5.3"/>
    <s v="Stable"/>
  </r>
  <r>
    <s v="T1758"/>
    <x v="4"/>
    <x v="1"/>
    <x v="4"/>
    <x v="3"/>
    <s v="Jun"/>
    <x v="2"/>
    <x v="940"/>
    <n v="8.1"/>
    <x v="2"/>
    <n v="12.2"/>
    <x v="5"/>
    <n v="1449"/>
    <x v="0"/>
    <n v="60.9"/>
    <s v="Data Scientist"/>
    <n v="21.2"/>
    <n v="1.1000000000000001"/>
    <x v="336"/>
    <n v="9.3000000000000007"/>
    <n v="7.5"/>
    <n v="4.5999999999999996"/>
    <s v="Bull Market"/>
  </r>
  <r>
    <s v="T1759"/>
    <x v="1"/>
    <x v="4"/>
    <x v="4"/>
    <x v="3"/>
    <s v="Oct"/>
    <x v="0"/>
    <x v="1593"/>
    <n v="27.3"/>
    <x v="4"/>
    <n v="7.7"/>
    <x v="5"/>
    <n v="1706"/>
    <x v="1"/>
    <n v="29.2"/>
    <s v="Frontend Developer"/>
    <n v="30.3"/>
    <n v="-19"/>
    <x v="401"/>
    <n v="9.4"/>
    <n v="3.4"/>
    <n v="3.2"/>
    <s v="Recession"/>
  </r>
  <r>
    <s v="T1760"/>
    <x v="0"/>
    <x v="1"/>
    <x v="0"/>
    <x v="1"/>
    <s v="Jul"/>
    <x v="2"/>
    <x v="575"/>
    <n v="12.5"/>
    <x v="3"/>
    <n v="2.8"/>
    <x v="9"/>
    <n v="3227"/>
    <x v="1"/>
    <n v="70.3"/>
    <s v="Software Engineer"/>
    <n v="70.400000000000006"/>
    <n v="10"/>
    <x v="264"/>
    <n v="4.3"/>
    <n v="7.5"/>
    <n v="5.2"/>
    <s v="Stable"/>
  </r>
  <r>
    <s v="T1761"/>
    <x v="17"/>
    <x v="3"/>
    <x v="2"/>
    <x v="0"/>
    <s v="Sep"/>
    <x v="1"/>
    <x v="1594"/>
    <n v="31.7"/>
    <x v="3"/>
    <n v="5.6"/>
    <x v="5"/>
    <n v="364"/>
    <x v="2"/>
    <n v="22.6"/>
    <s v="Product Manager"/>
    <n v="9.5"/>
    <n v="51.2"/>
    <x v="236"/>
    <n v="3.9"/>
    <n v="7.3"/>
    <n v="3.7"/>
    <s v="Recession"/>
  </r>
  <r>
    <s v="T1762"/>
    <x v="1"/>
    <x v="0"/>
    <x v="5"/>
    <x v="2"/>
    <s v="Mar"/>
    <x v="2"/>
    <x v="574"/>
    <n v="11"/>
    <x v="1"/>
    <n v="2.6"/>
    <x v="8"/>
    <n v="7346"/>
    <x v="0"/>
    <n v="32.9"/>
    <s v="Data Scientist"/>
    <n v="-25"/>
    <n v="30.3"/>
    <x v="32"/>
    <n v="2.8"/>
    <n v="8.6999999999999993"/>
    <n v="6.6"/>
    <s v="Stable"/>
  </r>
  <r>
    <s v="T1763"/>
    <x v="6"/>
    <x v="2"/>
    <x v="1"/>
    <x v="0"/>
    <s v="Nov"/>
    <x v="2"/>
    <x v="1595"/>
    <n v="15.8"/>
    <x v="4"/>
    <n v="6.9"/>
    <x v="5"/>
    <n v="786"/>
    <x v="0"/>
    <n v="88"/>
    <s v="Cybersecurity Analyst"/>
    <n v="64.7"/>
    <n v="23.3"/>
    <x v="258"/>
    <n v="9.4"/>
    <n v="6.9"/>
    <n v="5.0999999999999996"/>
    <s v="Stable"/>
  </r>
  <r>
    <s v="T1764"/>
    <x v="15"/>
    <x v="2"/>
    <x v="1"/>
    <x v="3"/>
    <s v="May"/>
    <x v="2"/>
    <x v="929"/>
    <n v="7.1"/>
    <x v="4"/>
    <n v="2.9"/>
    <x v="88"/>
    <n v="5734"/>
    <x v="1"/>
    <n v="47.6"/>
    <s v="Product Manager"/>
    <n v="-2.1"/>
    <n v="31.7"/>
    <x v="392"/>
    <n v="1.8"/>
    <n v="8.3000000000000007"/>
    <n v="8.3000000000000007"/>
    <s v="Bull Market"/>
  </r>
  <r>
    <s v="T1765"/>
    <x v="17"/>
    <x v="3"/>
    <x v="2"/>
    <x v="1"/>
    <s v="Nov"/>
    <x v="2"/>
    <x v="1596"/>
    <n v="10"/>
    <x v="0"/>
    <n v="7"/>
    <x v="3"/>
    <n v="4136"/>
    <x v="0"/>
    <n v="79.599999999999994"/>
    <s v="Data Scientist"/>
    <n v="-44.1"/>
    <n v="24.9"/>
    <x v="257"/>
    <n v="8.8000000000000007"/>
    <n v="8.6"/>
    <n v="6.2"/>
    <s v="Bull Market"/>
  </r>
  <r>
    <s v="T1766"/>
    <x v="2"/>
    <x v="1"/>
    <x v="3"/>
    <x v="0"/>
    <s v="May"/>
    <x v="2"/>
    <x v="1597"/>
    <n v="2.4"/>
    <x v="1"/>
    <n v="1.4"/>
    <x v="19"/>
    <n v="2408"/>
    <x v="1"/>
    <n v="77.8"/>
    <s v="Product Manager"/>
    <n v="-13.1"/>
    <n v="-4.5"/>
    <x v="108"/>
    <n v="1.1000000000000001"/>
    <n v="5.8"/>
    <n v="7.3"/>
    <s v="Stable"/>
  </r>
  <r>
    <s v="T1767"/>
    <x v="15"/>
    <x v="2"/>
    <x v="1"/>
    <x v="0"/>
    <s v="Nov"/>
    <x v="1"/>
    <x v="1598"/>
    <n v="14"/>
    <x v="0"/>
    <n v="4.9000000000000004"/>
    <x v="43"/>
    <n v="819"/>
    <x v="1"/>
    <n v="80.400000000000006"/>
    <s v="Cloud Engineer"/>
    <n v="-18.8"/>
    <n v="33.299999999999997"/>
    <x v="387"/>
    <n v="6.6"/>
    <n v="7.9"/>
    <n v="5.2"/>
    <s v="Recession"/>
  </r>
  <r>
    <s v="T1768"/>
    <x v="6"/>
    <x v="1"/>
    <x v="2"/>
    <x v="0"/>
    <s v="Jul"/>
    <x v="1"/>
    <x v="596"/>
    <n v="4.2"/>
    <x v="1"/>
    <n v="4.0999999999999996"/>
    <x v="73"/>
    <n v="3627"/>
    <x v="0"/>
    <n v="27.2"/>
    <s v="Data Scientist"/>
    <n v="-23.4"/>
    <n v="-6.5"/>
    <x v="215"/>
    <n v="3.2"/>
    <n v="5.0999999999999996"/>
    <n v="5.3"/>
    <s v="Bull Market"/>
  </r>
  <r>
    <s v="T1769"/>
    <x v="4"/>
    <x v="0"/>
    <x v="2"/>
    <x v="2"/>
    <s v="Jul"/>
    <x v="0"/>
    <x v="1599"/>
    <n v="9.1"/>
    <x v="3"/>
    <n v="5.2"/>
    <x v="0"/>
    <n v="8774"/>
    <x v="0"/>
    <n v="58"/>
    <s v="ML Engineer"/>
    <n v="3.9"/>
    <n v="-18.2"/>
    <x v="478"/>
    <n v="5.5"/>
    <n v="4.3"/>
    <n v="4.5999999999999996"/>
    <s v="Recession"/>
  </r>
  <r>
    <s v="T1770"/>
    <x v="1"/>
    <x v="6"/>
    <x v="3"/>
    <x v="1"/>
    <s v="Jul"/>
    <x v="0"/>
    <x v="1556"/>
    <n v="4.0999999999999996"/>
    <x v="3"/>
    <n v="7.6"/>
    <x v="14"/>
    <n v="4464"/>
    <x v="3"/>
    <n v="21.4"/>
    <s v="DevOps Engineer"/>
    <n v="-37.200000000000003"/>
    <n v="12.7"/>
    <x v="269"/>
    <n v="7.9"/>
    <n v="5.3"/>
    <n v="6.7"/>
    <s v="Bull Market"/>
  </r>
  <r>
    <s v="T1771"/>
    <x v="2"/>
    <x v="3"/>
    <x v="1"/>
    <x v="3"/>
    <s v="Feb"/>
    <x v="0"/>
    <x v="1600"/>
    <n v="5.0999999999999996"/>
    <x v="1"/>
    <n v="1.4"/>
    <x v="79"/>
    <n v="228"/>
    <x v="2"/>
    <n v="70.2"/>
    <s v="Cloud Engineer"/>
    <n v="-22"/>
    <n v="-9.8000000000000007"/>
    <x v="88"/>
    <n v="1.7"/>
    <n v="5"/>
    <n v="5.8"/>
    <s v="Bull Market"/>
  </r>
  <r>
    <s v="T1772"/>
    <x v="18"/>
    <x v="0"/>
    <x v="5"/>
    <x v="3"/>
    <s v="Oct"/>
    <x v="2"/>
    <x v="716"/>
    <n v="9.3000000000000007"/>
    <x v="1"/>
    <n v="5.6"/>
    <x v="11"/>
    <n v="3590"/>
    <x v="0"/>
    <n v="61.9"/>
    <s v="ML Engineer"/>
    <n v="23.8"/>
    <n v="-12.1"/>
    <x v="127"/>
    <n v="5.0999999999999996"/>
    <n v="6.7"/>
    <n v="6.1"/>
    <s v="Stable"/>
  </r>
  <r>
    <s v="T1773"/>
    <x v="18"/>
    <x v="0"/>
    <x v="1"/>
    <x v="0"/>
    <s v="Jul"/>
    <x v="0"/>
    <x v="1601"/>
    <n v="3.1"/>
    <x v="3"/>
    <n v="15.3"/>
    <x v="11"/>
    <n v="5619"/>
    <x v="0"/>
    <n v="19.2"/>
    <s v="ML Engineer"/>
    <n v="64.099999999999994"/>
    <n v="59.9"/>
    <x v="61"/>
    <n v="9.6"/>
    <n v="9.1"/>
    <n v="8.8000000000000007"/>
    <s v="Bull Market"/>
  </r>
  <r>
    <s v="T1774"/>
    <x v="2"/>
    <x v="3"/>
    <x v="5"/>
    <x v="2"/>
    <s v="May"/>
    <x v="2"/>
    <x v="1602"/>
    <n v="15.6"/>
    <x v="0"/>
    <n v="6.8"/>
    <x v="5"/>
    <n v="1544"/>
    <x v="1"/>
    <n v="41.7"/>
    <s v="Software Engineer"/>
    <n v="-9.4"/>
    <n v="51.1"/>
    <x v="479"/>
    <n v="5.8"/>
    <n v="5.9"/>
    <n v="6"/>
    <s v="Recession"/>
  </r>
  <r>
    <s v="T1775"/>
    <x v="2"/>
    <x v="1"/>
    <x v="3"/>
    <x v="2"/>
    <s v="Aug"/>
    <x v="1"/>
    <x v="565"/>
    <n v="4"/>
    <x v="4"/>
    <n v="6.4"/>
    <x v="39"/>
    <n v="1199"/>
    <x v="1"/>
    <n v="18.899999999999999"/>
    <s v="ML Engineer"/>
    <n v="60.7"/>
    <n v="30.7"/>
    <x v="290"/>
    <n v="6"/>
    <n v="9.3000000000000007"/>
    <n v="7.9"/>
    <s v="Bull Market"/>
  </r>
  <r>
    <s v="T1776"/>
    <x v="0"/>
    <x v="1"/>
    <x v="0"/>
    <x v="0"/>
    <s v="May"/>
    <x v="1"/>
    <x v="1603"/>
    <n v="38.700000000000003"/>
    <x v="1"/>
    <n v="4"/>
    <x v="5"/>
    <n v="1974"/>
    <x v="2"/>
    <n v="25.9"/>
    <s v="Frontend Developer"/>
    <n v="29.8"/>
    <n v="14"/>
    <x v="196"/>
    <n v="5.4"/>
    <n v="3.5"/>
    <n v="1.7"/>
    <s v="Recession"/>
  </r>
  <r>
    <s v="T1777"/>
    <x v="17"/>
    <x v="3"/>
    <x v="3"/>
    <x v="3"/>
    <s v="Oct"/>
    <x v="0"/>
    <x v="1604"/>
    <n v="32.1"/>
    <x v="2"/>
    <n v="3.2"/>
    <x v="5"/>
    <n v="1744"/>
    <x v="2"/>
    <n v="58.7"/>
    <s v="Software Engineer"/>
    <n v="86.7"/>
    <n v="-2.2999999999999998"/>
    <x v="162"/>
    <n v="2"/>
    <n v="5.7"/>
    <n v="2.2000000000000002"/>
    <s v="Recession"/>
  </r>
  <r>
    <s v="T1778"/>
    <x v="3"/>
    <x v="1"/>
    <x v="3"/>
    <x v="0"/>
    <s v="Feb"/>
    <x v="2"/>
    <x v="1605"/>
    <n v="7.2"/>
    <x v="4"/>
    <n v="1"/>
    <x v="38"/>
    <n v="1894"/>
    <x v="1"/>
    <n v="62.6"/>
    <s v="Cybersecurity Analyst"/>
    <n v="79.8"/>
    <n v="43.7"/>
    <x v="95"/>
    <n v="1.6"/>
    <n v="8"/>
    <n v="8.9"/>
    <s v="Bull Market"/>
  </r>
  <r>
    <s v="T1779"/>
    <x v="0"/>
    <x v="5"/>
    <x v="3"/>
    <x v="0"/>
    <s v="Oct"/>
    <x v="0"/>
    <x v="1606"/>
    <n v="0"/>
    <x v="0"/>
    <n v="8.6999999999999993"/>
    <x v="24"/>
    <n v="3999"/>
    <x v="0"/>
    <n v="48.8"/>
    <s v="Data Scientist"/>
    <n v="-1.9"/>
    <n v="12.9"/>
    <x v="122"/>
    <n v="8.5"/>
    <n v="8.9"/>
    <n v="7.4"/>
    <s v="Bull Market"/>
  </r>
  <r>
    <s v="T1780"/>
    <x v="8"/>
    <x v="4"/>
    <x v="2"/>
    <x v="2"/>
    <s v="Nov"/>
    <x v="1"/>
    <x v="1607"/>
    <n v="1.6"/>
    <x v="3"/>
    <n v="4.8"/>
    <x v="58"/>
    <n v="4824"/>
    <x v="0"/>
    <n v="30.8"/>
    <s v="Software Engineer"/>
    <n v="54.4"/>
    <n v="6.3"/>
    <x v="88"/>
    <n v="3.8"/>
    <n v="7.7"/>
    <n v="7.6"/>
    <s v="Stable"/>
  </r>
  <r>
    <s v="T1781"/>
    <x v="0"/>
    <x v="1"/>
    <x v="1"/>
    <x v="0"/>
    <s v="Sep"/>
    <x v="1"/>
    <x v="772"/>
    <n v="11.6"/>
    <x v="1"/>
    <n v="1.8"/>
    <x v="39"/>
    <n v="4304"/>
    <x v="1"/>
    <n v="69.599999999999994"/>
    <s v="Product Manager"/>
    <n v="26.3"/>
    <n v="23.2"/>
    <x v="173"/>
    <n v="1.1000000000000001"/>
    <n v="4.9000000000000004"/>
    <n v="6.3"/>
    <s v="Stable"/>
  </r>
  <r>
    <s v="T1782"/>
    <x v="1"/>
    <x v="1"/>
    <x v="4"/>
    <x v="3"/>
    <s v="Nov"/>
    <x v="0"/>
    <x v="1608"/>
    <n v="5.2"/>
    <x v="2"/>
    <n v="2.6"/>
    <x v="19"/>
    <n v="2832"/>
    <x v="1"/>
    <n v="54.2"/>
    <s v="Product Manager"/>
    <n v="-30.6"/>
    <n v="59.9"/>
    <x v="365"/>
    <n v="1.6"/>
    <n v="9.1"/>
    <n v="9.1999999999999993"/>
    <s v="Bull Market"/>
  </r>
  <r>
    <s v="T1783"/>
    <x v="8"/>
    <x v="6"/>
    <x v="2"/>
    <x v="0"/>
    <s v="Apr"/>
    <x v="1"/>
    <x v="1609"/>
    <n v="11.7"/>
    <x v="1"/>
    <n v="2.9"/>
    <x v="78"/>
    <n v="5647"/>
    <x v="1"/>
    <n v="56.2"/>
    <s v="Software Engineer"/>
    <n v="10.5"/>
    <n v="22.9"/>
    <x v="325"/>
    <n v="3.7"/>
    <n v="5.0999999999999996"/>
    <n v="7.1"/>
    <s v="Stable"/>
  </r>
  <r>
    <s v="T1784"/>
    <x v="3"/>
    <x v="1"/>
    <x v="4"/>
    <x v="1"/>
    <s v="Jun"/>
    <x v="2"/>
    <x v="1350"/>
    <n v="27.8"/>
    <x v="3"/>
    <n v="4.0999999999999996"/>
    <x v="16"/>
    <n v="869"/>
    <x v="2"/>
    <n v="88.8"/>
    <s v="Data Scientist"/>
    <n v="-4.5999999999999996"/>
    <n v="-7.4"/>
    <x v="480"/>
    <n v="5.5"/>
    <n v="2.8"/>
    <n v="3"/>
    <s v="Recession"/>
  </r>
  <r>
    <s v="T1785"/>
    <x v="14"/>
    <x v="1"/>
    <x v="3"/>
    <x v="2"/>
    <s v="Nov"/>
    <x v="2"/>
    <x v="1610"/>
    <n v="13.2"/>
    <x v="0"/>
    <n v="4.5999999999999996"/>
    <x v="31"/>
    <n v="1920"/>
    <x v="0"/>
    <n v="89.9"/>
    <s v="ML Engineer"/>
    <n v="24.5"/>
    <n v="2.5"/>
    <x v="256"/>
    <n v="7.2"/>
    <n v="5.2"/>
    <n v="4.7"/>
    <s v="Stable"/>
  </r>
  <r>
    <s v="T1786"/>
    <x v="2"/>
    <x v="2"/>
    <x v="1"/>
    <x v="2"/>
    <s v="Oct"/>
    <x v="0"/>
    <x v="1611"/>
    <n v="25.6"/>
    <x v="3"/>
    <n v="6.5"/>
    <x v="8"/>
    <n v="1788"/>
    <x v="2"/>
    <n v="23"/>
    <s v="Data Scientist"/>
    <n v="28.4"/>
    <n v="-15.4"/>
    <x v="354"/>
    <n v="5.4"/>
    <n v="3.6"/>
    <n v="3.1"/>
    <s v="Recession"/>
  </r>
  <r>
    <s v="T1787"/>
    <x v="14"/>
    <x v="1"/>
    <x v="4"/>
    <x v="1"/>
    <s v="Mar"/>
    <x v="0"/>
    <x v="1612"/>
    <n v="15.1"/>
    <x v="2"/>
    <n v="2.2000000000000002"/>
    <x v="86"/>
    <n v="5066"/>
    <x v="0"/>
    <n v="19.7"/>
    <s v="Software Engineer"/>
    <n v="18.899999999999999"/>
    <n v="20.5"/>
    <x v="271"/>
    <n v="2.8"/>
    <n v="6.5"/>
    <n v="6.2"/>
    <s v="Stable"/>
  </r>
  <r>
    <s v="T1788"/>
    <x v="1"/>
    <x v="1"/>
    <x v="4"/>
    <x v="2"/>
    <s v="Mar"/>
    <x v="2"/>
    <x v="1613"/>
    <n v="15"/>
    <x v="3"/>
    <n v="6"/>
    <x v="17"/>
    <n v="1278"/>
    <x v="2"/>
    <n v="84.2"/>
    <s v="DevOps Engineer"/>
    <n v="59.8"/>
    <n v="-4.2"/>
    <x v="132"/>
    <n v="3.7"/>
    <n v="4.3"/>
    <n v="5.4"/>
    <s v="Stable"/>
  </r>
  <r>
    <s v="T1789"/>
    <x v="2"/>
    <x v="5"/>
    <x v="2"/>
    <x v="1"/>
    <s v="Sep"/>
    <x v="1"/>
    <x v="1614"/>
    <n v="11.3"/>
    <x v="1"/>
    <n v="5.9"/>
    <x v="15"/>
    <n v="4012"/>
    <x v="1"/>
    <n v="68.5"/>
    <s v="Software Engineer"/>
    <n v="-29.4"/>
    <n v="21.1"/>
    <x v="326"/>
    <n v="4.2"/>
    <n v="6.8"/>
    <n v="6.2"/>
    <s v="Stable"/>
  </r>
  <r>
    <s v="T1790"/>
    <x v="7"/>
    <x v="4"/>
    <x v="1"/>
    <x v="2"/>
    <s v="Jan"/>
    <x v="2"/>
    <x v="1615"/>
    <n v="4.2"/>
    <x v="4"/>
    <n v="7.9"/>
    <x v="33"/>
    <n v="5601"/>
    <x v="3"/>
    <n v="40.700000000000003"/>
    <s v="Frontend Developer"/>
    <n v="-34.1"/>
    <n v="35"/>
    <x v="338"/>
    <n v="7.7"/>
    <n v="7.4"/>
    <n v="7.7"/>
    <s v="Bull Market"/>
  </r>
  <r>
    <s v="T1791"/>
    <x v="2"/>
    <x v="2"/>
    <x v="1"/>
    <x v="3"/>
    <s v="Dec"/>
    <x v="0"/>
    <x v="1616"/>
    <n v="4.5"/>
    <x v="0"/>
    <n v="3.9"/>
    <x v="7"/>
    <n v="1052"/>
    <x v="0"/>
    <n v="17.899999999999999"/>
    <s v="Cloud Engineer"/>
    <n v="42.8"/>
    <n v="26.7"/>
    <x v="103"/>
    <n v="6.2"/>
    <n v="7.6"/>
    <n v="6.7"/>
    <s v="Bull Market"/>
  </r>
  <r>
    <s v="T1792"/>
    <x v="0"/>
    <x v="2"/>
    <x v="1"/>
    <x v="2"/>
    <s v="Oct"/>
    <x v="2"/>
    <x v="1617"/>
    <n v="8.5"/>
    <x v="2"/>
    <n v="15.9"/>
    <x v="5"/>
    <n v="1225"/>
    <x v="0"/>
    <n v="51"/>
    <s v="Cloud Engineer"/>
    <n v="30.7"/>
    <n v="58.3"/>
    <x v="481"/>
    <n v="9.9"/>
    <n v="6.3"/>
    <n v="7.4"/>
    <s v="Bull Market"/>
  </r>
  <r>
    <s v="T1793"/>
    <x v="0"/>
    <x v="5"/>
    <x v="1"/>
    <x v="0"/>
    <s v="Dec"/>
    <x v="2"/>
    <x v="1618"/>
    <n v="2.8"/>
    <x v="3"/>
    <n v="7.6"/>
    <x v="7"/>
    <n v="2676"/>
    <x v="0"/>
    <n v="35.799999999999997"/>
    <s v="Cloud Engineer"/>
    <n v="37.700000000000003"/>
    <n v="-0.4"/>
    <x v="54"/>
    <n v="7.7"/>
    <n v="8.1999999999999993"/>
    <n v="7.3"/>
    <s v="Bull Market"/>
  </r>
  <r>
    <s v="T1794"/>
    <x v="12"/>
    <x v="0"/>
    <x v="3"/>
    <x v="1"/>
    <s v="Oct"/>
    <x v="2"/>
    <x v="1619"/>
    <n v="3.8"/>
    <x v="1"/>
    <n v="1.6"/>
    <x v="32"/>
    <n v="7161"/>
    <x v="0"/>
    <n v="47.9"/>
    <s v="Data Scientist"/>
    <n v="46.2"/>
    <n v="49"/>
    <x v="157"/>
    <n v="2.5"/>
    <n v="9.6999999999999993"/>
    <n v="7.5"/>
    <s v="Bull Market"/>
  </r>
  <r>
    <s v="T1795"/>
    <x v="1"/>
    <x v="6"/>
    <x v="5"/>
    <x v="3"/>
    <s v="Jul"/>
    <x v="1"/>
    <x v="1620"/>
    <n v="13.3"/>
    <x v="3"/>
    <n v="1.1000000000000001"/>
    <x v="45"/>
    <n v="1686"/>
    <x v="1"/>
    <n v="64.8"/>
    <s v="Frontend Developer"/>
    <n v="-10.4"/>
    <n v="-18.100000000000001"/>
    <x v="482"/>
    <n v="1.7"/>
    <n v="4.0999999999999996"/>
    <n v="4.3"/>
    <s v="Recession"/>
  </r>
  <r>
    <s v="T1796"/>
    <x v="4"/>
    <x v="1"/>
    <x v="1"/>
    <x v="1"/>
    <s v="Aug"/>
    <x v="0"/>
    <x v="1621"/>
    <n v="2.2000000000000002"/>
    <x v="2"/>
    <n v="1"/>
    <x v="19"/>
    <n v="950"/>
    <x v="1"/>
    <n v="50.1"/>
    <s v="Cybersecurity Analyst"/>
    <n v="20.9"/>
    <n v="-13.5"/>
    <x v="32"/>
    <n v="1.3"/>
    <n v="5.4"/>
    <n v="6.3"/>
    <s v="Bull Market"/>
  </r>
  <r>
    <s v="T1797"/>
    <x v="1"/>
    <x v="1"/>
    <x v="5"/>
    <x v="1"/>
    <s v="Jan"/>
    <x v="0"/>
    <x v="1622"/>
    <n v="10.6"/>
    <x v="4"/>
    <n v="1.6"/>
    <x v="85"/>
    <n v="5494"/>
    <x v="0"/>
    <n v="67.3"/>
    <s v="Product Manager"/>
    <n v="-36.6"/>
    <n v="-6.6"/>
    <x v="382"/>
    <n v="1.3"/>
    <n v="4.9000000000000004"/>
    <n v="5.9"/>
    <s v="Stable"/>
  </r>
  <r>
    <s v="T1798"/>
    <x v="9"/>
    <x v="1"/>
    <x v="4"/>
    <x v="2"/>
    <s v="Feb"/>
    <x v="2"/>
    <x v="1623"/>
    <n v="10.3"/>
    <x v="3"/>
    <n v="5.2"/>
    <x v="27"/>
    <n v="2892"/>
    <x v="0"/>
    <n v="89.8"/>
    <s v="Cybersecurity Analyst"/>
    <n v="-39.299999999999997"/>
    <n v="-21.4"/>
    <x v="431"/>
    <n v="4.7"/>
    <n v="7"/>
    <n v="5.2"/>
    <s v="Stable"/>
  </r>
  <r>
    <s v="T1799"/>
    <x v="0"/>
    <x v="5"/>
    <x v="5"/>
    <x v="2"/>
    <s v="Apr"/>
    <x v="1"/>
    <x v="1624"/>
    <n v="28.6"/>
    <x v="0"/>
    <n v="7.4"/>
    <x v="5"/>
    <n v="624"/>
    <x v="1"/>
    <n v="45.3"/>
    <s v="Frontend Developer"/>
    <n v="7.3"/>
    <n v="-6.1"/>
    <x v="215"/>
    <n v="9.8000000000000007"/>
    <n v="4.5999999999999996"/>
    <n v="2.9"/>
    <s v="Recession"/>
  </r>
  <r>
    <s v="T1800"/>
    <x v="8"/>
    <x v="4"/>
    <x v="5"/>
    <x v="0"/>
    <s v="Feb"/>
    <x v="1"/>
    <x v="1625"/>
    <n v="14.4"/>
    <x v="4"/>
    <n v="8.9"/>
    <x v="84"/>
    <n v="5620"/>
    <x v="0"/>
    <n v="43.1"/>
    <s v="Cloud Engineer"/>
    <n v="25.1"/>
    <n v="22.4"/>
    <x v="288"/>
    <n v="8.4"/>
    <n v="6.2"/>
    <n v="4.7"/>
    <s v="Stable"/>
  </r>
  <r>
    <s v="T1801"/>
    <x v="14"/>
    <x v="1"/>
    <x v="2"/>
    <x v="1"/>
    <s v="Feb"/>
    <x v="2"/>
    <x v="1626"/>
    <n v="9.4"/>
    <x v="4"/>
    <n v="2.2999999999999998"/>
    <x v="37"/>
    <n v="1159"/>
    <x v="1"/>
    <n v="28.1"/>
    <s v="Cybersecurity Analyst"/>
    <n v="83.2"/>
    <n v="15.4"/>
    <x v="410"/>
    <n v="1.7"/>
    <n v="5.3"/>
    <n v="7.4"/>
    <s v="Recession"/>
  </r>
  <r>
    <s v="T1802"/>
    <x v="0"/>
    <x v="5"/>
    <x v="5"/>
    <x v="0"/>
    <s v="Feb"/>
    <x v="1"/>
    <x v="1627"/>
    <n v="27.4"/>
    <x v="0"/>
    <n v="1.5"/>
    <x v="48"/>
    <n v="1482"/>
    <x v="2"/>
    <n v="57.1"/>
    <s v="Data Scientist"/>
    <n v="73.599999999999994"/>
    <n v="17.8"/>
    <x v="185"/>
    <n v="2"/>
    <n v="3.4"/>
    <n v="3.2"/>
    <s v="Recession"/>
  </r>
  <r>
    <s v="T1803"/>
    <x v="4"/>
    <x v="1"/>
    <x v="1"/>
    <x v="1"/>
    <s v="Nov"/>
    <x v="2"/>
    <x v="336"/>
    <n v="18"/>
    <x v="0"/>
    <n v="5.9"/>
    <x v="15"/>
    <n v="5438"/>
    <x v="0"/>
    <n v="52.1"/>
    <s v="DevOps Engineer"/>
    <n v="5.2"/>
    <n v="-16.3"/>
    <x v="332"/>
    <n v="5.8"/>
    <n v="3.5"/>
    <n v="4.7"/>
    <s v="Stable"/>
  </r>
  <r>
    <s v="T1804"/>
    <x v="2"/>
    <x v="1"/>
    <x v="1"/>
    <x v="1"/>
    <s v="Feb"/>
    <x v="0"/>
    <x v="1628"/>
    <n v="4.5999999999999996"/>
    <x v="0"/>
    <n v="3.8"/>
    <x v="38"/>
    <n v="1497"/>
    <x v="0"/>
    <n v="83.7"/>
    <s v="Product Manager"/>
    <n v="13.1"/>
    <n v="19.399999999999999"/>
    <x v="271"/>
    <n v="3.9"/>
    <n v="8.6"/>
    <n v="7"/>
    <s v="Bull Market"/>
  </r>
  <r>
    <s v="T1805"/>
    <x v="9"/>
    <x v="1"/>
    <x v="2"/>
    <x v="2"/>
    <s v="Oct"/>
    <x v="1"/>
    <x v="1629"/>
    <n v="8.1"/>
    <x v="0"/>
    <n v="8.5"/>
    <x v="57"/>
    <n v="5084"/>
    <x v="0"/>
    <n v="34.200000000000003"/>
    <s v="Cloud Engineer"/>
    <n v="75.7"/>
    <n v="5.5"/>
    <x v="308"/>
    <n v="9.5"/>
    <n v="4.9000000000000004"/>
    <n v="5.0999999999999996"/>
    <s v="Bull Market"/>
  </r>
  <r>
    <s v="T1806"/>
    <x v="2"/>
    <x v="0"/>
    <x v="2"/>
    <x v="3"/>
    <s v="Feb"/>
    <x v="0"/>
    <x v="1630"/>
    <n v="30.8"/>
    <x v="0"/>
    <n v="4.2"/>
    <x v="49"/>
    <n v="6235"/>
    <x v="1"/>
    <n v="33.1"/>
    <s v="Data Scientist"/>
    <n v="79.5"/>
    <n v="-14.9"/>
    <x v="339"/>
    <n v="2.5"/>
    <n v="3.6"/>
    <n v="2.2000000000000002"/>
    <s v="Recession"/>
  </r>
  <r>
    <s v="T1807"/>
    <x v="19"/>
    <x v="0"/>
    <x v="3"/>
    <x v="3"/>
    <s v="Sep"/>
    <x v="0"/>
    <x v="1631"/>
    <n v="9.3000000000000007"/>
    <x v="3"/>
    <n v="9.8000000000000007"/>
    <x v="33"/>
    <n v="5383"/>
    <x v="0"/>
    <n v="58.4"/>
    <s v="Data Scientist"/>
    <n v="49.4"/>
    <n v="20.399999999999999"/>
    <x v="205"/>
    <n v="6.3"/>
    <n v="7.8"/>
    <n v="6"/>
    <s v="Stable"/>
  </r>
  <r>
    <s v="T1808"/>
    <x v="2"/>
    <x v="3"/>
    <x v="2"/>
    <x v="1"/>
    <s v="Aug"/>
    <x v="0"/>
    <x v="1632"/>
    <n v="12"/>
    <x v="2"/>
    <n v="3"/>
    <x v="14"/>
    <n v="5981"/>
    <x v="0"/>
    <n v="53.9"/>
    <s v="Frontend Developer"/>
    <n v="55.8"/>
    <n v="29"/>
    <x v="60"/>
    <n v="4.9000000000000004"/>
    <n v="7.5"/>
    <n v="6.4"/>
    <s v="Stable"/>
  </r>
  <r>
    <s v="T1809"/>
    <x v="2"/>
    <x v="0"/>
    <x v="0"/>
    <x v="1"/>
    <s v="Jan"/>
    <x v="0"/>
    <x v="1633"/>
    <n v="5.7"/>
    <x v="0"/>
    <n v="10.199999999999999"/>
    <x v="35"/>
    <n v="9087"/>
    <x v="0"/>
    <n v="14.7"/>
    <s v="ML Engineer"/>
    <n v="76.5"/>
    <n v="49.1"/>
    <x v="216"/>
    <n v="6.2"/>
    <n v="8.3000000000000007"/>
    <n v="6.9"/>
    <s v="Bull Market"/>
  </r>
  <r>
    <s v="T1810"/>
    <x v="2"/>
    <x v="1"/>
    <x v="2"/>
    <x v="2"/>
    <s v="Jan"/>
    <x v="0"/>
    <x v="1634"/>
    <n v="39.299999999999997"/>
    <x v="2"/>
    <n v="6.6"/>
    <x v="5"/>
    <n v="1274"/>
    <x v="2"/>
    <n v="33"/>
    <s v="DevOps Engineer"/>
    <n v="81.8"/>
    <n v="25.5"/>
    <x v="16"/>
    <n v="4.5"/>
    <n v="4.2"/>
    <n v="2.8"/>
    <s v="Recession"/>
  </r>
  <r>
    <s v="T1811"/>
    <x v="1"/>
    <x v="4"/>
    <x v="0"/>
    <x v="2"/>
    <s v="Oct"/>
    <x v="2"/>
    <x v="1635"/>
    <n v="1.2"/>
    <x v="2"/>
    <n v="1.8"/>
    <x v="77"/>
    <n v="801"/>
    <x v="0"/>
    <n v="46.7"/>
    <s v="ML Engineer"/>
    <n v="1.5"/>
    <n v="33.1"/>
    <x v="228"/>
    <n v="1.7"/>
    <n v="6.1"/>
    <n v="8.8000000000000007"/>
    <s v="Stable"/>
  </r>
  <r>
    <s v="T1812"/>
    <x v="1"/>
    <x v="6"/>
    <x v="4"/>
    <x v="3"/>
    <s v="May"/>
    <x v="0"/>
    <x v="1636"/>
    <n v="9.5"/>
    <x v="2"/>
    <n v="3.4"/>
    <x v="18"/>
    <n v="2190"/>
    <x v="0"/>
    <n v="88.3"/>
    <s v="Product Manager"/>
    <n v="39.6"/>
    <n v="20.6"/>
    <x v="106"/>
    <n v="5"/>
    <n v="7.2"/>
    <n v="6.6"/>
    <s v="Bull Market"/>
  </r>
  <r>
    <s v="T1813"/>
    <x v="9"/>
    <x v="1"/>
    <x v="1"/>
    <x v="1"/>
    <s v="May"/>
    <x v="1"/>
    <x v="1637"/>
    <n v="24.8"/>
    <x v="3"/>
    <n v="10.199999999999999"/>
    <x v="5"/>
    <n v="1702"/>
    <x v="1"/>
    <n v="69.3"/>
    <s v="Data Scientist"/>
    <n v="-33.299999999999997"/>
    <n v="52.5"/>
    <x v="118"/>
    <n v="7.4"/>
    <n v="7.1"/>
    <n v="4.4000000000000004"/>
    <s v="Recession"/>
  </r>
  <r>
    <s v="T1814"/>
    <x v="2"/>
    <x v="2"/>
    <x v="1"/>
    <x v="0"/>
    <s v="Jan"/>
    <x v="1"/>
    <x v="1332"/>
    <n v="8.3000000000000007"/>
    <x v="3"/>
    <n v="3.5"/>
    <x v="5"/>
    <n v="3476"/>
    <x v="0"/>
    <n v="39.299999999999997"/>
    <s v="Data Scientist"/>
    <n v="87.1"/>
    <n v="48.6"/>
    <x v="483"/>
    <n v="5.4"/>
    <n v="9.6"/>
    <n v="7.6"/>
    <s v="Bull Market"/>
  </r>
  <r>
    <s v="T1815"/>
    <x v="4"/>
    <x v="0"/>
    <x v="4"/>
    <x v="3"/>
    <s v="Oct"/>
    <x v="0"/>
    <x v="1638"/>
    <n v="5.8"/>
    <x v="3"/>
    <n v="8.3000000000000007"/>
    <x v="5"/>
    <n v="4839"/>
    <x v="0"/>
    <n v="46.3"/>
    <s v="Data Scientist"/>
    <n v="40.200000000000003"/>
    <n v="11.8"/>
    <x v="190"/>
    <n v="9.4"/>
    <n v="7.4"/>
    <n v="6.2"/>
    <s v="Stable"/>
  </r>
  <r>
    <s v="T1816"/>
    <x v="14"/>
    <x v="1"/>
    <x v="3"/>
    <x v="3"/>
    <s v="Nov"/>
    <x v="2"/>
    <x v="1639"/>
    <n v="4.2"/>
    <x v="1"/>
    <n v="1.5"/>
    <x v="79"/>
    <n v="5237"/>
    <x v="1"/>
    <n v="36.1"/>
    <s v="Product Manager"/>
    <n v="86.6"/>
    <n v="25"/>
    <x v="331"/>
    <n v="1"/>
    <n v="6.4"/>
    <n v="7.7"/>
    <s v="Bull Market"/>
  </r>
  <r>
    <s v="T1817"/>
    <x v="2"/>
    <x v="3"/>
    <x v="3"/>
    <x v="1"/>
    <s v="Mar"/>
    <x v="0"/>
    <x v="1640"/>
    <n v="1.3"/>
    <x v="3"/>
    <n v="5.9"/>
    <x v="18"/>
    <n v="5880"/>
    <x v="0"/>
    <n v="29.8"/>
    <s v="Product Manager"/>
    <n v="-40.299999999999997"/>
    <n v="-3.2"/>
    <x v="382"/>
    <n v="5.3"/>
    <n v="8"/>
    <n v="6"/>
    <s v="Bull Market"/>
  </r>
  <r>
    <s v="T1818"/>
    <x v="17"/>
    <x v="0"/>
    <x v="0"/>
    <x v="0"/>
    <s v="Mar"/>
    <x v="2"/>
    <x v="611"/>
    <n v="17.5"/>
    <x v="3"/>
    <n v="5.9"/>
    <x v="33"/>
    <n v="2878"/>
    <x v="1"/>
    <n v="73.099999999999994"/>
    <s v="ML Engineer"/>
    <n v="-22.4"/>
    <n v="13.2"/>
    <x v="105"/>
    <n v="5.8"/>
    <n v="7"/>
    <n v="4.5999999999999996"/>
    <s v="Stable"/>
  </r>
  <r>
    <s v="T1819"/>
    <x v="12"/>
    <x v="5"/>
    <x v="5"/>
    <x v="0"/>
    <s v="Jan"/>
    <x v="2"/>
    <x v="1641"/>
    <n v="13.6"/>
    <x v="4"/>
    <n v="8.6999999999999993"/>
    <x v="5"/>
    <n v="732"/>
    <x v="0"/>
    <n v="65"/>
    <s v="Product Manager"/>
    <n v="12.1"/>
    <n v="47.6"/>
    <x v="48"/>
    <n v="9.9"/>
    <n v="6.9"/>
    <n v="5.8"/>
    <s v="Stable"/>
  </r>
  <r>
    <s v="T1820"/>
    <x v="1"/>
    <x v="1"/>
    <x v="2"/>
    <x v="0"/>
    <s v="Dec"/>
    <x v="0"/>
    <x v="1642"/>
    <n v="8"/>
    <x v="4"/>
    <n v="12.9"/>
    <x v="5"/>
    <n v="1123"/>
    <x v="1"/>
    <n v="56.1"/>
    <s v="Product Manager"/>
    <n v="45.5"/>
    <n v="27.9"/>
    <x v="368"/>
    <n v="8.1999999999999993"/>
    <n v="7.3"/>
    <n v="6.4"/>
    <s v="Recession"/>
  </r>
  <r>
    <s v="T1821"/>
    <x v="2"/>
    <x v="3"/>
    <x v="3"/>
    <x v="2"/>
    <s v="Aug"/>
    <x v="0"/>
    <x v="1643"/>
    <n v="3.7"/>
    <x v="4"/>
    <n v="4.3"/>
    <x v="77"/>
    <n v="2165"/>
    <x v="0"/>
    <n v="65.3"/>
    <s v="DevOps Engineer"/>
    <n v="30.8"/>
    <n v="56.5"/>
    <x v="455"/>
    <n v="2.9"/>
    <n v="8.1"/>
    <n v="8.5"/>
    <s v="Bull Market"/>
  </r>
  <r>
    <s v="T1822"/>
    <x v="15"/>
    <x v="2"/>
    <x v="4"/>
    <x v="3"/>
    <s v="Apr"/>
    <x v="2"/>
    <x v="1644"/>
    <n v="9.6"/>
    <x v="2"/>
    <n v="2"/>
    <x v="45"/>
    <n v="4732"/>
    <x v="0"/>
    <n v="31.7"/>
    <s v="Software Engineer"/>
    <n v="56.3"/>
    <n v="14.7"/>
    <x v="183"/>
    <n v="3.2"/>
    <n v="7.6"/>
    <n v="5.5"/>
    <s v="Bull Market"/>
  </r>
  <r>
    <s v="T1823"/>
    <x v="15"/>
    <x v="2"/>
    <x v="0"/>
    <x v="2"/>
    <s v="Apr"/>
    <x v="0"/>
    <x v="1645"/>
    <n v="1.2"/>
    <x v="4"/>
    <n v="10.3"/>
    <x v="9"/>
    <n v="1351"/>
    <x v="0"/>
    <n v="87.2"/>
    <s v="Frontend Developer"/>
    <n v="38.1"/>
    <n v="54.1"/>
    <x v="381"/>
    <n v="8.9"/>
    <n v="7.5"/>
    <n v="7.6"/>
    <s v="Bull Market"/>
  </r>
  <r>
    <s v="T1824"/>
    <x v="9"/>
    <x v="1"/>
    <x v="5"/>
    <x v="3"/>
    <s v="Sep"/>
    <x v="2"/>
    <x v="1646"/>
    <n v="9.8000000000000007"/>
    <x v="4"/>
    <n v="1.9"/>
    <x v="13"/>
    <n v="5829"/>
    <x v="1"/>
    <n v="62.6"/>
    <s v="Product Manager"/>
    <n v="49"/>
    <n v="0.8"/>
    <x v="436"/>
    <n v="1.7"/>
    <n v="7.1"/>
    <n v="7.1"/>
    <s v="Bull Market"/>
  </r>
  <r>
    <s v="T1825"/>
    <x v="2"/>
    <x v="3"/>
    <x v="0"/>
    <x v="3"/>
    <s v="Nov"/>
    <x v="0"/>
    <x v="1647"/>
    <n v="13.2"/>
    <x v="3"/>
    <n v="7.8"/>
    <x v="50"/>
    <n v="1486"/>
    <x v="1"/>
    <n v="20.2"/>
    <s v="Frontend Developer"/>
    <n v="27.8"/>
    <n v="29.4"/>
    <x v="1"/>
    <n v="6.2"/>
    <n v="8.8000000000000007"/>
    <n v="6.3"/>
    <s v="Recession"/>
  </r>
  <r>
    <s v="T1826"/>
    <x v="2"/>
    <x v="3"/>
    <x v="5"/>
    <x v="3"/>
    <s v="Mar"/>
    <x v="1"/>
    <x v="1648"/>
    <n v="8.1999999999999993"/>
    <x v="0"/>
    <n v="2.6"/>
    <x v="68"/>
    <n v="2948"/>
    <x v="1"/>
    <n v="46.7"/>
    <s v="ML Engineer"/>
    <n v="36.700000000000003"/>
    <n v="11.9"/>
    <x v="348"/>
    <n v="2.2999999999999998"/>
    <n v="6.5"/>
    <n v="6.7"/>
    <s v="Bull Market"/>
  </r>
  <r>
    <s v="T1827"/>
    <x v="12"/>
    <x v="5"/>
    <x v="5"/>
    <x v="3"/>
    <s v="Jul"/>
    <x v="1"/>
    <x v="1649"/>
    <n v="14.6"/>
    <x v="1"/>
    <n v="5"/>
    <x v="5"/>
    <n v="5813"/>
    <x v="0"/>
    <n v="30.2"/>
    <s v="Frontend Developer"/>
    <n v="43.3"/>
    <n v="5.8"/>
    <x v="446"/>
    <n v="7.4"/>
    <n v="6.2"/>
    <n v="3.8"/>
    <s v="Stable"/>
  </r>
  <r>
    <s v="T1828"/>
    <x v="0"/>
    <x v="5"/>
    <x v="5"/>
    <x v="3"/>
    <s v="Sep"/>
    <x v="1"/>
    <x v="1650"/>
    <n v="13.8"/>
    <x v="3"/>
    <n v="4"/>
    <x v="75"/>
    <n v="4457"/>
    <x v="1"/>
    <n v="40.299999999999997"/>
    <s v="DevOps Engineer"/>
    <n v="13.3"/>
    <n v="45.4"/>
    <x v="267"/>
    <n v="6.5"/>
    <n v="8.5"/>
    <n v="7.7"/>
    <s v="Stable"/>
  </r>
  <r>
    <s v="T1829"/>
    <x v="13"/>
    <x v="5"/>
    <x v="2"/>
    <x v="3"/>
    <s v="Oct"/>
    <x v="2"/>
    <x v="1383"/>
    <n v="23.3"/>
    <x v="3"/>
    <n v="12.9"/>
    <x v="5"/>
    <n v="1396"/>
    <x v="1"/>
    <n v="64.2"/>
    <s v="Frontend Developer"/>
    <n v="-18"/>
    <n v="38.6"/>
    <x v="108"/>
    <n v="8.6999999999999993"/>
    <n v="7.3"/>
    <n v="5.5"/>
    <s v="Recession"/>
  </r>
  <r>
    <s v="T1830"/>
    <x v="6"/>
    <x v="2"/>
    <x v="5"/>
    <x v="0"/>
    <s v="Jan"/>
    <x v="1"/>
    <x v="1651"/>
    <n v="3.5"/>
    <x v="0"/>
    <n v="7.8"/>
    <x v="75"/>
    <n v="3939"/>
    <x v="0"/>
    <n v="49.6"/>
    <s v="Cloud Engineer"/>
    <n v="-37.9"/>
    <n v="-20.6"/>
    <x v="101"/>
    <n v="5.6"/>
    <n v="5.4"/>
    <n v="6.5"/>
    <s v="Bull Market"/>
  </r>
  <r>
    <s v="T1831"/>
    <x v="2"/>
    <x v="5"/>
    <x v="0"/>
    <x v="3"/>
    <s v="May"/>
    <x v="1"/>
    <x v="1652"/>
    <n v="0.6"/>
    <x v="1"/>
    <n v="2.1"/>
    <x v="40"/>
    <n v="5713"/>
    <x v="0"/>
    <n v="62.9"/>
    <s v="DevOps Engineer"/>
    <n v="22.7"/>
    <n v="47.3"/>
    <x v="360"/>
    <n v="2.2000000000000002"/>
    <n v="7.3"/>
    <n v="9.6"/>
    <s v="Bull Market"/>
  </r>
  <r>
    <s v="T1832"/>
    <x v="5"/>
    <x v="3"/>
    <x v="0"/>
    <x v="1"/>
    <s v="May"/>
    <x v="2"/>
    <x v="153"/>
    <n v="4.7"/>
    <x v="0"/>
    <n v="6.1"/>
    <x v="29"/>
    <n v="4428"/>
    <x v="0"/>
    <n v="76.400000000000006"/>
    <s v="Product Manager"/>
    <n v="82.1"/>
    <n v="56.3"/>
    <x v="158"/>
    <n v="5"/>
    <n v="9.8000000000000007"/>
    <n v="8.6"/>
    <s v="Bull Market"/>
  </r>
  <r>
    <s v="T1833"/>
    <x v="4"/>
    <x v="0"/>
    <x v="5"/>
    <x v="2"/>
    <s v="Aug"/>
    <x v="0"/>
    <x v="465"/>
    <n v="8.8000000000000007"/>
    <x v="4"/>
    <n v="5.2"/>
    <x v="5"/>
    <n v="7875"/>
    <x v="0"/>
    <n v="78.2"/>
    <s v="Data Scientist"/>
    <n v="-14.6"/>
    <n v="-2.6"/>
    <x v="341"/>
    <n v="5.8"/>
    <n v="6.7"/>
    <n v="4.3"/>
    <s v="Bull Market"/>
  </r>
  <r>
    <s v="T1834"/>
    <x v="4"/>
    <x v="1"/>
    <x v="0"/>
    <x v="1"/>
    <s v="May"/>
    <x v="1"/>
    <x v="1653"/>
    <n v="16.399999999999999"/>
    <x v="4"/>
    <n v="4.3"/>
    <x v="69"/>
    <n v="2500"/>
    <x v="1"/>
    <n v="10.199999999999999"/>
    <s v="Data Scientist"/>
    <n v="82.9"/>
    <n v="5.0999999999999996"/>
    <x v="144"/>
    <n v="6.5"/>
    <n v="6.3"/>
    <n v="5.4"/>
    <s v="Stable"/>
  </r>
  <r>
    <s v="T1835"/>
    <x v="1"/>
    <x v="4"/>
    <x v="3"/>
    <x v="1"/>
    <s v="Nov"/>
    <x v="1"/>
    <x v="1654"/>
    <n v="7.5"/>
    <x v="0"/>
    <n v="10.7"/>
    <x v="5"/>
    <n v="578"/>
    <x v="1"/>
    <n v="79.599999999999994"/>
    <s v="DevOps Engineer"/>
    <n v="19.7"/>
    <n v="-20.9"/>
    <x v="128"/>
    <n v="6.8"/>
    <n v="5.6"/>
    <n v="5.5"/>
    <s v="Bull Market"/>
  </r>
  <r>
    <s v="T1836"/>
    <x v="19"/>
    <x v="0"/>
    <x v="4"/>
    <x v="2"/>
    <s v="Feb"/>
    <x v="0"/>
    <x v="1655"/>
    <n v="27.6"/>
    <x v="0"/>
    <n v="0.8"/>
    <x v="56"/>
    <n v="8211"/>
    <x v="0"/>
    <n v="77"/>
    <s v="ML Engineer"/>
    <n v="-44.2"/>
    <n v="11.1"/>
    <x v="328"/>
    <n v="1.2"/>
    <n v="4.2"/>
    <n v="5.2"/>
    <s v="Recession"/>
  </r>
  <r>
    <s v="T1837"/>
    <x v="6"/>
    <x v="2"/>
    <x v="3"/>
    <x v="3"/>
    <s v="Jul"/>
    <x v="2"/>
    <x v="1656"/>
    <n v="10.3"/>
    <x v="0"/>
    <n v="11.1"/>
    <x v="5"/>
    <n v="941"/>
    <x v="1"/>
    <n v="54"/>
    <s v="Cybersecurity Analyst"/>
    <n v="44.3"/>
    <n v="1.8"/>
    <x v="74"/>
    <n v="9.3000000000000007"/>
    <n v="4.4000000000000004"/>
    <n v="4.3"/>
    <s v="Recession"/>
  </r>
  <r>
    <s v="T1838"/>
    <x v="2"/>
    <x v="2"/>
    <x v="3"/>
    <x v="0"/>
    <s v="Dec"/>
    <x v="2"/>
    <x v="1657"/>
    <n v="2.7"/>
    <x v="4"/>
    <n v="9.6"/>
    <x v="5"/>
    <n v="516"/>
    <x v="0"/>
    <n v="24.1"/>
    <s v="Product Manager"/>
    <n v="63.1"/>
    <n v="6.3"/>
    <x v="232"/>
    <n v="7.8"/>
    <n v="6.7"/>
    <n v="5.5"/>
    <s v="Bull Market"/>
  </r>
  <r>
    <s v="T1839"/>
    <x v="12"/>
    <x v="0"/>
    <x v="0"/>
    <x v="2"/>
    <s v="Sep"/>
    <x v="2"/>
    <x v="1658"/>
    <n v="7.3"/>
    <x v="4"/>
    <n v="6.9"/>
    <x v="27"/>
    <n v="6754"/>
    <x v="3"/>
    <n v="43"/>
    <s v="Data Scientist"/>
    <n v="-25.7"/>
    <n v="35.700000000000003"/>
    <x v="257"/>
    <n v="9.8000000000000007"/>
    <n v="6.4"/>
    <n v="5.9"/>
    <s v="Stable"/>
  </r>
  <r>
    <s v="T1840"/>
    <x v="2"/>
    <x v="1"/>
    <x v="2"/>
    <x v="3"/>
    <s v="Jun"/>
    <x v="2"/>
    <x v="1659"/>
    <n v="33.700000000000003"/>
    <x v="4"/>
    <n v="8.9"/>
    <x v="5"/>
    <n v="1043"/>
    <x v="2"/>
    <n v="73.3"/>
    <s v="DevOps Engineer"/>
    <n v="32.299999999999997"/>
    <n v="46.9"/>
    <x v="233"/>
    <n v="6.4"/>
    <n v="5"/>
    <n v="3.4"/>
    <s v="Recession"/>
  </r>
  <r>
    <s v="T1841"/>
    <x v="10"/>
    <x v="3"/>
    <x v="2"/>
    <x v="3"/>
    <s v="Sep"/>
    <x v="0"/>
    <x v="1660"/>
    <n v="11"/>
    <x v="3"/>
    <n v="16.8"/>
    <x v="5"/>
    <n v="1021"/>
    <x v="1"/>
    <n v="61.2"/>
    <s v="Software Engineer"/>
    <n v="80.2"/>
    <n v="46"/>
    <x v="198"/>
    <n v="9.9"/>
    <n v="7.3"/>
    <n v="6.7"/>
    <s v="Recession"/>
  </r>
  <r>
    <s v="T1842"/>
    <x v="0"/>
    <x v="0"/>
    <x v="5"/>
    <x v="1"/>
    <s v="Mar"/>
    <x v="1"/>
    <x v="1661"/>
    <n v="1.8"/>
    <x v="1"/>
    <n v="10.7"/>
    <x v="75"/>
    <n v="4530"/>
    <x v="0"/>
    <n v="23.7"/>
    <s v="ML Engineer"/>
    <n v="36.200000000000003"/>
    <n v="11.2"/>
    <x v="288"/>
    <n v="6.7"/>
    <n v="7.6"/>
    <n v="6.3"/>
    <s v="Stable"/>
  </r>
  <r>
    <s v="T1843"/>
    <x v="7"/>
    <x v="4"/>
    <x v="5"/>
    <x v="2"/>
    <s v="Aug"/>
    <x v="2"/>
    <x v="1662"/>
    <n v="8.5"/>
    <x v="0"/>
    <n v="4.4000000000000004"/>
    <x v="5"/>
    <n v="4279"/>
    <x v="1"/>
    <n v="51.5"/>
    <s v="Cybersecurity Analyst"/>
    <n v="29.1"/>
    <n v="13.7"/>
    <x v="166"/>
    <n v="5.3"/>
    <n v="5.2"/>
    <n v="4.5999999999999996"/>
    <s v="Stable"/>
  </r>
  <r>
    <s v="T1844"/>
    <x v="2"/>
    <x v="5"/>
    <x v="5"/>
    <x v="3"/>
    <s v="Apr"/>
    <x v="1"/>
    <x v="1663"/>
    <n v="8.1"/>
    <x v="0"/>
    <n v="2.9"/>
    <x v="45"/>
    <n v="3287"/>
    <x v="0"/>
    <n v="87.7"/>
    <s v="Data Scientist"/>
    <n v="19.100000000000001"/>
    <n v="51.9"/>
    <x v="370"/>
    <n v="4.5999999999999996"/>
    <n v="7.1"/>
    <n v="7.9"/>
    <s v="Bull Market"/>
  </r>
  <r>
    <s v="T1845"/>
    <x v="5"/>
    <x v="3"/>
    <x v="5"/>
    <x v="0"/>
    <s v="May"/>
    <x v="1"/>
    <x v="1664"/>
    <n v="37.299999999999997"/>
    <x v="0"/>
    <n v="7.7"/>
    <x v="5"/>
    <n v="1977"/>
    <x v="1"/>
    <n v="78.099999999999994"/>
    <s v="Software Engineer"/>
    <n v="38.6"/>
    <n v="40.4"/>
    <x v="191"/>
    <n v="7.7"/>
    <n v="3.8"/>
    <n v="2.6"/>
    <s v="Recession"/>
  </r>
  <r>
    <s v="T1846"/>
    <x v="6"/>
    <x v="2"/>
    <x v="1"/>
    <x v="3"/>
    <s v="Apr"/>
    <x v="2"/>
    <x v="1665"/>
    <n v="7.3"/>
    <x v="3"/>
    <n v="1.4"/>
    <x v="64"/>
    <n v="3159"/>
    <x v="1"/>
    <n v="30.8"/>
    <s v="Product Manager"/>
    <n v="56.6"/>
    <n v="20.8"/>
    <x v="138"/>
    <n v="1.2"/>
    <n v="7.6"/>
    <n v="6.7"/>
    <s v="Stable"/>
  </r>
  <r>
    <s v="T1847"/>
    <x v="2"/>
    <x v="5"/>
    <x v="1"/>
    <x v="1"/>
    <s v="Dec"/>
    <x v="2"/>
    <x v="67"/>
    <n v="3.7"/>
    <x v="3"/>
    <n v="5.0999999999999996"/>
    <x v="47"/>
    <n v="2732"/>
    <x v="1"/>
    <n v="27"/>
    <s v="ML Engineer"/>
    <n v="-23.2"/>
    <n v="47.1"/>
    <x v="256"/>
    <n v="4.7"/>
    <n v="7.2"/>
    <n v="8.4"/>
    <s v="Bull Market"/>
  </r>
  <r>
    <s v="T1848"/>
    <x v="2"/>
    <x v="0"/>
    <x v="3"/>
    <x v="0"/>
    <s v="Sep"/>
    <x v="1"/>
    <x v="1666"/>
    <n v="0.3"/>
    <x v="4"/>
    <n v="12.6"/>
    <x v="35"/>
    <n v="5352"/>
    <x v="0"/>
    <n v="85.6"/>
    <s v="Data Scientist"/>
    <n v="61.9"/>
    <n v="55.7"/>
    <x v="13"/>
    <n v="9.6"/>
    <n v="7.9"/>
    <n v="8.4"/>
    <s v="Bull Market"/>
  </r>
  <r>
    <s v="T1849"/>
    <x v="2"/>
    <x v="3"/>
    <x v="2"/>
    <x v="2"/>
    <s v="Nov"/>
    <x v="0"/>
    <x v="1667"/>
    <n v="13.3"/>
    <x v="2"/>
    <n v="10.6"/>
    <x v="5"/>
    <n v="1113"/>
    <x v="0"/>
    <n v="14.6"/>
    <s v="ML Engineer"/>
    <n v="14.3"/>
    <n v="37.9"/>
    <x v="377"/>
    <n v="9.3000000000000007"/>
    <n v="6.6"/>
    <n v="5.9"/>
    <s v="Recession"/>
  </r>
  <r>
    <s v="T1850"/>
    <x v="2"/>
    <x v="1"/>
    <x v="0"/>
    <x v="1"/>
    <s v="Jun"/>
    <x v="2"/>
    <x v="1668"/>
    <n v="18.5"/>
    <x v="1"/>
    <n v="12.3"/>
    <x v="5"/>
    <n v="811"/>
    <x v="1"/>
    <n v="42.8"/>
    <s v="Cybersecurity Analyst"/>
    <n v="89.3"/>
    <n v="50"/>
    <x v="396"/>
    <n v="8.8000000000000007"/>
    <n v="8.3000000000000007"/>
    <n v="4.7"/>
    <s v="Recession"/>
  </r>
  <r>
    <s v="T1851"/>
    <x v="1"/>
    <x v="6"/>
    <x v="0"/>
    <x v="0"/>
    <s v="May"/>
    <x v="0"/>
    <x v="1669"/>
    <n v="5.4"/>
    <x v="0"/>
    <n v="7.4"/>
    <x v="5"/>
    <n v="200"/>
    <x v="0"/>
    <n v="44.8"/>
    <s v="Cloud Engineer"/>
    <n v="49.4"/>
    <n v="4.4000000000000004"/>
    <x v="249"/>
    <n v="9.4"/>
    <n v="6.4"/>
    <n v="5.6"/>
    <s v="Bull Market"/>
  </r>
  <r>
    <s v="T1852"/>
    <x v="17"/>
    <x v="0"/>
    <x v="0"/>
    <x v="1"/>
    <s v="Jun"/>
    <x v="2"/>
    <x v="1648"/>
    <n v="9.1999999999999993"/>
    <x v="1"/>
    <n v="3.8"/>
    <x v="29"/>
    <n v="4460"/>
    <x v="1"/>
    <n v="18.399999999999999"/>
    <s v="ML Engineer"/>
    <n v="79.900000000000006"/>
    <n v="40.5"/>
    <x v="423"/>
    <n v="4.7"/>
    <n v="6.2"/>
    <n v="6.8"/>
    <s v="Bull Market"/>
  </r>
  <r>
    <s v="T1853"/>
    <x v="16"/>
    <x v="2"/>
    <x v="0"/>
    <x v="2"/>
    <s v="Jan"/>
    <x v="1"/>
    <x v="1670"/>
    <n v="7.6"/>
    <x v="3"/>
    <n v="8.1999999999999993"/>
    <x v="9"/>
    <n v="1358"/>
    <x v="1"/>
    <n v="56.1"/>
    <s v="Cybersecurity Analyst"/>
    <n v="-37"/>
    <n v="20.5"/>
    <x v="335"/>
    <n v="5.7"/>
    <n v="6.6"/>
    <n v="5.2"/>
    <s v="Bull Market"/>
  </r>
  <r>
    <s v="T1854"/>
    <x v="12"/>
    <x v="0"/>
    <x v="0"/>
    <x v="3"/>
    <s v="May"/>
    <x v="1"/>
    <x v="1609"/>
    <n v="1.7"/>
    <x v="1"/>
    <n v="8.1999999999999993"/>
    <x v="51"/>
    <n v="7302"/>
    <x v="3"/>
    <n v="30.7"/>
    <s v="ML Engineer"/>
    <n v="-23.8"/>
    <n v="-9.3000000000000007"/>
    <x v="138"/>
    <n v="6.8"/>
    <n v="5"/>
    <n v="6.7"/>
    <s v="Stable"/>
  </r>
  <r>
    <s v="T1855"/>
    <x v="1"/>
    <x v="6"/>
    <x v="0"/>
    <x v="2"/>
    <s v="Jan"/>
    <x v="0"/>
    <x v="1671"/>
    <n v="15.3"/>
    <x v="4"/>
    <n v="4.5999999999999996"/>
    <x v="17"/>
    <n v="3739"/>
    <x v="1"/>
    <n v="82.2"/>
    <s v="Product Manager"/>
    <n v="46"/>
    <n v="-3.8"/>
    <x v="312"/>
    <n v="3.1"/>
    <n v="7.2"/>
    <n v="5.9"/>
    <s v="Stable"/>
  </r>
  <r>
    <s v="T1856"/>
    <x v="2"/>
    <x v="0"/>
    <x v="3"/>
    <x v="0"/>
    <s v="Jun"/>
    <x v="1"/>
    <x v="1672"/>
    <n v="14.4"/>
    <x v="3"/>
    <n v="1.8"/>
    <x v="89"/>
    <n v="1203"/>
    <x v="1"/>
    <n v="55"/>
    <s v="ML Engineer"/>
    <n v="-44.5"/>
    <n v="33.299999999999997"/>
    <x v="382"/>
    <n v="1.6"/>
    <n v="8.4"/>
    <n v="8"/>
    <s v="Stable"/>
  </r>
  <r>
    <s v="T1857"/>
    <x v="2"/>
    <x v="0"/>
    <x v="1"/>
    <x v="3"/>
    <s v="Apr"/>
    <x v="2"/>
    <x v="1673"/>
    <n v="1.2"/>
    <x v="3"/>
    <n v="2.5"/>
    <x v="19"/>
    <n v="9542"/>
    <x v="3"/>
    <n v="62.7"/>
    <s v="Data Scientist"/>
    <n v="-38.799999999999997"/>
    <n v="19"/>
    <x v="288"/>
    <n v="2"/>
    <n v="9"/>
    <n v="8.6"/>
    <s v="Stable"/>
  </r>
  <r>
    <s v="T1858"/>
    <x v="0"/>
    <x v="1"/>
    <x v="1"/>
    <x v="1"/>
    <s v="Jul"/>
    <x v="1"/>
    <x v="1674"/>
    <n v="0.8"/>
    <x v="4"/>
    <n v="2.6"/>
    <x v="10"/>
    <n v="3501"/>
    <x v="1"/>
    <n v="74.400000000000006"/>
    <s v="Software Engineer"/>
    <n v="75.3"/>
    <n v="42.4"/>
    <x v="200"/>
    <n v="2.9"/>
    <n v="9.6"/>
    <n v="8.1"/>
    <s v="Bull Market"/>
  </r>
  <r>
    <s v="T1859"/>
    <x v="11"/>
    <x v="6"/>
    <x v="5"/>
    <x v="0"/>
    <s v="Feb"/>
    <x v="2"/>
    <x v="1675"/>
    <n v="4.5999999999999996"/>
    <x v="2"/>
    <n v="3.2"/>
    <x v="77"/>
    <n v="5612"/>
    <x v="0"/>
    <n v="17.3"/>
    <s v="DevOps Engineer"/>
    <n v="-44.5"/>
    <n v="36.1"/>
    <x v="49"/>
    <n v="2.1"/>
    <n v="9.1999999999999993"/>
    <n v="9.1"/>
    <s v="Stable"/>
  </r>
  <r>
    <s v="T1860"/>
    <x v="2"/>
    <x v="1"/>
    <x v="1"/>
    <x v="2"/>
    <s v="Nov"/>
    <x v="0"/>
    <x v="1676"/>
    <n v="33.799999999999997"/>
    <x v="1"/>
    <n v="13.6"/>
    <x v="5"/>
    <n v="279"/>
    <x v="2"/>
    <n v="66.8"/>
    <s v="Cloud Engineer"/>
    <n v="84.3"/>
    <n v="53.4"/>
    <x v="9"/>
    <n v="8.5"/>
    <n v="4.5"/>
    <n v="4.4000000000000004"/>
    <s v="Recession"/>
  </r>
  <r>
    <s v="T1861"/>
    <x v="6"/>
    <x v="1"/>
    <x v="3"/>
    <x v="1"/>
    <s v="Mar"/>
    <x v="2"/>
    <x v="1677"/>
    <n v="2.2000000000000002"/>
    <x v="3"/>
    <n v="1.4"/>
    <x v="19"/>
    <n v="1224"/>
    <x v="1"/>
    <n v="27.5"/>
    <s v="Data Scientist"/>
    <n v="52.7"/>
    <n v="-19.600000000000001"/>
    <x v="134"/>
    <n v="1.2"/>
    <n v="8"/>
    <n v="7.2"/>
    <s v="Stable"/>
  </r>
  <r>
    <s v="T1862"/>
    <x v="15"/>
    <x v="2"/>
    <x v="5"/>
    <x v="0"/>
    <s v="May"/>
    <x v="0"/>
    <x v="1268"/>
    <n v="8.5"/>
    <x v="0"/>
    <n v="3.6"/>
    <x v="2"/>
    <n v="296"/>
    <x v="1"/>
    <n v="12.7"/>
    <s v="DevOps Engineer"/>
    <n v="49.5"/>
    <n v="39.200000000000003"/>
    <x v="270"/>
    <n v="4.7"/>
    <n v="8.6"/>
    <n v="7.2"/>
    <s v="Stable"/>
  </r>
  <r>
    <s v="T1863"/>
    <x v="2"/>
    <x v="0"/>
    <x v="0"/>
    <x v="2"/>
    <s v="Jan"/>
    <x v="2"/>
    <x v="1678"/>
    <n v="7.8"/>
    <x v="4"/>
    <n v="5.3"/>
    <x v="51"/>
    <n v="8595"/>
    <x v="0"/>
    <n v="80.7"/>
    <s v="ML Engineer"/>
    <n v="10.9"/>
    <n v="-5.7"/>
    <x v="74"/>
    <n v="7"/>
    <n v="5"/>
    <n v="4.8"/>
    <s v="Bull Market"/>
  </r>
  <r>
    <s v="T1864"/>
    <x v="5"/>
    <x v="3"/>
    <x v="5"/>
    <x v="3"/>
    <s v="Mar"/>
    <x v="1"/>
    <x v="1679"/>
    <n v="30.9"/>
    <x v="3"/>
    <n v="2.5"/>
    <x v="29"/>
    <n v="1680"/>
    <x v="2"/>
    <n v="16.399999999999999"/>
    <s v="Cloud Engineer"/>
    <n v="49.8"/>
    <n v="-21.7"/>
    <x v="343"/>
    <n v="2.2000000000000002"/>
    <n v="5.9"/>
    <n v="3.2"/>
    <s v="Recession"/>
  </r>
  <r>
    <s v="T1865"/>
    <x v="17"/>
    <x v="0"/>
    <x v="4"/>
    <x v="2"/>
    <s v="Aug"/>
    <x v="1"/>
    <x v="1680"/>
    <n v="17.399999999999999"/>
    <x v="3"/>
    <n v="5"/>
    <x v="43"/>
    <n v="2087"/>
    <x v="1"/>
    <n v="27"/>
    <s v="ML Engineer"/>
    <n v="-6"/>
    <n v="33.9"/>
    <x v="207"/>
    <n v="5.5"/>
    <n v="6.3"/>
    <n v="4.7"/>
    <s v="Recession"/>
  </r>
  <r>
    <s v="T1866"/>
    <x v="12"/>
    <x v="0"/>
    <x v="5"/>
    <x v="2"/>
    <s v="Oct"/>
    <x v="2"/>
    <x v="1681"/>
    <n v="19.3"/>
    <x v="0"/>
    <n v="5.3"/>
    <x v="67"/>
    <n v="2049"/>
    <x v="1"/>
    <n v="70.900000000000006"/>
    <s v="Data Scientist"/>
    <n v="-14.9"/>
    <n v="-6.8"/>
    <x v="144"/>
    <n v="6.4"/>
    <n v="5.9"/>
    <n v="5.0999999999999996"/>
    <s v="Recession"/>
  </r>
  <r>
    <s v="T1867"/>
    <x v="0"/>
    <x v="5"/>
    <x v="3"/>
    <x v="3"/>
    <s v="Apr"/>
    <x v="2"/>
    <x v="1682"/>
    <n v="17.399999999999999"/>
    <x v="3"/>
    <n v="8.1999999999999993"/>
    <x v="5"/>
    <n v="5154"/>
    <x v="1"/>
    <n v="54.6"/>
    <s v="Software Engineer"/>
    <n v="12.8"/>
    <n v="30.4"/>
    <x v="204"/>
    <n v="5.4"/>
    <n v="6.5"/>
    <n v="4.7"/>
    <s v="Stable"/>
  </r>
  <r>
    <s v="T1868"/>
    <x v="2"/>
    <x v="5"/>
    <x v="5"/>
    <x v="1"/>
    <s v="Sep"/>
    <x v="2"/>
    <x v="1683"/>
    <n v="12.4"/>
    <x v="2"/>
    <n v="1.6"/>
    <x v="45"/>
    <n v="3722"/>
    <x v="1"/>
    <n v="33.6"/>
    <s v="Frontend Developer"/>
    <n v="-13.3"/>
    <n v="7.1"/>
    <x v="326"/>
    <n v="1.4"/>
    <n v="6.2"/>
    <n v="6.8"/>
    <s v="Stable"/>
  </r>
  <r>
    <s v="T1869"/>
    <x v="8"/>
    <x v="6"/>
    <x v="4"/>
    <x v="1"/>
    <s v="Sep"/>
    <x v="0"/>
    <x v="1684"/>
    <n v="23.9"/>
    <x v="1"/>
    <n v="5.4"/>
    <x v="5"/>
    <n v="1703"/>
    <x v="1"/>
    <n v="86.8"/>
    <s v="DevOps Engineer"/>
    <n v="-4.4000000000000004"/>
    <n v="42.9"/>
    <x v="266"/>
    <n v="6.2"/>
    <n v="7.1"/>
    <n v="4.9000000000000004"/>
    <s v="Recession"/>
  </r>
  <r>
    <s v="T1870"/>
    <x v="19"/>
    <x v="0"/>
    <x v="2"/>
    <x v="0"/>
    <s v="Dec"/>
    <x v="0"/>
    <x v="1685"/>
    <n v="17.100000000000001"/>
    <x v="3"/>
    <n v="1.8"/>
    <x v="83"/>
    <n v="6044"/>
    <x v="1"/>
    <n v="44.9"/>
    <s v="ML Engineer"/>
    <n v="-38"/>
    <n v="58.3"/>
    <x v="253"/>
    <n v="2.2000000000000002"/>
    <n v="8.3000000000000007"/>
    <n v="5.9"/>
    <s v="Recession"/>
  </r>
  <r>
    <s v="T1871"/>
    <x v="17"/>
    <x v="0"/>
    <x v="3"/>
    <x v="3"/>
    <s v="Dec"/>
    <x v="0"/>
    <x v="411"/>
    <n v="25.1"/>
    <x v="0"/>
    <n v="5.5"/>
    <x v="49"/>
    <n v="9398"/>
    <x v="3"/>
    <n v="40.6"/>
    <s v="ML Engineer"/>
    <n v="83.2"/>
    <n v="41.3"/>
    <x v="155"/>
    <n v="8.1"/>
    <n v="7.1"/>
    <n v="3.9"/>
    <s v="Recession"/>
  </r>
  <r>
    <s v="T1872"/>
    <x v="13"/>
    <x v="5"/>
    <x v="5"/>
    <x v="3"/>
    <s v="Oct"/>
    <x v="2"/>
    <x v="1686"/>
    <n v="9.9"/>
    <x v="2"/>
    <n v="12.5"/>
    <x v="50"/>
    <n v="445"/>
    <x v="0"/>
    <n v="23.6"/>
    <s v="Cybersecurity Analyst"/>
    <n v="33.700000000000003"/>
    <n v="-23.5"/>
    <x v="243"/>
    <n v="9.6999999999999993"/>
    <n v="5.2"/>
    <n v="3.7"/>
    <s v="Recession"/>
  </r>
  <r>
    <s v="T1873"/>
    <x v="0"/>
    <x v="2"/>
    <x v="4"/>
    <x v="2"/>
    <s v="Feb"/>
    <x v="2"/>
    <x v="1687"/>
    <n v="5.3"/>
    <x v="4"/>
    <n v="3.8"/>
    <x v="37"/>
    <n v="2922"/>
    <x v="1"/>
    <n v="10.5"/>
    <s v="Cybersecurity Analyst"/>
    <n v="-22.6"/>
    <n v="24"/>
    <x v="11"/>
    <n v="2.4"/>
    <n v="8.3000000000000007"/>
    <n v="7.5"/>
    <s v="Stable"/>
  </r>
  <r>
    <s v="T1874"/>
    <x v="7"/>
    <x v="4"/>
    <x v="0"/>
    <x v="2"/>
    <s v="Sep"/>
    <x v="1"/>
    <x v="1688"/>
    <n v="15.3"/>
    <x v="3"/>
    <n v="13.1"/>
    <x v="5"/>
    <n v="4055"/>
    <x v="1"/>
    <n v="52"/>
    <s v="Cloud Engineer"/>
    <n v="81.400000000000006"/>
    <n v="11.6"/>
    <x v="8"/>
    <n v="8.3000000000000007"/>
    <n v="5.7"/>
    <n v="5.7"/>
    <s v="Stable"/>
  </r>
  <r>
    <s v="T1875"/>
    <x v="15"/>
    <x v="2"/>
    <x v="0"/>
    <x v="0"/>
    <s v="Jan"/>
    <x v="2"/>
    <x v="1689"/>
    <n v="30.6"/>
    <x v="2"/>
    <n v="5.9"/>
    <x v="5"/>
    <n v="1601"/>
    <x v="2"/>
    <n v="33.200000000000003"/>
    <s v="Product Manager"/>
    <n v="36.700000000000003"/>
    <n v="39.200000000000003"/>
    <x v="177"/>
    <n v="5.2"/>
    <n v="6.2"/>
    <n v="4"/>
    <s v="Recession"/>
  </r>
  <r>
    <s v="T1876"/>
    <x v="11"/>
    <x v="6"/>
    <x v="3"/>
    <x v="3"/>
    <s v="Apr"/>
    <x v="1"/>
    <x v="1690"/>
    <n v="17.7"/>
    <x v="0"/>
    <n v="2.9"/>
    <x v="82"/>
    <n v="1611"/>
    <x v="2"/>
    <n v="51.8"/>
    <s v="Product Manager"/>
    <n v="2.7"/>
    <n v="37.1"/>
    <x v="18"/>
    <n v="1.9"/>
    <n v="5.5"/>
    <n v="6.2"/>
    <s v="Recession"/>
  </r>
  <r>
    <s v="T1877"/>
    <x v="2"/>
    <x v="2"/>
    <x v="5"/>
    <x v="3"/>
    <s v="Feb"/>
    <x v="1"/>
    <x v="1290"/>
    <n v="7.8"/>
    <x v="2"/>
    <n v="4.9000000000000004"/>
    <x v="27"/>
    <n v="710"/>
    <x v="1"/>
    <n v="56.5"/>
    <s v="DevOps Engineer"/>
    <n v="41.7"/>
    <n v="-21.1"/>
    <x v="327"/>
    <n v="6.3"/>
    <n v="4"/>
    <n v="5.4"/>
    <s v="Stable"/>
  </r>
  <r>
    <s v="T1878"/>
    <x v="11"/>
    <x v="6"/>
    <x v="2"/>
    <x v="0"/>
    <s v="Oct"/>
    <x v="1"/>
    <x v="1691"/>
    <n v="13.9"/>
    <x v="0"/>
    <n v="10.8"/>
    <x v="69"/>
    <n v="1316"/>
    <x v="1"/>
    <n v="56.9"/>
    <s v="Product Manager"/>
    <n v="-39.1"/>
    <n v="13.9"/>
    <x v="146"/>
    <n v="6.5"/>
    <n v="4.5999999999999996"/>
    <n v="5.0999999999999996"/>
    <s v="Recession"/>
  </r>
  <r>
    <s v="T1879"/>
    <x v="0"/>
    <x v="0"/>
    <x v="3"/>
    <x v="2"/>
    <s v="Mar"/>
    <x v="1"/>
    <x v="1692"/>
    <n v="40"/>
    <x v="0"/>
    <n v="7.6"/>
    <x v="5"/>
    <n v="4884"/>
    <x v="1"/>
    <n v="83.3"/>
    <s v="ML Engineer"/>
    <n v="-35.799999999999997"/>
    <n v="7.3"/>
    <x v="279"/>
    <n v="4.9000000000000004"/>
    <n v="3"/>
    <n v="2.5"/>
    <s v="Recession"/>
  </r>
  <r>
    <s v="T1880"/>
    <x v="1"/>
    <x v="6"/>
    <x v="1"/>
    <x v="3"/>
    <s v="Jan"/>
    <x v="0"/>
    <x v="1693"/>
    <n v="5.9"/>
    <x v="2"/>
    <n v="8.3000000000000007"/>
    <x v="72"/>
    <n v="5125"/>
    <x v="0"/>
    <n v="86.6"/>
    <s v="Cloud Engineer"/>
    <n v="-40.5"/>
    <n v="0.7"/>
    <x v="3"/>
    <n v="5.4"/>
    <n v="7.9"/>
    <n v="5.6"/>
    <s v="Bull Market"/>
  </r>
  <r>
    <s v="T1881"/>
    <x v="13"/>
    <x v="5"/>
    <x v="5"/>
    <x v="2"/>
    <s v="Sep"/>
    <x v="0"/>
    <x v="1277"/>
    <n v="13.7"/>
    <x v="1"/>
    <n v="2.4"/>
    <x v="78"/>
    <n v="1833"/>
    <x v="1"/>
    <n v="54.2"/>
    <s v="Product Manager"/>
    <n v="-21.5"/>
    <n v="57.5"/>
    <x v="452"/>
    <n v="3.5"/>
    <n v="8.1"/>
    <n v="6.9"/>
    <s v="Stable"/>
  </r>
  <r>
    <s v="T1882"/>
    <x v="0"/>
    <x v="5"/>
    <x v="2"/>
    <x v="2"/>
    <s v="Jan"/>
    <x v="2"/>
    <x v="1694"/>
    <n v="15.8"/>
    <x v="3"/>
    <n v="4.5999999999999996"/>
    <x v="67"/>
    <n v="408"/>
    <x v="1"/>
    <n v="56.3"/>
    <s v="DevOps Engineer"/>
    <n v="39.299999999999997"/>
    <n v="46"/>
    <x v="228"/>
    <n v="4.7"/>
    <n v="5.5"/>
    <n v="6.6"/>
    <s v="Recession"/>
  </r>
  <r>
    <s v="T1883"/>
    <x v="18"/>
    <x v="0"/>
    <x v="5"/>
    <x v="1"/>
    <s v="Feb"/>
    <x v="2"/>
    <x v="1695"/>
    <n v="7.2"/>
    <x v="1"/>
    <n v="6.3"/>
    <x v="1"/>
    <n v="1931"/>
    <x v="0"/>
    <n v="48"/>
    <s v="Data Scientist"/>
    <n v="-25.5"/>
    <n v="10"/>
    <x v="15"/>
    <n v="6.6"/>
    <n v="5.8"/>
    <n v="5.8"/>
    <s v="Bull Market"/>
  </r>
  <r>
    <s v="T1884"/>
    <x v="17"/>
    <x v="0"/>
    <x v="4"/>
    <x v="0"/>
    <s v="Jan"/>
    <x v="2"/>
    <x v="1696"/>
    <n v="9.8000000000000007"/>
    <x v="1"/>
    <n v="5.4"/>
    <x v="20"/>
    <n v="2000"/>
    <x v="0"/>
    <n v="19.399999999999999"/>
    <s v="ML Engineer"/>
    <n v="-1.9"/>
    <n v="55"/>
    <x v="473"/>
    <n v="7.6"/>
    <n v="9.1"/>
    <n v="7.9"/>
    <s v="Recession"/>
  </r>
  <r>
    <s v="T1885"/>
    <x v="13"/>
    <x v="5"/>
    <x v="2"/>
    <x v="3"/>
    <s v="Sep"/>
    <x v="0"/>
    <x v="1697"/>
    <n v="8.6"/>
    <x v="4"/>
    <n v="3.6"/>
    <x v="68"/>
    <n v="630"/>
    <x v="1"/>
    <n v="16.5"/>
    <s v="Data Scientist"/>
    <n v="65.8"/>
    <n v="29.5"/>
    <x v="36"/>
    <n v="4.4000000000000004"/>
    <n v="8.6"/>
    <n v="6.1"/>
    <s v="Bull Market"/>
  </r>
  <r>
    <s v="T1886"/>
    <x v="8"/>
    <x v="6"/>
    <x v="5"/>
    <x v="3"/>
    <s v="Oct"/>
    <x v="2"/>
    <x v="1182"/>
    <n v="12.7"/>
    <x v="3"/>
    <n v="2.5"/>
    <x v="30"/>
    <n v="2499"/>
    <x v="1"/>
    <n v="10.9"/>
    <s v="Data Scientist"/>
    <n v="14.6"/>
    <n v="-5.4"/>
    <x v="403"/>
    <n v="3.5"/>
    <n v="5.9"/>
    <n v="6"/>
    <s v="Stable"/>
  </r>
  <r>
    <s v="T1887"/>
    <x v="14"/>
    <x v="1"/>
    <x v="1"/>
    <x v="1"/>
    <s v="Oct"/>
    <x v="0"/>
    <x v="1698"/>
    <n v="13.6"/>
    <x v="2"/>
    <n v="6.1"/>
    <x v="16"/>
    <n v="440"/>
    <x v="0"/>
    <n v="25.4"/>
    <s v="Software Engineer"/>
    <n v="-44.2"/>
    <n v="17.899999999999999"/>
    <x v="273"/>
    <n v="9.3000000000000007"/>
    <n v="5.8"/>
    <n v="5.4"/>
    <s v="Stable"/>
  </r>
  <r>
    <s v="T1888"/>
    <x v="17"/>
    <x v="3"/>
    <x v="0"/>
    <x v="3"/>
    <s v="Aug"/>
    <x v="0"/>
    <x v="1699"/>
    <n v="14.4"/>
    <x v="4"/>
    <n v="6.6"/>
    <x v="41"/>
    <n v="851"/>
    <x v="1"/>
    <n v="48.6"/>
    <s v="Data Scientist"/>
    <n v="18.899999999999999"/>
    <n v="53.4"/>
    <x v="484"/>
    <n v="5.5"/>
    <n v="5.8"/>
    <n v="6.8"/>
    <s v="Recession"/>
  </r>
  <r>
    <s v="T1889"/>
    <x v="1"/>
    <x v="0"/>
    <x v="5"/>
    <x v="3"/>
    <s v="Jan"/>
    <x v="0"/>
    <x v="1700"/>
    <n v="13.9"/>
    <x v="3"/>
    <n v="3.8"/>
    <x v="11"/>
    <n v="3953"/>
    <x v="1"/>
    <n v="11.8"/>
    <s v="ML Engineer"/>
    <n v="-23.2"/>
    <n v="23.8"/>
    <x v="259"/>
    <n v="5.6"/>
    <n v="7.3"/>
    <n v="5.8"/>
    <s v="Recession"/>
  </r>
  <r>
    <s v="T1890"/>
    <x v="12"/>
    <x v="0"/>
    <x v="5"/>
    <x v="0"/>
    <s v="May"/>
    <x v="0"/>
    <x v="1541"/>
    <n v="7.8"/>
    <x v="3"/>
    <n v="6"/>
    <x v="5"/>
    <n v="5163"/>
    <x v="0"/>
    <n v="39.799999999999997"/>
    <s v="ML Engineer"/>
    <n v="82"/>
    <n v="-15.6"/>
    <x v="471"/>
    <n v="7.5"/>
    <n v="5.2"/>
    <n v="5"/>
    <s v="Bull Market"/>
  </r>
  <r>
    <s v="T1891"/>
    <x v="9"/>
    <x v="1"/>
    <x v="1"/>
    <x v="0"/>
    <s v="Sep"/>
    <x v="0"/>
    <x v="850"/>
    <n v="16.3"/>
    <x v="0"/>
    <n v="11"/>
    <x v="5"/>
    <n v="1302"/>
    <x v="1"/>
    <n v="42.3"/>
    <s v="ML Engineer"/>
    <n v="-39"/>
    <n v="-5.8"/>
    <x v="23"/>
    <n v="7.9"/>
    <n v="3.6"/>
    <n v="3.8"/>
    <s v="Recession"/>
  </r>
  <r>
    <s v="T1892"/>
    <x v="10"/>
    <x v="3"/>
    <x v="3"/>
    <x v="3"/>
    <s v="Mar"/>
    <x v="1"/>
    <x v="1701"/>
    <n v="38.299999999999997"/>
    <x v="4"/>
    <n v="3.8"/>
    <x v="5"/>
    <n v="375"/>
    <x v="2"/>
    <n v="24"/>
    <s v="ML Engineer"/>
    <n v="89.4"/>
    <n v="56.8"/>
    <x v="36"/>
    <n v="4.9000000000000004"/>
    <n v="4.5"/>
    <n v="4.7"/>
    <s v="Recession"/>
  </r>
  <r>
    <s v="T1893"/>
    <x v="10"/>
    <x v="3"/>
    <x v="2"/>
    <x v="0"/>
    <s v="Nov"/>
    <x v="2"/>
    <x v="1702"/>
    <n v="6.6"/>
    <x v="2"/>
    <n v="8.4"/>
    <x v="14"/>
    <n v="1548"/>
    <x v="0"/>
    <n v="38.6"/>
    <s v="DevOps Engineer"/>
    <n v="-7.1"/>
    <n v="-18.600000000000001"/>
    <x v="328"/>
    <n v="7.8"/>
    <n v="7.2"/>
    <n v="5.3"/>
    <s v="Stable"/>
  </r>
  <r>
    <s v="T1894"/>
    <x v="1"/>
    <x v="6"/>
    <x v="4"/>
    <x v="2"/>
    <s v="Aug"/>
    <x v="1"/>
    <x v="1703"/>
    <n v="16.8"/>
    <x v="4"/>
    <n v="5.4"/>
    <x v="68"/>
    <n v="1206"/>
    <x v="1"/>
    <n v="42"/>
    <s v="Software Engineer"/>
    <n v="60"/>
    <n v="44.4"/>
    <x v="36"/>
    <n v="4.5"/>
    <n v="7.7"/>
    <n v="6.7"/>
    <s v="Recession"/>
  </r>
  <r>
    <s v="T1895"/>
    <x v="12"/>
    <x v="5"/>
    <x v="2"/>
    <x v="2"/>
    <s v="Apr"/>
    <x v="0"/>
    <x v="1461"/>
    <n v="5.2"/>
    <x v="2"/>
    <n v="15.8"/>
    <x v="3"/>
    <n v="5872"/>
    <x v="0"/>
    <n v="69"/>
    <s v="ML Engineer"/>
    <n v="-15.9"/>
    <n v="51.7"/>
    <x v="258"/>
    <n v="9.6999999999999993"/>
    <n v="8.6"/>
    <n v="6.9"/>
    <s v="Bull Market"/>
  </r>
  <r>
    <s v="T1896"/>
    <x v="0"/>
    <x v="5"/>
    <x v="4"/>
    <x v="2"/>
    <s v="Jul"/>
    <x v="2"/>
    <x v="1704"/>
    <n v="1.1000000000000001"/>
    <x v="1"/>
    <n v="11.9"/>
    <x v="5"/>
    <n v="3142"/>
    <x v="0"/>
    <n v="70.2"/>
    <s v="Software Engineer"/>
    <n v="49.6"/>
    <n v="-19.5"/>
    <x v="99"/>
    <n v="7.8"/>
    <n v="6.8"/>
    <n v="4.5999999999999996"/>
    <s v="Bull Market"/>
  </r>
  <r>
    <s v="T1897"/>
    <x v="8"/>
    <x v="6"/>
    <x v="3"/>
    <x v="2"/>
    <s v="Dec"/>
    <x v="2"/>
    <x v="1705"/>
    <n v="0.2"/>
    <x v="3"/>
    <n v="3.1"/>
    <x v="47"/>
    <n v="646"/>
    <x v="1"/>
    <n v="37.4"/>
    <s v="Software Engineer"/>
    <n v="-19.600000000000001"/>
    <n v="-18.100000000000001"/>
    <x v="160"/>
    <n v="2.2000000000000002"/>
    <n v="5.2"/>
    <n v="6.6"/>
    <s v="Bull Market"/>
  </r>
  <r>
    <s v="T1898"/>
    <x v="18"/>
    <x v="0"/>
    <x v="2"/>
    <x v="3"/>
    <s v="May"/>
    <x v="2"/>
    <x v="1706"/>
    <n v="28.2"/>
    <x v="4"/>
    <n v="7.1"/>
    <x v="60"/>
    <n v="2034"/>
    <x v="1"/>
    <n v="39.799999999999997"/>
    <s v="ML Engineer"/>
    <n v="-36.700000000000003"/>
    <n v="41.6"/>
    <x v="104"/>
    <n v="4.2"/>
    <n v="6.1"/>
    <n v="5.4"/>
    <s v="Recession"/>
  </r>
  <r>
    <s v="T1899"/>
    <x v="2"/>
    <x v="3"/>
    <x v="5"/>
    <x v="2"/>
    <s v="Jun"/>
    <x v="0"/>
    <x v="1707"/>
    <n v="11.1"/>
    <x v="3"/>
    <n v="2.2999999999999998"/>
    <x v="70"/>
    <n v="4052"/>
    <x v="0"/>
    <n v="74.5"/>
    <s v="Product Manager"/>
    <n v="-38.9"/>
    <n v="55.8"/>
    <x v="367"/>
    <n v="1.5"/>
    <n v="6.4"/>
    <n v="8.6"/>
    <s v="Stable"/>
  </r>
  <r>
    <s v="T1900"/>
    <x v="14"/>
    <x v="1"/>
    <x v="2"/>
    <x v="1"/>
    <s v="Jul"/>
    <x v="2"/>
    <x v="1708"/>
    <n v="11.9"/>
    <x v="2"/>
    <n v="2"/>
    <x v="75"/>
    <n v="5657"/>
    <x v="0"/>
    <n v="25.6"/>
    <s v="Cloud Engineer"/>
    <n v="-5.0999999999999996"/>
    <n v="-24.5"/>
    <x v="485"/>
    <n v="1.4"/>
    <n v="4.2"/>
    <n v="4.2"/>
    <s v="Stable"/>
  </r>
  <r>
    <s v="T1901"/>
    <x v="7"/>
    <x v="4"/>
    <x v="5"/>
    <x v="2"/>
    <s v="Jul"/>
    <x v="2"/>
    <x v="1709"/>
    <n v="5.0999999999999996"/>
    <x v="3"/>
    <n v="3.1"/>
    <x v="38"/>
    <n v="4699"/>
    <x v="0"/>
    <n v="22.1"/>
    <s v="Cybersecurity Analyst"/>
    <n v="54.5"/>
    <n v="17.100000000000001"/>
    <x v="216"/>
    <n v="2.7"/>
    <n v="7.7"/>
    <n v="8.1"/>
    <s v="Stable"/>
  </r>
  <r>
    <s v="T1902"/>
    <x v="2"/>
    <x v="1"/>
    <x v="0"/>
    <x v="3"/>
    <s v="Mar"/>
    <x v="1"/>
    <x v="1710"/>
    <n v="8.5"/>
    <x v="0"/>
    <n v="4.2"/>
    <x v="84"/>
    <n v="1420"/>
    <x v="0"/>
    <n v="66.400000000000006"/>
    <s v="ML Engineer"/>
    <n v="8"/>
    <n v="8.4"/>
    <x v="254"/>
    <n v="6.3"/>
    <n v="6"/>
    <n v="4.7"/>
    <s v="Stable"/>
  </r>
  <r>
    <s v="T1903"/>
    <x v="10"/>
    <x v="3"/>
    <x v="4"/>
    <x v="3"/>
    <s v="Jan"/>
    <x v="1"/>
    <x v="1711"/>
    <n v="0.7"/>
    <x v="2"/>
    <n v="4.2"/>
    <x v="4"/>
    <n v="1285"/>
    <x v="0"/>
    <n v="79.3"/>
    <s v="Cybersecurity Analyst"/>
    <n v="36.6"/>
    <n v="-16.5"/>
    <x v="486"/>
    <n v="2.9"/>
    <n v="6.2"/>
    <n v="6.7"/>
    <s v="Bull Market"/>
  </r>
  <r>
    <s v="T1904"/>
    <x v="16"/>
    <x v="2"/>
    <x v="5"/>
    <x v="3"/>
    <s v="Oct"/>
    <x v="1"/>
    <x v="899"/>
    <n v="16.399999999999999"/>
    <x v="3"/>
    <n v="3.1"/>
    <x v="39"/>
    <n v="1408"/>
    <x v="1"/>
    <n v="10.8"/>
    <s v="Cybersecurity Analyst"/>
    <n v="23.9"/>
    <n v="26"/>
    <x v="188"/>
    <n v="1.9"/>
    <n v="6"/>
    <n v="6.1"/>
    <s v="Stable"/>
  </r>
  <r>
    <s v="T1905"/>
    <x v="4"/>
    <x v="0"/>
    <x v="0"/>
    <x v="0"/>
    <s v="May"/>
    <x v="0"/>
    <x v="1712"/>
    <n v="15"/>
    <x v="1"/>
    <n v="7.8"/>
    <x v="52"/>
    <n v="3542"/>
    <x v="0"/>
    <n v="13.2"/>
    <s v="ML Engineer"/>
    <n v="10"/>
    <n v="-14"/>
    <x v="315"/>
    <n v="5.7"/>
    <n v="6.6"/>
    <n v="4.7"/>
    <s v="Stable"/>
  </r>
  <r>
    <s v="T1906"/>
    <x v="7"/>
    <x v="4"/>
    <x v="5"/>
    <x v="3"/>
    <s v="Sep"/>
    <x v="2"/>
    <x v="1713"/>
    <n v="8.9"/>
    <x v="2"/>
    <n v="6.1"/>
    <x v="18"/>
    <n v="1494"/>
    <x v="1"/>
    <n v="41.6"/>
    <s v="Frontend Developer"/>
    <n v="21.3"/>
    <n v="55.4"/>
    <x v="61"/>
    <n v="5.2"/>
    <n v="6.5"/>
    <n v="7.9"/>
    <s v="Bull Market"/>
  </r>
  <r>
    <s v="T1907"/>
    <x v="16"/>
    <x v="2"/>
    <x v="4"/>
    <x v="3"/>
    <s v="May"/>
    <x v="1"/>
    <x v="1714"/>
    <n v="13.7"/>
    <x v="0"/>
    <n v="7.8"/>
    <x v="23"/>
    <n v="4049"/>
    <x v="0"/>
    <n v="46"/>
    <s v="Data Scientist"/>
    <n v="-32.6"/>
    <n v="57.1"/>
    <x v="357"/>
    <n v="4.9000000000000004"/>
    <n v="6.4"/>
    <n v="8"/>
    <s v="Stable"/>
  </r>
  <r>
    <s v="T1908"/>
    <x v="1"/>
    <x v="0"/>
    <x v="0"/>
    <x v="1"/>
    <s v="Nov"/>
    <x v="2"/>
    <x v="1715"/>
    <n v="4.2"/>
    <x v="3"/>
    <n v="1.5"/>
    <x v="77"/>
    <n v="6863"/>
    <x v="0"/>
    <n v="51.4"/>
    <s v="ML Engineer"/>
    <n v="2.2000000000000002"/>
    <n v="-0.1"/>
    <x v="341"/>
    <n v="1"/>
    <n v="6.6"/>
    <n v="7.8"/>
    <s v="Bull Market"/>
  </r>
  <r>
    <s v="T1909"/>
    <x v="2"/>
    <x v="3"/>
    <x v="3"/>
    <x v="3"/>
    <s v="Aug"/>
    <x v="0"/>
    <x v="1716"/>
    <n v="10.9"/>
    <x v="3"/>
    <n v="2.2999999999999998"/>
    <x v="1"/>
    <n v="990"/>
    <x v="1"/>
    <n v="67.8"/>
    <s v="ML Engineer"/>
    <n v="85"/>
    <n v="5"/>
    <x v="59"/>
    <n v="2"/>
    <n v="6.7"/>
    <n v="6.7"/>
    <s v="Recession"/>
  </r>
  <r>
    <s v="T1910"/>
    <x v="5"/>
    <x v="3"/>
    <x v="2"/>
    <x v="2"/>
    <s v="Jul"/>
    <x v="0"/>
    <x v="159"/>
    <n v="1.5"/>
    <x v="0"/>
    <n v="3.2"/>
    <x v="11"/>
    <n v="4954"/>
    <x v="0"/>
    <n v="40.9"/>
    <s v="ML Engineer"/>
    <n v="-14"/>
    <n v="-8.1"/>
    <x v="74"/>
    <n v="5.3"/>
    <n v="5.7"/>
    <n v="5.3"/>
    <s v="Bull Market"/>
  </r>
  <r>
    <s v="T1911"/>
    <x v="0"/>
    <x v="1"/>
    <x v="1"/>
    <x v="3"/>
    <s v="Apr"/>
    <x v="2"/>
    <x v="1717"/>
    <n v="5.8"/>
    <x v="2"/>
    <n v="9.9"/>
    <x v="3"/>
    <n v="1020"/>
    <x v="0"/>
    <n v="68.599999999999994"/>
    <s v="Software Engineer"/>
    <n v="0.6"/>
    <n v="36.200000000000003"/>
    <x v="182"/>
    <n v="7.1"/>
    <n v="8"/>
    <n v="6.3"/>
    <s v="Stable"/>
  </r>
  <r>
    <s v="T1912"/>
    <x v="16"/>
    <x v="2"/>
    <x v="0"/>
    <x v="3"/>
    <s v="Sep"/>
    <x v="0"/>
    <x v="1718"/>
    <n v="14.5"/>
    <x v="4"/>
    <n v="1.7"/>
    <x v="32"/>
    <n v="4384"/>
    <x v="1"/>
    <n v="62.4"/>
    <s v="Cloud Engineer"/>
    <n v="-27.1"/>
    <n v="50.5"/>
    <x v="439"/>
    <n v="1.9"/>
    <n v="9.1"/>
    <n v="6.6"/>
    <s v="Stable"/>
  </r>
  <r>
    <s v="T1913"/>
    <x v="0"/>
    <x v="5"/>
    <x v="1"/>
    <x v="2"/>
    <s v="Feb"/>
    <x v="1"/>
    <x v="1657"/>
    <n v="1"/>
    <x v="4"/>
    <n v="2.1"/>
    <x v="32"/>
    <n v="2844"/>
    <x v="1"/>
    <n v="88.8"/>
    <s v="ML Engineer"/>
    <n v="48"/>
    <n v="-18.7"/>
    <x v="477"/>
    <n v="2.9"/>
    <n v="6.2"/>
    <n v="5.5"/>
    <s v="Bull Market"/>
  </r>
  <r>
    <s v="T1914"/>
    <x v="11"/>
    <x v="6"/>
    <x v="0"/>
    <x v="3"/>
    <s v="Oct"/>
    <x v="0"/>
    <x v="1719"/>
    <n v="8.6999999999999993"/>
    <x v="3"/>
    <n v="7.4"/>
    <x v="5"/>
    <n v="3062"/>
    <x v="1"/>
    <n v="66.5"/>
    <s v="Frontend Developer"/>
    <n v="47.5"/>
    <n v="-8.4"/>
    <x v="273"/>
    <n v="8.6"/>
    <n v="5.2"/>
    <n v="5.0999999999999996"/>
    <s v="Stable"/>
  </r>
  <r>
    <s v="T1915"/>
    <x v="0"/>
    <x v="5"/>
    <x v="3"/>
    <x v="1"/>
    <s v="Jan"/>
    <x v="1"/>
    <x v="760"/>
    <n v="15.2"/>
    <x v="1"/>
    <n v="1.3"/>
    <x v="22"/>
    <n v="1326"/>
    <x v="2"/>
    <n v="63"/>
    <s v="ML Engineer"/>
    <n v="63.2"/>
    <n v="51.4"/>
    <x v="55"/>
    <n v="1.5"/>
    <n v="5.7"/>
    <n v="6.4"/>
    <s v="Stable"/>
  </r>
  <r>
    <s v="T1916"/>
    <x v="2"/>
    <x v="0"/>
    <x v="5"/>
    <x v="2"/>
    <s v="Jun"/>
    <x v="0"/>
    <x v="1720"/>
    <n v="4.2"/>
    <x v="1"/>
    <n v="5.5"/>
    <x v="39"/>
    <n v="5320"/>
    <x v="0"/>
    <n v="16.399999999999999"/>
    <s v="Data Scientist"/>
    <n v="-18.8"/>
    <n v="53.8"/>
    <x v="104"/>
    <n v="3.3"/>
    <n v="9.1999999999999993"/>
    <n v="8.9"/>
    <s v="Stable"/>
  </r>
  <r>
    <s v="T1917"/>
    <x v="1"/>
    <x v="0"/>
    <x v="5"/>
    <x v="0"/>
    <s v="Aug"/>
    <x v="1"/>
    <x v="1721"/>
    <n v="4.5"/>
    <x v="3"/>
    <n v="4.5"/>
    <x v="56"/>
    <n v="6657"/>
    <x v="0"/>
    <n v="88.8"/>
    <s v="ML Engineer"/>
    <n v="30.6"/>
    <n v="-3.5"/>
    <x v="369"/>
    <n v="3"/>
    <n v="5.6"/>
    <n v="6.8"/>
    <s v="Stable"/>
  </r>
  <r>
    <s v="T1918"/>
    <x v="12"/>
    <x v="5"/>
    <x v="4"/>
    <x v="1"/>
    <s v="Aug"/>
    <x v="2"/>
    <x v="1722"/>
    <n v="39"/>
    <x v="4"/>
    <n v="2.4"/>
    <x v="5"/>
    <n v="1964"/>
    <x v="2"/>
    <n v="30.3"/>
    <s v="Data Scientist"/>
    <n v="32.6"/>
    <n v="33.799999999999997"/>
    <x v="264"/>
    <n v="3.7"/>
    <n v="4.5"/>
    <n v="3.5"/>
    <s v="Recession"/>
  </r>
  <r>
    <s v="T1919"/>
    <x v="12"/>
    <x v="5"/>
    <x v="5"/>
    <x v="0"/>
    <s v="Sep"/>
    <x v="1"/>
    <x v="1723"/>
    <n v="3.4"/>
    <x v="0"/>
    <n v="5.7"/>
    <x v="29"/>
    <n v="4694"/>
    <x v="0"/>
    <n v="48.8"/>
    <s v="Software Engineer"/>
    <n v="-23.5"/>
    <n v="37.9"/>
    <x v="304"/>
    <n v="4"/>
    <n v="8.4"/>
    <n v="8"/>
    <s v="Bull Market"/>
  </r>
  <r>
    <s v="T1920"/>
    <x v="2"/>
    <x v="0"/>
    <x v="5"/>
    <x v="2"/>
    <s v="Sep"/>
    <x v="1"/>
    <x v="1724"/>
    <n v="37"/>
    <x v="0"/>
    <n v="3.3"/>
    <x v="5"/>
    <n v="5432"/>
    <x v="1"/>
    <n v="82"/>
    <s v="Data Scientist"/>
    <n v="-1.7"/>
    <n v="29.9"/>
    <x v="361"/>
    <n v="3.9"/>
    <n v="5"/>
    <n v="3.7"/>
    <s v="Recession"/>
  </r>
  <r>
    <s v="T1921"/>
    <x v="18"/>
    <x v="0"/>
    <x v="1"/>
    <x v="1"/>
    <s v="Mar"/>
    <x v="2"/>
    <x v="1725"/>
    <n v="0.3"/>
    <x v="3"/>
    <n v="5.4"/>
    <x v="12"/>
    <n v="5071"/>
    <x v="0"/>
    <n v="52.9"/>
    <s v="ML Engineer"/>
    <n v="27.3"/>
    <n v="-14.4"/>
    <x v="63"/>
    <n v="3.2"/>
    <n v="4.5999999999999996"/>
    <n v="7.3"/>
    <s v="Bull Market"/>
  </r>
  <r>
    <s v="T1922"/>
    <x v="8"/>
    <x v="4"/>
    <x v="3"/>
    <x v="1"/>
    <s v="Jul"/>
    <x v="1"/>
    <x v="896"/>
    <n v="9.4"/>
    <x v="2"/>
    <n v="6.3"/>
    <x v="26"/>
    <n v="3851"/>
    <x v="0"/>
    <n v="39.9"/>
    <s v="DevOps Engineer"/>
    <n v="46"/>
    <n v="-6.5"/>
    <x v="42"/>
    <n v="9.1999999999999993"/>
    <n v="7.9"/>
    <n v="4.4000000000000004"/>
    <s v="Bull Market"/>
  </r>
  <r>
    <s v="T1923"/>
    <x v="2"/>
    <x v="2"/>
    <x v="5"/>
    <x v="1"/>
    <s v="Mar"/>
    <x v="1"/>
    <x v="1726"/>
    <n v="32.200000000000003"/>
    <x v="4"/>
    <n v="7.9"/>
    <x v="5"/>
    <n v="92"/>
    <x v="2"/>
    <n v="18.100000000000001"/>
    <s v="Data Scientist"/>
    <n v="-39.6"/>
    <n v="9.4"/>
    <x v="109"/>
    <n v="6.3"/>
    <n v="4.8"/>
    <n v="2.2999999999999998"/>
    <s v="Recession"/>
  </r>
  <r>
    <s v="T1924"/>
    <x v="8"/>
    <x v="4"/>
    <x v="2"/>
    <x v="3"/>
    <s v="Jul"/>
    <x v="0"/>
    <x v="1727"/>
    <n v="7.2"/>
    <x v="2"/>
    <n v="11.2"/>
    <x v="5"/>
    <n v="3676"/>
    <x v="0"/>
    <n v="44.6"/>
    <s v="DevOps Engineer"/>
    <n v="62.5"/>
    <n v="6.6"/>
    <x v="259"/>
    <n v="8"/>
    <n v="6.4"/>
    <n v="4.9000000000000004"/>
    <s v="Bull Market"/>
  </r>
  <r>
    <s v="T1925"/>
    <x v="6"/>
    <x v="1"/>
    <x v="3"/>
    <x v="2"/>
    <s v="Jan"/>
    <x v="0"/>
    <x v="1728"/>
    <n v="11.6"/>
    <x v="2"/>
    <n v="9.4"/>
    <x v="5"/>
    <n v="1659"/>
    <x v="0"/>
    <n v="28.1"/>
    <s v="Cloud Engineer"/>
    <n v="84.1"/>
    <n v="0.3"/>
    <x v="188"/>
    <n v="9.6999999999999993"/>
    <n v="5.2"/>
    <n v="5.5"/>
    <s v="Recession"/>
  </r>
  <r>
    <s v="T1926"/>
    <x v="17"/>
    <x v="3"/>
    <x v="4"/>
    <x v="1"/>
    <s v="Jun"/>
    <x v="1"/>
    <x v="1729"/>
    <n v="28.5"/>
    <x v="0"/>
    <n v="7.1"/>
    <x v="5"/>
    <n v="62"/>
    <x v="2"/>
    <n v="64.7"/>
    <s v="Product Manager"/>
    <n v="79.900000000000006"/>
    <n v="-7.1"/>
    <x v="363"/>
    <n v="4.8"/>
    <n v="4.5"/>
    <n v="3.9"/>
    <s v="Recession"/>
  </r>
  <r>
    <s v="T1927"/>
    <x v="3"/>
    <x v="1"/>
    <x v="3"/>
    <x v="3"/>
    <s v="Jun"/>
    <x v="2"/>
    <x v="1730"/>
    <n v="1.7"/>
    <x v="4"/>
    <n v="3.4"/>
    <x v="34"/>
    <n v="2297"/>
    <x v="1"/>
    <n v="71.7"/>
    <s v="Cloud Engineer"/>
    <n v="22.1"/>
    <n v="17.2"/>
    <x v="180"/>
    <n v="2.8"/>
    <n v="8.8000000000000007"/>
    <n v="8.4"/>
    <s v="Bull Market"/>
  </r>
  <r>
    <s v="T1928"/>
    <x v="1"/>
    <x v="6"/>
    <x v="1"/>
    <x v="1"/>
    <s v="Jun"/>
    <x v="2"/>
    <x v="1731"/>
    <n v="35.1"/>
    <x v="2"/>
    <n v="7.3"/>
    <x v="5"/>
    <n v="436"/>
    <x v="1"/>
    <n v="22.9"/>
    <s v="ML Engineer"/>
    <n v="72.400000000000006"/>
    <n v="-10"/>
    <x v="148"/>
    <n v="8.6"/>
    <n v="4.3"/>
    <n v="2.2000000000000002"/>
    <s v="Recession"/>
  </r>
  <r>
    <s v="T1929"/>
    <x v="2"/>
    <x v="2"/>
    <x v="0"/>
    <x v="2"/>
    <s v="Dec"/>
    <x v="0"/>
    <x v="1732"/>
    <n v="7.3"/>
    <x v="2"/>
    <n v="3.9"/>
    <x v="22"/>
    <n v="1137"/>
    <x v="1"/>
    <n v="72.8"/>
    <s v="Cloud Engineer"/>
    <n v="77.3"/>
    <n v="-5.5"/>
    <x v="146"/>
    <n v="2.5"/>
    <n v="5.4"/>
    <n v="7.2"/>
    <s v="Stable"/>
  </r>
  <r>
    <s v="T1930"/>
    <x v="1"/>
    <x v="4"/>
    <x v="4"/>
    <x v="2"/>
    <s v="Jul"/>
    <x v="2"/>
    <x v="1733"/>
    <n v="38.200000000000003"/>
    <x v="0"/>
    <n v="9.1"/>
    <x v="5"/>
    <n v="267"/>
    <x v="1"/>
    <n v="17"/>
    <s v="DevOps Engineer"/>
    <n v="51.2"/>
    <n v="10.199999999999999"/>
    <x v="302"/>
    <n v="8.6999999999999993"/>
    <n v="6"/>
    <n v="2"/>
    <s v="Recession"/>
  </r>
  <r>
    <s v="T1931"/>
    <x v="13"/>
    <x v="5"/>
    <x v="0"/>
    <x v="0"/>
    <s v="Jan"/>
    <x v="1"/>
    <x v="1734"/>
    <n v="5.5"/>
    <x v="4"/>
    <n v="4.8"/>
    <x v="67"/>
    <n v="3957"/>
    <x v="0"/>
    <n v="87.1"/>
    <s v="Cybersecurity Analyst"/>
    <n v="20.5"/>
    <n v="8.4"/>
    <x v="99"/>
    <n v="5.9"/>
    <n v="7.7"/>
    <n v="5.7"/>
    <s v="Bull Market"/>
  </r>
  <r>
    <s v="T1932"/>
    <x v="13"/>
    <x v="5"/>
    <x v="1"/>
    <x v="3"/>
    <s v="Jun"/>
    <x v="1"/>
    <x v="717"/>
    <n v="11.8"/>
    <x v="1"/>
    <n v="5.8"/>
    <x v="41"/>
    <n v="3452"/>
    <x v="0"/>
    <n v="75.8"/>
    <s v="Product Manager"/>
    <n v="-28.3"/>
    <n v="10.9"/>
    <x v="374"/>
    <n v="3.8"/>
    <n v="5"/>
    <n v="5.8"/>
    <s v="Stable"/>
  </r>
  <r>
    <s v="T1933"/>
    <x v="0"/>
    <x v="5"/>
    <x v="0"/>
    <x v="3"/>
    <s v="Feb"/>
    <x v="2"/>
    <x v="1735"/>
    <n v="3.7"/>
    <x v="1"/>
    <n v="6.7"/>
    <x v="58"/>
    <n v="2208"/>
    <x v="0"/>
    <n v="45.5"/>
    <s v="Software Engineer"/>
    <n v="-20.7"/>
    <n v="-0.9"/>
    <x v="86"/>
    <n v="6.3"/>
    <n v="5.7"/>
    <n v="6.3"/>
    <s v="Stable"/>
  </r>
  <r>
    <s v="T1934"/>
    <x v="2"/>
    <x v="5"/>
    <x v="0"/>
    <x v="1"/>
    <s v="Feb"/>
    <x v="2"/>
    <x v="1736"/>
    <n v="9.1"/>
    <x v="0"/>
    <n v="12.2"/>
    <x v="18"/>
    <n v="3426"/>
    <x v="0"/>
    <n v="54.6"/>
    <s v="Cybersecurity Analyst"/>
    <n v="63.4"/>
    <n v="-4.8"/>
    <x v="480"/>
    <n v="8.8000000000000007"/>
    <n v="5.2"/>
    <n v="5.5"/>
    <s v="Stable"/>
  </r>
  <r>
    <s v="T1935"/>
    <x v="8"/>
    <x v="6"/>
    <x v="2"/>
    <x v="0"/>
    <s v="Feb"/>
    <x v="1"/>
    <x v="1737"/>
    <n v="13.3"/>
    <x v="0"/>
    <n v="9.1"/>
    <x v="9"/>
    <n v="1084"/>
    <x v="1"/>
    <n v="37.1"/>
    <s v="Software Engineer"/>
    <n v="51.9"/>
    <n v="-13.2"/>
    <x v="20"/>
    <n v="8.1"/>
    <n v="5.9"/>
    <n v="5.3"/>
    <s v="Recession"/>
  </r>
  <r>
    <s v="T1936"/>
    <x v="1"/>
    <x v="1"/>
    <x v="0"/>
    <x v="2"/>
    <s v="Mar"/>
    <x v="1"/>
    <x v="1738"/>
    <n v="8.9"/>
    <x v="4"/>
    <n v="2.2000000000000002"/>
    <x v="38"/>
    <n v="528"/>
    <x v="1"/>
    <n v="24.5"/>
    <s v="Cloud Engineer"/>
    <n v="-43.2"/>
    <n v="43.7"/>
    <x v="202"/>
    <n v="2.1"/>
    <n v="6.6"/>
    <n v="7.2"/>
    <s v="Bull Market"/>
  </r>
  <r>
    <s v="T1937"/>
    <x v="0"/>
    <x v="5"/>
    <x v="5"/>
    <x v="3"/>
    <s v="Sep"/>
    <x v="2"/>
    <x v="1166"/>
    <n v="7.8"/>
    <x v="2"/>
    <n v="8.5"/>
    <x v="5"/>
    <n v="4820"/>
    <x v="3"/>
    <n v="53.6"/>
    <s v="Frontend Developer"/>
    <n v="86.4"/>
    <n v="54.1"/>
    <x v="210"/>
    <n v="9.8000000000000007"/>
    <n v="7.6"/>
    <n v="7.4"/>
    <s v="Stable"/>
  </r>
  <r>
    <s v="T1938"/>
    <x v="12"/>
    <x v="5"/>
    <x v="4"/>
    <x v="1"/>
    <s v="Dec"/>
    <x v="0"/>
    <x v="1739"/>
    <n v="2.5"/>
    <x v="3"/>
    <n v="5.9"/>
    <x v="30"/>
    <n v="472"/>
    <x v="0"/>
    <n v="33.299999999999997"/>
    <s v="Software Engineer"/>
    <n v="0.1"/>
    <n v="34.5"/>
    <x v="96"/>
    <n v="8.3000000000000007"/>
    <n v="7.4"/>
    <n v="7.3"/>
    <s v="Bull Market"/>
  </r>
  <r>
    <s v="T1939"/>
    <x v="19"/>
    <x v="0"/>
    <x v="5"/>
    <x v="0"/>
    <s v="Dec"/>
    <x v="1"/>
    <x v="1740"/>
    <n v="39.5"/>
    <x v="1"/>
    <n v="2.6"/>
    <x v="49"/>
    <n v="2640"/>
    <x v="2"/>
    <n v="78.2"/>
    <s v="ML Engineer"/>
    <n v="-17.399999999999999"/>
    <n v="20.100000000000001"/>
    <x v="254"/>
    <n v="3.9"/>
    <n v="5.7"/>
    <n v="2"/>
    <s v="Recession"/>
  </r>
  <r>
    <s v="T1940"/>
    <x v="8"/>
    <x v="4"/>
    <x v="4"/>
    <x v="1"/>
    <s v="Feb"/>
    <x v="2"/>
    <x v="1741"/>
    <n v="8.6"/>
    <x v="1"/>
    <n v="5.7"/>
    <x v="69"/>
    <n v="1618"/>
    <x v="0"/>
    <n v="27.2"/>
    <s v="Software Engineer"/>
    <n v="73.8"/>
    <n v="10.199999999999999"/>
    <x v="406"/>
    <n v="7.5"/>
    <n v="5.0999999999999996"/>
    <n v="6.4"/>
    <s v="Bull Market"/>
  </r>
  <r>
    <s v="T1941"/>
    <x v="9"/>
    <x v="1"/>
    <x v="4"/>
    <x v="0"/>
    <s v="Aug"/>
    <x v="2"/>
    <x v="1742"/>
    <n v="5.0999999999999996"/>
    <x v="2"/>
    <n v="6.8"/>
    <x v="57"/>
    <n v="4438"/>
    <x v="0"/>
    <n v="89.5"/>
    <s v="DevOps Engineer"/>
    <n v="-19.7"/>
    <n v="-19.399999999999999"/>
    <x v="123"/>
    <n v="8.1"/>
    <n v="7.7"/>
    <n v="5.5"/>
    <s v="Bull Market"/>
  </r>
  <r>
    <s v="T1942"/>
    <x v="13"/>
    <x v="5"/>
    <x v="2"/>
    <x v="1"/>
    <s v="Aug"/>
    <x v="2"/>
    <x v="1743"/>
    <n v="16.3"/>
    <x v="2"/>
    <n v="8.6999999999999993"/>
    <x v="5"/>
    <n v="137"/>
    <x v="1"/>
    <n v="89.9"/>
    <s v="Frontend Developer"/>
    <n v="85.2"/>
    <n v="18"/>
    <x v="97"/>
    <n v="8.6"/>
    <n v="5"/>
    <n v="4.7"/>
    <s v="Recession"/>
  </r>
  <r>
    <s v="T1943"/>
    <x v="5"/>
    <x v="3"/>
    <x v="5"/>
    <x v="1"/>
    <s v="Aug"/>
    <x v="2"/>
    <x v="1744"/>
    <n v="21.9"/>
    <x v="1"/>
    <n v="8.9"/>
    <x v="5"/>
    <n v="407"/>
    <x v="1"/>
    <n v="16.100000000000001"/>
    <s v="Cybersecurity Analyst"/>
    <n v="75.5"/>
    <n v="11.3"/>
    <x v="144"/>
    <n v="6.6"/>
    <n v="6.4"/>
    <n v="3.4"/>
    <s v="Recession"/>
  </r>
  <r>
    <s v="T1944"/>
    <x v="4"/>
    <x v="1"/>
    <x v="5"/>
    <x v="1"/>
    <s v="May"/>
    <x v="0"/>
    <x v="121"/>
    <n v="13.6"/>
    <x v="4"/>
    <n v="10.5"/>
    <x v="5"/>
    <n v="2518"/>
    <x v="0"/>
    <n v="89"/>
    <s v="Software Engineer"/>
    <n v="81.2"/>
    <n v="56.2"/>
    <x v="364"/>
    <n v="9.4"/>
    <n v="5.8"/>
    <n v="5.9"/>
    <s v="Stable"/>
  </r>
  <r>
    <s v="T1945"/>
    <x v="0"/>
    <x v="2"/>
    <x v="1"/>
    <x v="2"/>
    <s v="Feb"/>
    <x v="1"/>
    <x v="1745"/>
    <n v="34.200000000000003"/>
    <x v="3"/>
    <n v="3.7"/>
    <x v="5"/>
    <n v="1560"/>
    <x v="2"/>
    <n v="45.9"/>
    <s v="Frontend Developer"/>
    <n v="68.7"/>
    <n v="-3.1"/>
    <x v="63"/>
    <n v="2.8"/>
    <n v="3.2"/>
    <n v="2.4"/>
    <s v="Recession"/>
  </r>
  <r>
    <s v="T1946"/>
    <x v="16"/>
    <x v="2"/>
    <x v="1"/>
    <x v="3"/>
    <s v="Feb"/>
    <x v="0"/>
    <x v="1285"/>
    <n v="4.5999999999999996"/>
    <x v="2"/>
    <n v="9.1"/>
    <x v="69"/>
    <n v="2024"/>
    <x v="0"/>
    <n v="28.1"/>
    <s v="DevOps Engineer"/>
    <n v="-42.5"/>
    <n v="41.6"/>
    <x v="208"/>
    <n v="9.4"/>
    <n v="8.9"/>
    <n v="6.9"/>
    <s v="Bull Market"/>
  </r>
  <r>
    <s v="T1947"/>
    <x v="1"/>
    <x v="4"/>
    <x v="4"/>
    <x v="3"/>
    <s v="Nov"/>
    <x v="0"/>
    <x v="1746"/>
    <n v="29.7"/>
    <x v="3"/>
    <n v="11.6"/>
    <x v="5"/>
    <n v="1057"/>
    <x v="1"/>
    <n v="37"/>
    <s v="Software Engineer"/>
    <n v="-33.4"/>
    <n v="-23.2"/>
    <x v="487"/>
    <n v="8.8000000000000007"/>
    <n v="2.4"/>
    <n v="1.6"/>
    <s v="Recession"/>
  </r>
  <r>
    <s v="T1948"/>
    <x v="10"/>
    <x v="3"/>
    <x v="2"/>
    <x v="0"/>
    <s v="Jan"/>
    <x v="1"/>
    <x v="1747"/>
    <n v="13.1"/>
    <x v="4"/>
    <n v="6.3"/>
    <x v="5"/>
    <n v="5511"/>
    <x v="0"/>
    <n v="84.9"/>
    <s v="Cloud Engineer"/>
    <n v="3.8"/>
    <n v="46.3"/>
    <x v="156"/>
    <n v="7.5"/>
    <n v="6.3"/>
    <n v="6.8"/>
    <s v="Stable"/>
  </r>
  <r>
    <s v="T1949"/>
    <x v="0"/>
    <x v="0"/>
    <x v="0"/>
    <x v="0"/>
    <s v="Aug"/>
    <x v="0"/>
    <x v="1748"/>
    <n v="5.3"/>
    <x v="3"/>
    <n v="3.4"/>
    <x v="85"/>
    <n v="2125"/>
    <x v="0"/>
    <n v="58.4"/>
    <s v="Data Scientist"/>
    <n v="-20.7"/>
    <n v="8.6"/>
    <x v="100"/>
    <n v="2.8"/>
    <n v="6.1"/>
    <n v="6.1"/>
    <s v="Bull Market"/>
  </r>
  <r>
    <s v="T1950"/>
    <x v="17"/>
    <x v="0"/>
    <x v="0"/>
    <x v="0"/>
    <s v="Apr"/>
    <x v="0"/>
    <x v="1173"/>
    <n v="2.6"/>
    <x v="3"/>
    <n v="3.5"/>
    <x v="19"/>
    <n v="3296"/>
    <x v="0"/>
    <n v="53.5"/>
    <s v="ML Engineer"/>
    <n v="21"/>
    <n v="37.6"/>
    <x v="317"/>
    <n v="2.1"/>
    <n v="7.3"/>
    <n v="9.4"/>
    <s v="Bull Market"/>
  </r>
  <r>
    <s v="T1951"/>
    <x v="6"/>
    <x v="1"/>
    <x v="1"/>
    <x v="1"/>
    <s v="Jul"/>
    <x v="0"/>
    <x v="1749"/>
    <n v="11.5"/>
    <x v="3"/>
    <n v="8.6999999999999993"/>
    <x v="5"/>
    <n v="659"/>
    <x v="1"/>
    <n v="72.3"/>
    <s v="Frontend Developer"/>
    <n v="78.8"/>
    <n v="13.3"/>
    <x v="86"/>
    <n v="8.6"/>
    <n v="6"/>
    <n v="4.8"/>
    <s v="Stable"/>
  </r>
  <r>
    <s v="T1952"/>
    <x v="8"/>
    <x v="4"/>
    <x v="2"/>
    <x v="2"/>
    <s v="Oct"/>
    <x v="1"/>
    <x v="1163"/>
    <n v="37.9"/>
    <x v="2"/>
    <n v="2.7"/>
    <x v="5"/>
    <n v="723"/>
    <x v="2"/>
    <n v="20.2"/>
    <s v="Cloud Engineer"/>
    <n v="-26.2"/>
    <n v="54.7"/>
    <x v="2"/>
    <n v="1.8"/>
    <n v="7"/>
    <n v="3.1"/>
    <s v="Recession"/>
  </r>
  <r>
    <s v="T1953"/>
    <x v="0"/>
    <x v="1"/>
    <x v="3"/>
    <x v="2"/>
    <s v="Oct"/>
    <x v="1"/>
    <x v="1750"/>
    <n v="21.9"/>
    <x v="1"/>
    <n v="4.0999999999999996"/>
    <x v="63"/>
    <n v="84"/>
    <x v="1"/>
    <n v="29.6"/>
    <s v="Cloud Engineer"/>
    <n v="4.5"/>
    <n v="-22.3"/>
    <x v="342"/>
    <n v="6"/>
    <n v="5.0999999999999996"/>
    <n v="3"/>
    <s v="Recession"/>
  </r>
  <r>
    <s v="T1954"/>
    <x v="3"/>
    <x v="1"/>
    <x v="4"/>
    <x v="3"/>
    <s v="Sep"/>
    <x v="1"/>
    <x v="1751"/>
    <n v="3.9"/>
    <x v="0"/>
    <n v="9.1"/>
    <x v="9"/>
    <n v="3831"/>
    <x v="0"/>
    <n v="61.3"/>
    <s v="Data Scientist"/>
    <n v="30"/>
    <n v="58.9"/>
    <x v="124"/>
    <n v="7.6"/>
    <n v="8.6999999999999993"/>
    <n v="8.3000000000000007"/>
    <s v="Stable"/>
  </r>
  <r>
    <s v="T1955"/>
    <x v="9"/>
    <x v="0"/>
    <x v="2"/>
    <x v="0"/>
    <s v="Mar"/>
    <x v="0"/>
    <x v="1752"/>
    <n v="6.1"/>
    <x v="3"/>
    <n v="2.5"/>
    <x v="19"/>
    <n v="9235"/>
    <x v="0"/>
    <n v="54"/>
    <s v="ML Engineer"/>
    <n v="11.5"/>
    <n v="-4.0999999999999996"/>
    <x v="239"/>
    <n v="2.9"/>
    <n v="7.6"/>
    <n v="7.4"/>
    <s v="Bull Market"/>
  </r>
  <r>
    <s v="T1956"/>
    <x v="17"/>
    <x v="3"/>
    <x v="4"/>
    <x v="0"/>
    <s v="Apr"/>
    <x v="1"/>
    <x v="613"/>
    <n v="4.7"/>
    <x v="2"/>
    <n v="3.3"/>
    <x v="66"/>
    <n v="3332"/>
    <x v="0"/>
    <n v="23.4"/>
    <s v="Cloud Engineer"/>
    <n v="50.1"/>
    <n v="28.2"/>
    <x v="310"/>
    <n v="3.4"/>
    <n v="7.3"/>
    <n v="7.6"/>
    <s v="Stable"/>
  </r>
  <r>
    <s v="T1957"/>
    <x v="0"/>
    <x v="5"/>
    <x v="4"/>
    <x v="0"/>
    <s v="Mar"/>
    <x v="2"/>
    <x v="1753"/>
    <n v="17.5"/>
    <x v="4"/>
    <n v="6.5"/>
    <x v="5"/>
    <n v="619"/>
    <x v="1"/>
    <n v="54.6"/>
    <s v="DevOps Engineer"/>
    <n v="32.799999999999997"/>
    <n v="26.5"/>
    <x v="36"/>
    <n v="6.1"/>
    <n v="5.8"/>
    <n v="4.9000000000000004"/>
    <s v="Stable"/>
  </r>
  <r>
    <s v="T1958"/>
    <x v="16"/>
    <x v="2"/>
    <x v="3"/>
    <x v="2"/>
    <s v="Sep"/>
    <x v="0"/>
    <x v="1754"/>
    <n v="16"/>
    <x v="1"/>
    <n v="4.8"/>
    <x v="5"/>
    <n v="709"/>
    <x v="1"/>
    <n v="52.1"/>
    <s v="Data Scientist"/>
    <n v="59.7"/>
    <n v="45.8"/>
    <x v="395"/>
    <n v="6.2"/>
    <n v="6.9"/>
    <n v="5.6"/>
    <s v="Recession"/>
  </r>
  <r>
    <s v="T1959"/>
    <x v="12"/>
    <x v="0"/>
    <x v="5"/>
    <x v="1"/>
    <s v="Jan"/>
    <x v="0"/>
    <x v="1755"/>
    <n v="31.2"/>
    <x v="3"/>
    <n v="6.7"/>
    <x v="8"/>
    <n v="5600"/>
    <x v="1"/>
    <n v="27.2"/>
    <s v="Data Scientist"/>
    <n v="-40.799999999999997"/>
    <n v="0.9"/>
    <x v="126"/>
    <n v="5.4"/>
    <n v="5.9"/>
    <n v="4.0999999999999996"/>
    <s v="Recession"/>
  </r>
  <r>
    <s v="T1960"/>
    <x v="19"/>
    <x v="0"/>
    <x v="3"/>
    <x v="1"/>
    <s v="Aug"/>
    <x v="0"/>
    <x v="1756"/>
    <n v="30.3"/>
    <x v="3"/>
    <n v="8.1999999999999993"/>
    <x v="5"/>
    <n v="5901"/>
    <x v="1"/>
    <n v="69.599999999999994"/>
    <s v="Data Scientist"/>
    <n v="61.8"/>
    <n v="52.5"/>
    <x v="7"/>
    <n v="8.5"/>
    <n v="6.8"/>
    <n v="3.8"/>
    <s v="Recession"/>
  </r>
  <r>
    <s v="T1961"/>
    <x v="13"/>
    <x v="5"/>
    <x v="0"/>
    <x v="1"/>
    <s v="Aug"/>
    <x v="0"/>
    <x v="1757"/>
    <n v="14"/>
    <x v="2"/>
    <n v="2.8"/>
    <x v="68"/>
    <n v="4340"/>
    <x v="1"/>
    <n v="52.2"/>
    <s v="Product Manager"/>
    <n v="-7.2"/>
    <n v="10.6"/>
    <x v="7"/>
    <n v="4.4000000000000004"/>
    <n v="5.8"/>
    <n v="5.5"/>
    <s v="Stable"/>
  </r>
  <r>
    <s v="T1962"/>
    <x v="2"/>
    <x v="3"/>
    <x v="4"/>
    <x v="2"/>
    <s v="Feb"/>
    <x v="0"/>
    <x v="1758"/>
    <n v="8.4"/>
    <x v="1"/>
    <n v="1.7"/>
    <x v="81"/>
    <n v="5960"/>
    <x v="0"/>
    <n v="59.7"/>
    <s v="DevOps Engineer"/>
    <n v="-12.9"/>
    <n v="-12.8"/>
    <x v="349"/>
    <n v="2"/>
    <n v="7.5"/>
    <n v="7.1"/>
    <s v="Bull Market"/>
  </r>
  <r>
    <s v="T1963"/>
    <x v="0"/>
    <x v="1"/>
    <x v="1"/>
    <x v="1"/>
    <s v="Mar"/>
    <x v="1"/>
    <x v="1759"/>
    <n v="19.3"/>
    <x v="0"/>
    <n v="13.4"/>
    <x v="5"/>
    <n v="1691"/>
    <x v="1"/>
    <n v="56.5"/>
    <s v="ML Engineer"/>
    <n v="16.399999999999999"/>
    <n v="13.3"/>
    <x v="278"/>
    <n v="9.9"/>
    <n v="7.7"/>
    <n v="4.9000000000000004"/>
    <s v="Recession"/>
  </r>
  <r>
    <s v="T1964"/>
    <x v="4"/>
    <x v="0"/>
    <x v="5"/>
    <x v="1"/>
    <s v="Oct"/>
    <x v="0"/>
    <x v="1760"/>
    <n v="24.5"/>
    <x v="2"/>
    <n v="3"/>
    <x v="28"/>
    <n v="6928"/>
    <x v="0"/>
    <n v="82"/>
    <s v="ML Engineer"/>
    <n v="-4.9000000000000004"/>
    <n v="-14.3"/>
    <x v="488"/>
    <n v="4.3"/>
    <n v="6.2"/>
    <n v="3.1"/>
    <s v="Recession"/>
  </r>
  <r>
    <s v="T1965"/>
    <x v="17"/>
    <x v="3"/>
    <x v="3"/>
    <x v="0"/>
    <s v="Feb"/>
    <x v="1"/>
    <x v="1761"/>
    <n v="17.399999999999999"/>
    <x v="2"/>
    <n v="6.3"/>
    <x v="76"/>
    <n v="1501"/>
    <x v="2"/>
    <n v="87.5"/>
    <s v="Data Scientist"/>
    <n v="53.7"/>
    <n v="-24.8"/>
    <x v="489"/>
    <n v="3.9"/>
    <n v="6.3"/>
    <n v="4.4000000000000004"/>
    <s v="Recession"/>
  </r>
  <r>
    <s v="T1966"/>
    <x v="2"/>
    <x v="3"/>
    <x v="5"/>
    <x v="1"/>
    <s v="Apr"/>
    <x v="2"/>
    <x v="1762"/>
    <n v="7.6"/>
    <x v="1"/>
    <n v="4.7"/>
    <x v="58"/>
    <n v="1674"/>
    <x v="0"/>
    <n v="54.5"/>
    <s v="Product Manager"/>
    <n v="5.7"/>
    <n v="56.4"/>
    <x v="388"/>
    <n v="7.7"/>
    <n v="7"/>
    <n v="6.9"/>
    <s v="Bull Market"/>
  </r>
  <r>
    <s v="T1967"/>
    <x v="17"/>
    <x v="0"/>
    <x v="5"/>
    <x v="3"/>
    <s v="Mar"/>
    <x v="1"/>
    <x v="1763"/>
    <n v="5.7"/>
    <x v="4"/>
    <n v="7.4"/>
    <x v="29"/>
    <n v="2592"/>
    <x v="1"/>
    <n v="42.7"/>
    <s v="Data Scientist"/>
    <n v="20.399999999999999"/>
    <n v="44.1"/>
    <x v="62"/>
    <n v="4.7"/>
    <n v="8.5"/>
    <n v="7.8"/>
    <s v="Bull Market"/>
  </r>
  <r>
    <s v="T1968"/>
    <x v="9"/>
    <x v="1"/>
    <x v="2"/>
    <x v="3"/>
    <s v="Apr"/>
    <x v="1"/>
    <x v="1764"/>
    <n v="6.7"/>
    <x v="0"/>
    <n v="7.1"/>
    <x v="86"/>
    <n v="2256"/>
    <x v="0"/>
    <n v="17.2"/>
    <s v="Frontend Developer"/>
    <n v="17.899999999999999"/>
    <n v="15.6"/>
    <x v="138"/>
    <n v="5.6"/>
    <n v="6.8"/>
    <n v="5.7"/>
    <s v="Stable"/>
  </r>
  <r>
    <s v="T1969"/>
    <x v="12"/>
    <x v="5"/>
    <x v="4"/>
    <x v="2"/>
    <s v="May"/>
    <x v="1"/>
    <x v="1765"/>
    <n v="22"/>
    <x v="2"/>
    <n v="16.2"/>
    <x v="5"/>
    <n v="1038"/>
    <x v="1"/>
    <n v="49.6"/>
    <s v="Cloud Engineer"/>
    <n v="13.7"/>
    <n v="12.4"/>
    <x v="301"/>
    <n v="9.6"/>
    <n v="5.3"/>
    <n v="3.4"/>
    <s v="Recession"/>
  </r>
  <r>
    <s v="T1970"/>
    <x v="1"/>
    <x v="0"/>
    <x v="0"/>
    <x v="3"/>
    <s v="Jun"/>
    <x v="0"/>
    <x v="1766"/>
    <n v="13.4"/>
    <x v="4"/>
    <n v="9.5"/>
    <x v="57"/>
    <n v="1427"/>
    <x v="1"/>
    <n v="85.2"/>
    <s v="ML Engineer"/>
    <n v="-42.3"/>
    <n v="-22.2"/>
    <x v="128"/>
    <n v="8"/>
    <n v="6.7"/>
    <n v="4.8"/>
    <s v="Recession"/>
  </r>
  <r>
    <s v="T1971"/>
    <x v="19"/>
    <x v="0"/>
    <x v="5"/>
    <x v="1"/>
    <s v="Jun"/>
    <x v="0"/>
    <x v="1767"/>
    <n v="4.7"/>
    <x v="4"/>
    <n v="0.9"/>
    <x v="81"/>
    <n v="4230"/>
    <x v="0"/>
    <n v="23.3"/>
    <s v="ML Engineer"/>
    <n v="-25.1"/>
    <n v="-9.4"/>
    <x v="143"/>
    <n v="1.1000000000000001"/>
    <n v="4.7"/>
    <n v="7.8"/>
    <s v="Bull Market"/>
  </r>
  <r>
    <s v="T1972"/>
    <x v="8"/>
    <x v="6"/>
    <x v="5"/>
    <x v="2"/>
    <s v="May"/>
    <x v="0"/>
    <x v="1768"/>
    <n v="7.7"/>
    <x v="0"/>
    <n v="5.6"/>
    <x v="5"/>
    <n v="5189"/>
    <x v="3"/>
    <n v="86"/>
    <s v="DevOps Engineer"/>
    <n v="62.9"/>
    <n v="-5.8"/>
    <x v="413"/>
    <n v="7.6"/>
    <n v="6.8"/>
    <n v="5"/>
    <s v="Bull Market"/>
  </r>
  <r>
    <s v="T1973"/>
    <x v="12"/>
    <x v="0"/>
    <x v="2"/>
    <x v="1"/>
    <s v="Apr"/>
    <x v="0"/>
    <x v="1769"/>
    <n v="17.7"/>
    <x v="3"/>
    <n v="4.0999999999999996"/>
    <x v="63"/>
    <n v="5071"/>
    <x v="0"/>
    <n v="44"/>
    <s v="Data Scientist"/>
    <n v="23.4"/>
    <n v="28.5"/>
    <x v="301"/>
    <n v="3.2"/>
    <n v="4.7"/>
    <n v="4.5999999999999996"/>
    <s v="Stable"/>
  </r>
  <r>
    <s v="T1974"/>
    <x v="4"/>
    <x v="1"/>
    <x v="2"/>
    <x v="3"/>
    <s v="Oct"/>
    <x v="1"/>
    <x v="1770"/>
    <n v="23.6"/>
    <x v="2"/>
    <n v="10.1"/>
    <x v="5"/>
    <n v="1143"/>
    <x v="1"/>
    <n v="51.3"/>
    <s v="Cloud Engineer"/>
    <n v="29.2"/>
    <n v="58.8"/>
    <x v="353"/>
    <n v="8.4"/>
    <n v="8.1"/>
    <n v="5.2"/>
    <s v="Recession"/>
  </r>
  <r>
    <s v="T1975"/>
    <x v="1"/>
    <x v="1"/>
    <x v="4"/>
    <x v="0"/>
    <s v="Feb"/>
    <x v="0"/>
    <x v="1771"/>
    <n v="13.3"/>
    <x v="4"/>
    <n v="3.2"/>
    <x v="56"/>
    <n v="3563"/>
    <x v="1"/>
    <n v="14.4"/>
    <s v="Cybersecurity Analyst"/>
    <n v="13.3"/>
    <n v="-24.3"/>
    <x v="490"/>
    <n v="2.2999999999999998"/>
    <n v="4.5999999999999996"/>
    <n v="5.6"/>
    <s v="Stable"/>
  </r>
  <r>
    <s v="T1976"/>
    <x v="15"/>
    <x v="2"/>
    <x v="5"/>
    <x v="0"/>
    <s v="Nov"/>
    <x v="1"/>
    <x v="1772"/>
    <n v="3.9"/>
    <x v="0"/>
    <n v="9.1"/>
    <x v="68"/>
    <n v="4902"/>
    <x v="0"/>
    <n v="82.3"/>
    <s v="Data Scientist"/>
    <n v="35.6"/>
    <n v="9.8000000000000007"/>
    <x v="183"/>
    <n v="7.4"/>
    <n v="8.5"/>
    <n v="6"/>
    <s v="Stable"/>
  </r>
  <r>
    <s v="T1977"/>
    <x v="17"/>
    <x v="0"/>
    <x v="0"/>
    <x v="3"/>
    <s v="Feb"/>
    <x v="2"/>
    <x v="1773"/>
    <n v="32.9"/>
    <x v="4"/>
    <n v="6.2"/>
    <x v="5"/>
    <n v="2155"/>
    <x v="1"/>
    <n v="25.2"/>
    <s v="ML Engineer"/>
    <n v="-21.8"/>
    <n v="36.700000000000003"/>
    <x v="426"/>
    <n v="4.3"/>
    <n v="7.1"/>
    <n v="4.0999999999999996"/>
    <s v="Recession"/>
  </r>
  <r>
    <s v="T1978"/>
    <x v="13"/>
    <x v="5"/>
    <x v="1"/>
    <x v="2"/>
    <s v="Nov"/>
    <x v="1"/>
    <x v="1051"/>
    <n v="6.8"/>
    <x v="3"/>
    <n v="5.7"/>
    <x v="56"/>
    <n v="3449"/>
    <x v="0"/>
    <n v="65.8"/>
    <s v="ML Engineer"/>
    <n v="-30.5"/>
    <n v="-19"/>
    <x v="160"/>
    <n v="3.6"/>
    <n v="6.4"/>
    <n v="5.6"/>
    <s v="Bull Market"/>
  </r>
  <r>
    <s v="T1979"/>
    <x v="2"/>
    <x v="3"/>
    <x v="0"/>
    <x v="3"/>
    <s v="Jun"/>
    <x v="0"/>
    <x v="885"/>
    <n v="8.1999999999999993"/>
    <x v="4"/>
    <n v="8.4"/>
    <x v="76"/>
    <n v="4973"/>
    <x v="0"/>
    <n v="10.199999999999999"/>
    <s v="ML Engineer"/>
    <n v="39.4"/>
    <n v="-5.8"/>
    <x v="465"/>
    <n v="5.9"/>
    <n v="6.3"/>
    <n v="7.1"/>
    <s v="Bull Market"/>
  </r>
  <r>
    <s v="T1980"/>
    <x v="17"/>
    <x v="3"/>
    <x v="5"/>
    <x v="1"/>
    <s v="Dec"/>
    <x v="2"/>
    <x v="573"/>
    <n v="5.8"/>
    <x v="0"/>
    <n v="1.2"/>
    <x v="71"/>
    <n v="1008"/>
    <x v="1"/>
    <n v="71.099999999999994"/>
    <s v="DevOps Engineer"/>
    <n v="20.399999999999999"/>
    <n v="19.2"/>
    <x v="45"/>
    <n v="1.4"/>
    <n v="8.8000000000000007"/>
    <n v="8.1"/>
    <s v="Bull Market"/>
  </r>
  <r>
    <s v="T1981"/>
    <x v="9"/>
    <x v="1"/>
    <x v="5"/>
    <x v="0"/>
    <s v="Sep"/>
    <x v="0"/>
    <x v="1774"/>
    <n v="28.6"/>
    <x v="2"/>
    <n v="7"/>
    <x v="5"/>
    <n v="886"/>
    <x v="1"/>
    <n v="78.8"/>
    <s v="ML Engineer"/>
    <n v="31.6"/>
    <n v="-5.6"/>
    <x v="201"/>
    <n v="10"/>
    <n v="5.7"/>
    <n v="2.9"/>
    <s v="Recession"/>
  </r>
  <r>
    <s v="T1982"/>
    <x v="9"/>
    <x v="0"/>
    <x v="3"/>
    <x v="1"/>
    <s v="May"/>
    <x v="2"/>
    <x v="775"/>
    <n v="8.3000000000000007"/>
    <x v="1"/>
    <n v="16.5"/>
    <x v="82"/>
    <n v="2214"/>
    <x v="0"/>
    <n v="76.599999999999994"/>
    <s v="Data Scientist"/>
    <n v="77.5"/>
    <n v="15.7"/>
    <x v="433"/>
    <n v="9.9"/>
    <n v="5.3"/>
    <n v="6.9"/>
    <s v="Recession"/>
  </r>
  <r>
    <s v="T1983"/>
    <x v="2"/>
    <x v="1"/>
    <x v="1"/>
    <x v="3"/>
    <s v="Jan"/>
    <x v="0"/>
    <x v="1775"/>
    <n v="8.3000000000000007"/>
    <x v="0"/>
    <n v="8.9"/>
    <x v="65"/>
    <n v="5368"/>
    <x v="0"/>
    <n v="12.3"/>
    <s v="Software Engineer"/>
    <n v="75.8"/>
    <n v="40.4"/>
    <x v="384"/>
    <n v="8.3000000000000007"/>
    <n v="8.5"/>
    <n v="5.8"/>
    <s v="Bull Market"/>
  </r>
  <r>
    <s v="T1984"/>
    <x v="2"/>
    <x v="1"/>
    <x v="1"/>
    <x v="3"/>
    <s v="Nov"/>
    <x v="2"/>
    <x v="1776"/>
    <n v="9.8000000000000007"/>
    <x v="0"/>
    <n v="4.2"/>
    <x v="41"/>
    <n v="1526"/>
    <x v="1"/>
    <n v="20.9"/>
    <s v="Data Scientist"/>
    <n v="82.8"/>
    <n v="54.7"/>
    <x v="95"/>
    <n v="2.7"/>
    <n v="6.8"/>
    <n v="7.7"/>
    <s v="Bull Market"/>
  </r>
  <r>
    <s v="T1985"/>
    <x v="8"/>
    <x v="6"/>
    <x v="1"/>
    <x v="0"/>
    <s v="Apr"/>
    <x v="1"/>
    <x v="1777"/>
    <n v="33.299999999999997"/>
    <x v="3"/>
    <n v="11.1"/>
    <x v="5"/>
    <n v="784"/>
    <x v="2"/>
    <n v="23.8"/>
    <s v="Cloud Engineer"/>
    <n v="68.7"/>
    <n v="14.1"/>
    <x v="23"/>
    <n v="7.7"/>
    <n v="5.7"/>
    <n v="3.9"/>
    <s v="Recession"/>
  </r>
  <r>
    <s v="T1986"/>
    <x v="8"/>
    <x v="6"/>
    <x v="2"/>
    <x v="2"/>
    <s v="Jan"/>
    <x v="0"/>
    <x v="1778"/>
    <n v="10.199999999999999"/>
    <x v="4"/>
    <n v="6.3"/>
    <x v="30"/>
    <n v="4446"/>
    <x v="0"/>
    <n v="75.599999999999994"/>
    <s v="Cybersecurity Analyst"/>
    <n v="-24.1"/>
    <n v="13.5"/>
    <x v="19"/>
    <n v="7.1"/>
    <n v="8.1"/>
    <n v="5.5"/>
    <s v="Stable"/>
  </r>
  <r>
    <s v="T1987"/>
    <x v="11"/>
    <x v="6"/>
    <x v="0"/>
    <x v="3"/>
    <s v="Mar"/>
    <x v="2"/>
    <x v="1779"/>
    <n v="9.1"/>
    <x v="0"/>
    <n v="7.3"/>
    <x v="52"/>
    <n v="1145"/>
    <x v="0"/>
    <n v="25.3"/>
    <s v="Product Manager"/>
    <n v="-29.4"/>
    <n v="34.200000000000003"/>
    <x v="28"/>
    <n v="9.9"/>
    <n v="7.2"/>
    <n v="7"/>
    <s v="Stable"/>
  </r>
  <r>
    <s v="T1988"/>
    <x v="7"/>
    <x v="4"/>
    <x v="5"/>
    <x v="1"/>
    <s v="Jun"/>
    <x v="0"/>
    <x v="1780"/>
    <n v="5.5"/>
    <x v="1"/>
    <n v="4.4000000000000004"/>
    <x v="45"/>
    <n v="272"/>
    <x v="1"/>
    <n v="38.5"/>
    <s v="Cybersecurity Analyst"/>
    <n v="45.3"/>
    <n v="49.2"/>
    <x v="152"/>
    <n v="3.9"/>
    <n v="9.9"/>
    <n v="8.6999999999999993"/>
    <s v="Stable"/>
  </r>
  <r>
    <s v="T1989"/>
    <x v="8"/>
    <x v="6"/>
    <x v="0"/>
    <x v="3"/>
    <s v="Nov"/>
    <x v="2"/>
    <x v="1781"/>
    <n v="16.600000000000001"/>
    <x v="1"/>
    <n v="8.6999999999999993"/>
    <x v="82"/>
    <n v="1922"/>
    <x v="1"/>
    <n v="22.4"/>
    <s v="Data Scientist"/>
    <n v="-44.8"/>
    <n v="-12.1"/>
    <x v="113"/>
    <n v="6.7"/>
    <n v="3.5"/>
    <n v="4.7"/>
    <s v="Stable"/>
  </r>
  <r>
    <s v="T1990"/>
    <x v="13"/>
    <x v="5"/>
    <x v="0"/>
    <x v="1"/>
    <s v="Jul"/>
    <x v="2"/>
    <x v="1782"/>
    <n v="29.5"/>
    <x v="4"/>
    <n v="8.4"/>
    <x v="5"/>
    <n v="1926"/>
    <x v="2"/>
    <n v="36.4"/>
    <s v="Frontend Developer"/>
    <n v="30.3"/>
    <n v="16"/>
    <x v="350"/>
    <n v="7.1"/>
    <n v="5.6"/>
    <n v="3.9"/>
    <s v="Recession"/>
  </r>
  <r>
    <s v="T1991"/>
    <x v="7"/>
    <x v="4"/>
    <x v="0"/>
    <x v="1"/>
    <s v="Apr"/>
    <x v="2"/>
    <x v="1783"/>
    <n v="13"/>
    <x v="4"/>
    <n v="5.0999999999999996"/>
    <x v="68"/>
    <n v="2410"/>
    <x v="1"/>
    <n v="56"/>
    <s v="Cloud Engineer"/>
    <n v="-42.4"/>
    <n v="8"/>
    <x v="21"/>
    <n v="3.5"/>
    <n v="7.4"/>
    <n v="5.2"/>
    <s v="Stable"/>
  </r>
  <r>
    <s v="T1992"/>
    <x v="19"/>
    <x v="0"/>
    <x v="4"/>
    <x v="3"/>
    <s v="Apr"/>
    <x v="1"/>
    <x v="1784"/>
    <n v="12.6"/>
    <x v="1"/>
    <n v="9.6"/>
    <x v="5"/>
    <n v="1494"/>
    <x v="1"/>
    <n v="79"/>
    <s v="Data Scientist"/>
    <n v="-20.399999999999999"/>
    <n v="50.5"/>
    <x v="491"/>
    <n v="8.3000000000000007"/>
    <n v="9"/>
    <n v="6.4"/>
    <s v="Stable"/>
  </r>
  <r>
    <s v="T1993"/>
    <x v="17"/>
    <x v="3"/>
    <x v="5"/>
    <x v="0"/>
    <s v="Jan"/>
    <x v="2"/>
    <x v="1785"/>
    <n v="27.9"/>
    <x v="4"/>
    <n v="9.1999999999999993"/>
    <x v="5"/>
    <n v="1431"/>
    <x v="1"/>
    <n v="76.5"/>
    <s v="Product Manager"/>
    <n v="-43.7"/>
    <n v="-9.9"/>
    <x v="492"/>
    <n v="9.6999999999999993"/>
    <n v="5.8"/>
    <n v="2.5"/>
    <s v="Recession"/>
  </r>
  <r>
    <s v="T1994"/>
    <x v="4"/>
    <x v="1"/>
    <x v="3"/>
    <x v="2"/>
    <s v="Jun"/>
    <x v="1"/>
    <x v="1786"/>
    <n v="8.9"/>
    <x v="0"/>
    <n v="6.5"/>
    <x v="65"/>
    <n v="709"/>
    <x v="1"/>
    <n v="64.5"/>
    <s v="Product Manager"/>
    <n v="44"/>
    <n v="16.3"/>
    <x v="259"/>
    <n v="4.8"/>
    <n v="6.6"/>
    <n v="5.9"/>
    <s v="Stable"/>
  </r>
  <r>
    <s v="T1995"/>
    <x v="12"/>
    <x v="0"/>
    <x v="1"/>
    <x v="1"/>
    <s v="Mar"/>
    <x v="0"/>
    <x v="1787"/>
    <n v="6.5"/>
    <x v="2"/>
    <n v="6.5"/>
    <x v="67"/>
    <n v="1174"/>
    <x v="1"/>
    <n v="50.4"/>
    <s v="ML Engineer"/>
    <n v="81.099999999999994"/>
    <n v="-5.4"/>
    <x v="191"/>
    <n v="4.7"/>
    <n v="5.5"/>
    <n v="4.8"/>
    <s v="Stable"/>
  </r>
  <r>
    <s v="T1996"/>
    <x v="9"/>
    <x v="1"/>
    <x v="0"/>
    <x v="2"/>
    <s v="Aug"/>
    <x v="1"/>
    <x v="1654"/>
    <n v="8.8000000000000007"/>
    <x v="2"/>
    <n v="2.8"/>
    <x v="45"/>
    <n v="2559"/>
    <x v="1"/>
    <n v="67.8"/>
    <s v="Frontend Developer"/>
    <n v="1"/>
    <n v="1.6"/>
    <x v="121"/>
    <n v="3.3"/>
    <n v="7.8"/>
    <n v="6.7"/>
    <s v="Bull Market"/>
  </r>
  <r>
    <s v="T1997"/>
    <x v="16"/>
    <x v="2"/>
    <x v="0"/>
    <x v="1"/>
    <s v="Jan"/>
    <x v="1"/>
    <x v="1788"/>
    <n v="4.0999999999999996"/>
    <x v="4"/>
    <n v="12.1"/>
    <x v="68"/>
    <n v="4766"/>
    <x v="0"/>
    <n v="44.1"/>
    <s v="DevOps Engineer"/>
    <n v="-12.9"/>
    <n v="20.100000000000001"/>
    <x v="104"/>
    <n v="7.7"/>
    <n v="8"/>
    <n v="7.3"/>
    <s v="Stable"/>
  </r>
  <r>
    <s v="T1998"/>
    <x v="1"/>
    <x v="6"/>
    <x v="2"/>
    <x v="2"/>
    <s v="Jan"/>
    <x v="2"/>
    <x v="1789"/>
    <n v="1.2"/>
    <x v="3"/>
    <n v="1.6"/>
    <x v="40"/>
    <n v="1941"/>
    <x v="1"/>
    <n v="59.1"/>
    <s v="ML Engineer"/>
    <n v="78.900000000000006"/>
    <n v="-9.8000000000000007"/>
    <x v="441"/>
    <n v="1.6"/>
    <n v="7.8"/>
    <n v="7.5"/>
    <s v="Stable"/>
  </r>
  <r>
    <s v="T1999"/>
    <x v="16"/>
    <x v="2"/>
    <x v="5"/>
    <x v="2"/>
    <s v="Apr"/>
    <x v="0"/>
    <x v="1790"/>
    <n v="33.1"/>
    <x v="3"/>
    <n v="4.8"/>
    <x v="5"/>
    <n v="1783"/>
    <x v="2"/>
    <n v="65.099999999999994"/>
    <s v="DevOps Engineer"/>
    <n v="-32.700000000000003"/>
    <n v="47.8"/>
    <x v="221"/>
    <n v="4.7"/>
    <n v="6.8"/>
    <n v="4.9000000000000004"/>
    <s v="Recession"/>
  </r>
  <r>
    <s v="T2000"/>
    <x v="6"/>
    <x v="1"/>
    <x v="1"/>
    <x v="1"/>
    <s v="Sep"/>
    <x v="2"/>
    <x v="1791"/>
    <n v="6.7"/>
    <x v="2"/>
    <n v="4"/>
    <x v="31"/>
    <n v="3237"/>
    <x v="1"/>
    <n v="52.4"/>
    <s v="Data Scientist"/>
    <n v="23"/>
    <n v="-7.4"/>
    <x v="254"/>
    <n v="4.0999999999999996"/>
    <n v="5.3"/>
    <n v="6.4"/>
    <s v="Bull Market"/>
  </r>
  <r>
    <s v="T2001"/>
    <x v="0"/>
    <x v="0"/>
    <x v="2"/>
    <x v="2"/>
    <s v="May"/>
    <x v="2"/>
    <x v="431"/>
    <n v="3.9"/>
    <x v="2"/>
    <n v="3.1"/>
    <x v="74"/>
    <n v="4824"/>
    <x v="1"/>
    <n v="55.9"/>
    <s v="Data Scientist"/>
    <n v="44.6"/>
    <n v="44.2"/>
    <x v="251"/>
    <n v="2.5"/>
    <n v="7.3"/>
    <n v="9.1"/>
    <s v="Bull Market"/>
  </r>
  <r>
    <s v="T2002"/>
    <x v="12"/>
    <x v="5"/>
    <x v="3"/>
    <x v="1"/>
    <s v="Sep"/>
    <x v="2"/>
    <x v="1792"/>
    <n v="15.5"/>
    <x v="2"/>
    <n v="3.1"/>
    <x v="32"/>
    <n v="1404"/>
    <x v="1"/>
    <n v="81.2"/>
    <s v="Software Engineer"/>
    <n v="25.4"/>
    <n v="22.9"/>
    <x v="159"/>
    <n v="1.9"/>
    <n v="4.7"/>
    <n v="7.1"/>
    <s v="Recession"/>
  </r>
  <r>
    <s v="T2003"/>
    <x v="2"/>
    <x v="5"/>
    <x v="0"/>
    <x v="2"/>
    <s v="Aug"/>
    <x v="2"/>
    <x v="1793"/>
    <n v="37.5"/>
    <x v="2"/>
    <n v="6.4"/>
    <x v="5"/>
    <n v="842"/>
    <x v="1"/>
    <n v="13.8"/>
    <s v="Software Engineer"/>
    <n v="19.399999999999999"/>
    <n v="-6.9"/>
    <x v="413"/>
    <n v="8.6999999999999993"/>
    <n v="2.2000000000000002"/>
    <n v="2"/>
    <s v="Recession"/>
  </r>
  <r>
    <s v="T2004"/>
    <x v="0"/>
    <x v="1"/>
    <x v="3"/>
    <x v="3"/>
    <s v="May"/>
    <x v="0"/>
    <x v="1794"/>
    <n v="2"/>
    <x v="2"/>
    <n v="5.5"/>
    <x v="5"/>
    <n v="2296"/>
    <x v="0"/>
    <n v="56"/>
    <s v="Frontend Developer"/>
    <n v="63.6"/>
    <n v="3.7"/>
    <x v="248"/>
    <n v="8.6999999999999993"/>
    <n v="8.9"/>
    <n v="6.9"/>
    <s v="Stable"/>
  </r>
  <r>
    <s v="T2005"/>
    <x v="17"/>
    <x v="0"/>
    <x v="5"/>
    <x v="2"/>
    <s v="Aug"/>
    <x v="2"/>
    <x v="1795"/>
    <n v="15.6"/>
    <x v="1"/>
    <n v="11.8"/>
    <x v="5"/>
    <n v="1584"/>
    <x v="0"/>
    <n v="73.099999999999994"/>
    <s v="Data Scientist"/>
    <n v="3.5"/>
    <n v="-6.9"/>
    <x v="312"/>
    <n v="8.8000000000000007"/>
    <n v="7.2"/>
    <n v="4.5"/>
    <s v="Recession"/>
  </r>
  <r>
    <s v="T2006"/>
    <x v="17"/>
    <x v="0"/>
    <x v="4"/>
    <x v="1"/>
    <s v="Nov"/>
    <x v="1"/>
    <x v="1796"/>
    <n v="7.1"/>
    <x v="1"/>
    <n v="5.2"/>
    <x v="5"/>
    <n v="6905"/>
    <x v="3"/>
    <n v="14.2"/>
    <s v="ML Engineer"/>
    <n v="-8.5"/>
    <n v="15.8"/>
    <x v="4"/>
    <n v="8.4"/>
    <n v="7.7"/>
    <n v="5.9"/>
    <s v="Bull Market"/>
  </r>
  <r>
    <s v="T2007"/>
    <x v="14"/>
    <x v="1"/>
    <x v="4"/>
    <x v="3"/>
    <s v="Feb"/>
    <x v="1"/>
    <x v="1797"/>
    <n v="9.6"/>
    <x v="3"/>
    <n v="4.2"/>
    <x v="63"/>
    <n v="1557"/>
    <x v="0"/>
    <n v="30.7"/>
    <s v="Cloud Engineer"/>
    <n v="16.899999999999999"/>
    <n v="52.8"/>
    <x v="198"/>
    <n v="4"/>
    <n v="9.6999999999999993"/>
    <n v="7.4"/>
    <s v="Recession"/>
  </r>
  <r>
    <s v="T2008"/>
    <x v="2"/>
    <x v="1"/>
    <x v="1"/>
    <x v="3"/>
    <s v="Aug"/>
    <x v="0"/>
    <x v="1798"/>
    <n v="9"/>
    <x v="0"/>
    <n v="7.5"/>
    <x v="52"/>
    <n v="5772"/>
    <x v="0"/>
    <n v="30.2"/>
    <s v="DevOps Engineer"/>
    <n v="82.9"/>
    <n v="7.1"/>
    <x v="316"/>
    <n v="5"/>
    <n v="5.6"/>
    <n v="6.5"/>
    <s v="Bull Market"/>
  </r>
  <r>
    <s v="T2009"/>
    <x v="14"/>
    <x v="1"/>
    <x v="0"/>
    <x v="2"/>
    <s v="Dec"/>
    <x v="0"/>
    <x v="77"/>
    <n v="17"/>
    <x v="2"/>
    <n v="5.4"/>
    <x v="5"/>
    <n v="3467"/>
    <x v="0"/>
    <n v="61.9"/>
    <s v="Data Scientist"/>
    <n v="3.9"/>
    <n v="-16.2"/>
    <x v="167"/>
    <n v="7.2"/>
    <n v="6.8"/>
    <n v="4.4000000000000004"/>
    <s v="Stable"/>
  </r>
  <r>
    <s v="T2010"/>
    <x v="2"/>
    <x v="0"/>
    <x v="0"/>
    <x v="2"/>
    <s v="Mar"/>
    <x v="0"/>
    <x v="1799"/>
    <n v="4.9000000000000004"/>
    <x v="4"/>
    <n v="6.3"/>
    <x v="44"/>
    <n v="9894"/>
    <x v="3"/>
    <n v="51.6"/>
    <s v="Data Scientist"/>
    <n v="15.2"/>
    <n v="31.1"/>
    <x v="253"/>
    <n v="4.5999999999999996"/>
    <n v="6.6"/>
    <n v="7"/>
    <s v="Stable"/>
  </r>
  <r>
    <s v="T2011"/>
    <x v="1"/>
    <x v="4"/>
    <x v="4"/>
    <x v="3"/>
    <s v="Apr"/>
    <x v="1"/>
    <x v="786"/>
    <n v="5.5"/>
    <x v="0"/>
    <n v="12.3"/>
    <x v="67"/>
    <n v="2380"/>
    <x v="0"/>
    <n v="16.7"/>
    <s v="Cloud Engineer"/>
    <n v="-37"/>
    <n v="13.9"/>
    <x v="4"/>
    <n v="8.8000000000000007"/>
    <n v="6.4"/>
    <n v="7.1"/>
    <s v="Bull Market"/>
  </r>
  <r>
    <s v="T2012"/>
    <x v="17"/>
    <x v="0"/>
    <x v="2"/>
    <x v="2"/>
    <s v="Feb"/>
    <x v="2"/>
    <x v="1800"/>
    <n v="24.2"/>
    <x v="4"/>
    <n v="1.6"/>
    <x v="41"/>
    <n v="2775"/>
    <x v="1"/>
    <n v="51.5"/>
    <s v="Data Scientist"/>
    <n v="82.4"/>
    <n v="54.9"/>
    <x v="96"/>
    <n v="1.4"/>
    <n v="6"/>
    <n v="6.5"/>
    <s v="Recession"/>
  </r>
  <r>
    <s v="T2013"/>
    <x v="0"/>
    <x v="1"/>
    <x v="1"/>
    <x v="0"/>
    <s v="Nov"/>
    <x v="0"/>
    <x v="1801"/>
    <n v="9.9"/>
    <x v="4"/>
    <n v="0.8"/>
    <x v="37"/>
    <n v="901"/>
    <x v="1"/>
    <n v="41.2"/>
    <s v="DevOps Engineer"/>
    <n v="-35.5"/>
    <n v="44.8"/>
    <x v="236"/>
    <n v="1"/>
    <n v="7.4"/>
    <n v="7.4"/>
    <s v="Bull Market"/>
  </r>
  <r>
    <s v="T2014"/>
    <x v="0"/>
    <x v="0"/>
    <x v="0"/>
    <x v="0"/>
    <s v="Jul"/>
    <x v="1"/>
    <x v="1802"/>
    <n v="6.3"/>
    <x v="3"/>
    <n v="7.8"/>
    <x v="38"/>
    <n v="2372"/>
    <x v="0"/>
    <n v="73.400000000000006"/>
    <s v="ML Engineer"/>
    <n v="12.6"/>
    <n v="13.8"/>
    <x v="47"/>
    <n v="5.9"/>
    <n v="5.6"/>
    <n v="7.4"/>
    <s v="Bull Market"/>
  </r>
  <r>
    <s v="T2015"/>
    <x v="12"/>
    <x v="5"/>
    <x v="3"/>
    <x v="2"/>
    <s v="Oct"/>
    <x v="2"/>
    <x v="1803"/>
    <n v="34.200000000000003"/>
    <x v="0"/>
    <n v="13.5"/>
    <x v="5"/>
    <n v="586"/>
    <x v="1"/>
    <n v="38.5"/>
    <s v="Cybersecurity Analyst"/>
    <n v="75.8"/>
    <n v="-15.6"/>
    <x v="472"/>
    <n v="9.3000000000000007"/>
    <n v="2.4"/>
    <n v="1.4"/>
    <s v="Recession"/>
  </r>
  <r>
    <s v="T2016"/>
    <x v="8"/>
    <x v="6"/>
    <x v="5"/>
    <x v="3"/>
    <s v="Nov"/>
    <x v="0"/>
    <x v="1438"/>
    <n v="7.4"/>
    <x v="2"/>
    <n v="9.8000000000000007"/>
    <x v="5"/>
    <n v="597"/>
    <x v="0"/>
    <n v="21"/>
    <s v="ML Engineer"/>
    <n v="39.4"/>
    <n v="34.799999999999997"/>
    <x v="318"/>
    <n v="8.1"/>
    <n v="8"/>
    <n v="5.9"/>
    <s v="Bull Market"/>
  </r>
  <r>
    <s v="T2017"/>
    <x v="1"/>
    <x v="0"/>
    <x v="2"/>
    <x v="1"/>
    <s v="Nov"/>
    <x v="1"/>
    <x v="1804"/>
    <n v="2.8"/>
    <x v="3"/>
    <n v="4.4000000000000004"/>
    <x v="74"/>
    <n v="7865"/>
    <x v="3"/>
    <n v="38.5"/>
    <s v="Data Scientist"/>
    <n v="29.6"/>
    <n v="-12.9"/>
    <x v="19"/>
    <n v="3.3"/>
    <n v="5.7"/>
    <n v="7.5"/>
    <s v="Bull Market"/>
  </r>
  <r>
    <s v="T2018"/>
    <x v="9"/>
    <x v="0"/>
    <x v="0"/>
    <x v="1"/>
    <s v="Oct"/>
    <x v="0"/>
    <x v="1805"/>
    <n v="24.6"/>
    <x v="0"/>
    <n v="1.9"/>
    <x v="30"/>
    <n v="8417"/>
    <x v="1"/>
    <n v="22.8"/>
    <s v="Data Scientist"/>
    <n v="-44.5"/>
    <n v="34"/>
    <x v="299"/>
    <n v="1.9"/>
    <n v="4.8"/>
    <n v="5.8"/>
    <s v="Recession"/>
  </r>
  <r>
    <s v="T2019"/>
    <x v="16"/>
    <x v="2"/>
    <x v="2"/>
    <x v="3"/>
    <s v="Jul"/>
    <x v="1"/>
    <x v="1806"/>
    <n v="15.8"/>
    <x v="1"/>
    <n v="4"/>
    <x v="29"/>
    <n v="2126"/>
    <x v="1"/>
    <n v="12.1"/>
    <s v="Data Scientist"/>
    <n v="21.4"/>
    <n v="50.6"/>
    <x v="367"/>
    <n v="4.7"/>
    <n v="5.9"/>
    <n v="6.6"/>
    <s v="Stable"/>
  </r>
  <r>
    <s v="T2020"/>
    <x v="3"/>
    <x v="1"/>
    <x v="3"/>
    <x v="1"/>
    <s v="Jan"/>
    <x v="1"/>
    <x v="1697"/>
    <n v="9"/>
    <x v="4"/>
    <n v="3"/>
    <x v="86"/>
    <n v="3800"/>
    <x v="0"/>
    <n v="47.1"/>
    <s v="Cloud Engineer"/>
    <n v="66.2"/>
    <n v="7.5"/>
    <x v="59"/>
    <n v="4.2"/>
    <n v="8"/>
    <n v="4.9000000000000004"/>
    <s v="Bull Market"/>
  </r>
  <r>
    <s v="T2021"/>
    <x v="9"/>
    <x v="0"/>
    <x v="2"/>
    <x v="0"/>
    <s v="Mar"/>
    <x v="1"/>
    <x v="1807"/>
    <n v="1.8"/>
    <x v="1"/>
    <n v="11.8"/>
    <x v="52"/>
    <n v="6835"/>
    <x v="0"/>
    <n v="46.5"/>
    <s v="ML Engineer"/>
    <n v="-2.2999999999999998"/>
    <n v="35.4"/>
    <x v="180"/>
    <n v="8"/>
    <n v="9.1999999999999993"/>
    <n v="7.3"/>
    <s v="Bull Market"/>
  </r>
  <r>
    <s v="T2022"/>
    <x v="12"/>
    <x v="0"/>
    <x v="1"/>
    <x v="2"/>
    <s v="Aug"/>
    <x v="0"/>
    <x v="576"/>
    <n v="9.1"/>
    <x v="4"/>
    <n v="4.9000000000000004"/>
    <x v="31"/>
    <n v="9680"/>
    <x v="3"/>
    <n v="75.3"/>
    <s v="ML Engineer"/>
    <n v="87.7"/>
    <n v="-21.6"/>
    <x v="78"/>
    <n v="6.7"/>
    <n v="7"/>
    <n v="4.9000000000000004"/>
    <s v="Bull Market"/>
  </r>
  <r>
    <s v="T2023"/>
    <x v="4"/>
    <x v="1"/>
    <x v="2"/>
    <x v="2"/>
    <s v="Feb"/>
    <x v="2"/>
    <x v="1808"/>
    <n v="4.8"/>
    <x v="1"/>
    <n v="10.3"/>
    <x v="11"/>
    <n v="373"/>
    <x v="0"/>
    <n v="63.6"/>
    <s v="Product Manager"/>
    <n v="-41.3"/>
    <n v="17"/>
    <x v="338"/>
    <n v="8"/>
    <n v="6.9"/>
    <n v="7.4"/>
    <s v="Stable"/>
  </r>
  <r>
    <s v="T2024"/>
    <x v="4"/>
    <x v="1"/>
    <x v="0"/>
    <x v="3"/>
    <s v="Mar"/>
    <x v="2"/>
    <x v="1809"/>
    <n v="1.3"/>
    <x v="0"/>
    <n v="4"/>
    <x v="1"/>
    <n v="572"/>
    <x v="0"/>
    <n v="12.5"/>
    <s v="Product Manager"/>
    <n v="51.6"/>
    <n v="46.9"/>
    <x v="140"/>
    <n v="5"/>
    <n v="9.3000000000000007"/>
    <n v="8.6"/>
    <s v="Bull Market"/>
  </r>
  <r>
    <s v="T2025"/>
    <x v="12"/>
    <x v="0"/>
    <x v="1"/>
    <x v="2"/>
    <s v="Jul"/>
    <x v="1"/>
    <x v="1810"/>
    <n v="38.9"/>
    <x v="3"/>
    <n v="3.3"/>
    <x v="5"/>
    <n v="4173"/>
    <x v="1"/>
    <n v="77.400000000000006"/>
    <s v="Data Scientist"/>
    <n v="-33.200000000000003"/>
    <n v="49.7"/>
    <x v="21"/>
    <n v="5.2"/>
    <n v="5.2"/>
    <n v="3.9"/>
    <s v="Recession"/>
  </r>
  <r>
    <s v="T2026"/>
    <x v="0"/>
    <x v="1"/>
    <x v="2"/>
    <x v="1"/>
    <s v="Mar"/>
    <x v="2"/>
    <x v="1811"/>
    <n v="10.7"/>
    <x v="2"/>
    <n v="10.1"/>
    <x v="35"/>
    <n v="826"/>
    <x v="1"/>
    <n v="33.799999999999997"/>
    <s v="Data Scientist"/>
    <n v="11.9"/>
    <n v="35.700000000000003"/>
    <x v="181"/>
    <n v="7"/>
    <n v="7.2"/>
    <n v="7.3"/>
    <s v="Recession"/>
  </r>
  <r>
    <s v="T2027"/>
    <x v="7"/>
    <x v="4"/>
    <x v="3"/>
    <x v="2"/>
    <s v="Dec"/>
    <x v="1"/>
    <x v="95"/>
    <n v="2.6"/>
    <x v="3"/>
    <n v="1"/>
    <x v="19"/>
    <n v="5388"/>
    <x v="0"/>
    <n v="29.7"/>
    <s v="Cloud Engineer"/>
    <n v="-11.8"/>
    <n v="54.8"/>
    <x v="412"/>
    <n v="1"/>
    <n v="9.5"/>
    <n v="9.6999999999999993"/>
    <s v="Bull Market"/>
  </r>
  <r>
    <s v="T2028"/>
    <x v="11"/>
    <x v="6"/>
    <x v="0"/>
    <x v="3"/>
    <s v="Mar"/>
    <x v="2"/>
    <x v="1812"/>
    <n v="10"/>
    <x v="3"/>
    <n v="8.8000000000000007"/>
    <x v="51"/>
    <n v="3183"/>
    <x v="0"/>
    <n v="80.7"/>
    <s v="Data Scientist"/>
    <n v="76"/>
    <n v="-3"/>
    <x v="190"/>
    <n v="9.4"/>
    <n v="6.6"/>
    <n v="6.1"/>
    <s v="Stable"/>
  </r>
  <r>
    <s v="T2029"/>
    <x v="12"/>
    <x v="0"/>
    <x v="0"/>
    <x v="3"/>
    <s v="Sep"/>
    <x v="2"/>
    <x v="1813"/>
    <n v="4.0999999999999996"/>
    <x v="1"/>
    <n v="2.2999999999999998"/>
    <x v="45"/>
    <n v="1542"/>
    <x v="0"/>
    <n v="44.5"/>
    <s v="ML Engineer"/>
    <n v="35.5"/>
    <n v="54.9"/>
    <x v="427"/>
    <n v="3.7"/>
    <n v="8.6"/>
    <n v="7.9"/>
    <s v="Stable"/>
  </r>
  <r>
    <s v="T2030"/>
    <x v="12"/>
    <x v="5"/>
    <x v="4"/>
    <x v="0"/>
    <s v="Jul"/>
    <x v="2"/>
    <x v="1814"/>
    <n v="6.7"/>
    <x v="1"/>
    <n v="4.8"/>
    <x v="27"/>
    <n v="1146"/>
    <x v="1"/>
    <n v="15.7"/>
    <s v="Data Scientist"/>
    <n v="49"/>
    <n v="-6.5"/>
    <x v="185"/>
    <n v="3.6"/>
    <n v="6"/>
    <n v="5.4"/>
    <s v="Stable"/>
  </r>
  <r>
    <s v="T2031"/>
    <x v="4"/>
    <x v="1"/>
    <x v="0"/>
    <x v="2"/>
    <s v="Mar"/>
    <x v="1"/>
    <x v="1815"/>
    <n v="1.3"/>
    <x v="3"/>
    <n v="9.1"/>
    <x v="33"/>
    <n v="5661"/>
    <x v="0"/>
    <n v="43.3"/>
    <s v="Data Scientist"/>
    <n v="-2.1"/>
    <n v="29.1"/>
    <x v="137"/>
    <n v="7.3"/>
    <n v="6.7"/>
    <n v="7.2"/>
    <s v="Stable"/>
  </r>
  <r>
    <s v="T2032"/>
    <x v="19"/>
    <x v="0"/>
    <x v="3"/>
    <x v="0"/>
    <s v="Apr"/>
    <x v="2"/>
    <x v="1207"/>
    <n v="1.3"/>
    <x v="2"/>
    <n v="6.8"/>
    <x v="63"/>
    <n v="2095"/>
    <x v="0"/>
    <n v="72.900000000000006"/>
    <s v="ML Engineer"/>
    <n v="59.7"/>
    <n v="-16.5"/>
    <x v="254"/>
    <n v="7.1"/>
    <n v="5.5"/>
    <n v="5.3"/>
    <s v="Bull Market"/>
  </r>
  <r>
    <s v="T2033"/>
    <x v="11"/>
    <x v="6"/>
    <x v="3"/>
    <x v="1"/>
    <s v="May"/>
    <x v="1"/>
    <x v="1137"/>
    <n v="2.9"/>
    <x v="3"/>
    <n v="9.8000000000000007"/>
    <x v="49"/>
    <n v="5897"/>
    <x v="0"/>
    <n v="31.3"/>
    <s v="Cybersecurity Analyst"/>
    <n v="74.3"/>
    <n v="-5.5"/>
    <x v="1"/>
    <n v="9.4"/>
    <n v="8.3000000000000007"/>
    <n v="6.5"/>
    <s v="Bull Market"/>
  </r>
  <r>
    <s v="T2034"/>
    <x v="1"/>
    <x v="1"/>
    <x v="1"/>
    <x v="3"/>
    <s v="Sep"/>
    <x v="0"/>
    <x v="1816"/>
    <n v="15.3"/>
    <x v="1"/>
    <n v="2.5"/>
    <x v="48"/>
    <n v="3500"/>
    <x v="1"/>
    <n v="17.2"/>
    <s v="Cybersecurity Analyst"/>
    <n v="19.399999999999999"/>
    <n v="-18.600000000000001"/>
    <x v="345"/>
    <n v="3.7"/>
    <n v="5.7"/>
    <n v="4.5999999999999996"/>
    <s v="Stable"/>
  </r>
  <r>
    <s v="T2035"/>
    <x v="11"/>
    <x v="6"/>
    <x v="1"/>
    <x v="1"/>
    <s v="Apr"/>
    <x v="0"/>
    <x v="1817"/>
    <n v="23"/>
    <x v="2"/>
    <n v="9.4"/>
    <x v="5"/>
    <n v="888"/>
    <x v="1"/>
    <n v="56.8"/>
    <s v="Cloud Engineer"/>
    <n v="31.6"/>
    <n v="25"/>
    <x v="464"/>
    <n v="7.8"/>
    <n v="7.5"/>
    <n v="4.7"/>
    <s v="Recession"/>
  </r>
  <r>
    <s v="T2036"/>
    <x v="1"/>
    <x v="6"/>
    <x v="1"/>
    <x v="1"/>
    <s v="Jun"/>
    <x v="2"/>
    <x v="1493"/>
    <n v="2.6"/>
    <x v="0"/>
    <n v="7.4"/>
    <x v="32"/>
    <n v="4110"/>
    <x v="0"/>
    <n v="25.7"/>
    <s v="ML Engineer"/>
    <n v="86.6"/>
    <n v="35.9"/>
    <x v="184"/>
    <n v="5.6"/>
    <n v="9.3000000000000007"/>
    <n v="8.5"/>
    <s v="Bull Market"/>
  </r>
  <r>
    <s v="T2037"/>
    <x v="0"/>
    <x v="5"/>
    <x v="2"/>
    <x v="0"/>
    <s v="Jul"/>
    <x v="1"/>
    <x v="1818"/>
    <n v="28.1"/>
    <x v="0"/>
    <n v="1"/>
    <x v="44"/>
    <n v="1586"/>
    <x v="2"/>
    <n v="57"/>
    <s v="Product Manager"/>
    <n v="43.4"/>
    <n v="46.3"/>
    <x v="47"/>
    <n v="1.2"/>
    <n v="4.4000000000000004"/>
    <n v="6"/>
    <s v="Recession"/>
  </r>
  <r>
    <s v="T2038"/>
    <x v="14"/>
    <x v="1"/>
    <x v="1"/>
    <x v="1"/>
    <s v="Jul"/>
    <x v="0"/>
    <x v="627"/>
    <n v="4.3"/>
    <x v="3"/>
    <n v="10.9"/>
    <x v="5"/>
    <n v="2311"/>
    <x v="1"/>
    <n v="88.6"/>
    <s v="Frontend Developer"/>
    <n v="-41.5"/>
    <n v="-20.2"/>
    <x v="138"/>
    <n v="8.3000000000000007"/>
    <n v="5"/>
    <n v="4.0999999999999996"/>
    <s v="Bull Market"/>
  </r>
  <r>
    <s v="T2039"/>
    <x v="1"/>
    <x v="0"/>
    <x v="2"/>
    <x v="0"/>
    <s v="Jul"/>
    <x v="1"/>
    <x v="429"/>
    <n v="2.7"/>
    <x v="2"/>
    <n v="1.9"/>
    <x v="13"/>
    <n v="5186"/>
    <x v="0"/>
    <n v="27.4"/>
    <s v="ML Engineer"/>
    <n v="-5.6"/>
    <n v="-22.1"/>
    <x v="446"/>
    <n v="3"/>
    <n v="4.5"/>
    <n v="7"/>
    <s v="Stable"/>
  </r>
  <r>
    <s v="T2040"/>
    <x v="0"/>
    <x v="5"/>
    <x v="2"/>
    <x v="2"/>
    <s v="Aug"/>
    <x v="2"/>
    <x v="1819"/>
    <n v="0.4"/>
    <x v="2"/>
    <n v="5.7"/>
    <x v="8"/>
    <n v="1868"/>
    <x v="0"/>
    <n v="41.1"/>
    <s v="Software Engineer"/>
    <n v="60.7"/>
    <n v="51.3"/>
    <x v="181"/>
    <n v="7.9"/>
    <n v="10"/>
    <n v="8.1"/>
    <s v="Bull Market"/>
  </r>
  <r>
    <s v="T2041"/>
    <x v="2"/>
    <x v="1"/>
    <x v="3"/>
    <x v="2"/>
    <s v="Aug"/>
    <x v="1"/>
    <x v="1820"/>
    <n v="22.2"/>
    <x v="0"/>
    <n v="9"/>
    <x v="5"/>
    <n v="1076"/>
    <x v="1"/>
    <n v="20.9"/>
    <s v="ML Engineer"/>
    <n v="37"/>
    <n v="34"/>
    <x v="155"/>
    <n v="9.9"/>
    <n v="5.9"/>
    <n v="5.2"/>
    <s v="Recession"/>
  </r>
  <r>
    <s v="T2042"/>
    <x v="0"/>
    <x v="5"/>
    <x v="1"/>
    <x v="2"/>
    <s v="Jul"/>
    <x v="2"/>
    <x v="1821"/>
    <n v="20.9"/>
    <x v="4"/>
    <n v="14.9"/>
    <x v="5"/>
    <n v="1867"/>
    <x v="0"/>
    <n v="43.6"/>
    <s v="Cloud Engineer"/>
    <n v="75.2"/>
    <n v="5"/>
    <x v="83"/>
    <n v="9.1999999999999993"/>
    <n v="5.8"/>
    <n v="4.5999999999999996"/>
    <s v="Recession"/>
  </r>
  <r>
    <s v="T2043"/>
    <x v="16"/>
    <x v="2"/>
    <x v="2"/>
    <x v="1"/>
    <s v="Sep"/>
    <x v="2"/>
    <x v="1822"/>
    <n v="14.2"/>
    <x v="3"/>
    <n v="7.3"/>
    <x v="5"/>
    <n v="1544"/>
    <x v="1"/>
    <n v="44.3"/>
    <s v="Frontend Developer"/>
    <n v="25.9"/>
    <n v="13.8"/>
    <x v="97"/>
    <n v="8.1"/>
    <n v="6"/>
    <n v="6"/>
    <s v="Recession"/>
  </r>
  <r>
    <s v="T2044"/>
    <x v="1"/>
    <x v="6"/>
    <x v="3"/>
    <x v="3"/>
    <s v="Mar"/>
    <x v="0"/>
    <x v="1601"/>
    <n v="8.8000000000000007"/>
    <x v="4"/>
    <n v="5.4"/>
    <x v="1"/>
    <n v="2943"/>
    <x v="1"/>
    <n v="53"/>
    <s v="Software Engineer"/>
    <n v="-28.7"/>
    <n v="17.5"/>
    <x v="191"/>
    <n v="4.8"/>
    <n v="6.5"/>
    <n v="6.5"/>
    <s v="Bull Market"/>
  </r>
  <r>
    <s v="T2045"/>
    <x v="8"/>
    <x v="4"/>
    <x v="1"/>
    <x v="3"/>
    <s v="Jan"/>
    <x v="2"/>
    <x v="1823"/>
    <n v="7.6"/>
    <x v="1"/>
    <n v="14.8"/>
    <x v="5"/>
    <n v="622"/>
    <x v="1"/>
    <n v="46.5"/>
    <s v="Software Engineer"/>
    <n v="-26.1"/>
    <n v="3.5"/>
    <x v="396"/>
    <n v="8.8000000000000007"/>
    <n v="4.5999999999999996"/>
    <n v="5.4"/>
    <s v="Bull Market"/>
  </r>
  <r>
    <s v="T2046"/>
    <x v="6"/>
    <x v="2"/>
    <x v="5"/>
    <x v="0"/>
    <s v="Jan"/>
    <x v="1"/>
    <x v="1824"/>
    <n v="28.5"/>
    <x v="4"/>
    <n v="2"/>
    <x v="15"/>
    <n v="1579"/>
    <x v="2"/>
    <n v="68.400000000000006"/>
    <s v="DevOps Engineer"/>
    <n v="39.799999999999997"/>
    <n v="-22"/>
    <x v="315"/>
    <n v="1.2"/>
    <n v="3.1"/>
    <n v="2.8"/>
    <s v="Recession"/>
  </r>
  <r>
    <s v="T2047"/>
    <x v="14"/>
    <x v="1"/>
    <x v="5"/>
    <x v="3"/>
    <s v="Jun"/>
    <x v="2"/>
    <x v="1825"/>
    <n v="12.7"/>
    <x v="2"/>
    <n v="5.8"/>
    <x v="43"/>
    <n v="4505"/>
    <x v="0"/>
    <n v="42.1"/>
    <s v="Cybersecurity Analyst"/>
    <n v="56.6"/>
    <n v="55.1"/>
    <x v="111"/>
    <n v="7.1"/>
    <n v="6.3"/>
    <n v="6.9"/>
    <s v="Stable"/>
  </r>
  <r>
    <s v="T2048"/>
    <x v="2"/>
    <x v="5"/>
    <x v="3"/>
    <x v="0"/>
    <s v="Nov"/>
    <x v="2"/>
    <x v="1826"/>
    <n v="18.600000000000001"/>
    <x v="3"/>
    <n v="6.8"/>
    <x v="58"/>
    <n v="1058"/>
    <x v="2"/>
    <n v="68.5"/>
    <s v="DevOps Engineer"/>
    <n v="62.1"/>
    <n v="43.2"/>
    <x v="187"/>
    <n v="4.3"/>
    <n v="7.2"/>
    <n v="5.6"/>
    <s v="Recession"/>
  </r>
  <r>
    <s v="T2049"/>
    <x v="8"/>
    <x v="6"/>
    <x v="4"/>
    <x v="3"/>
    <s v="Dec"/>
    <x v="0"/>
    <x v="1827"/>
    <n v="9.8000000000000007"/>
    <x v="1"/>
    <n v="4.8"/>
    <x v="5"/>
    <n v="1281"/>
    <x v="1"/>
    <n v="80.8"/>
    <s v="Frontend Developer"/>
    <n v="75.3"/>
    <n v="-7.7"/>
    <x v="213"/>
    <n v="7.3"/>
    <n v="6.4"/>
    <n v="5.6"/>
    <s v="Recession"/>
  </r>
  <r>
    <s v="T2050"/>
    <x v="2"/>
    <x v="3"/>
    <x v="0"/>
    <x v="3"/>
    <s v="Mar"/>
    <x v="1"/>
    <x v="1828"/>
    <n v="4.7"/>
    <x v="0"/>
    <n v="14.9"/>
    <x v="84"/>
    <n v="2404"/>
    <x v="0"/>
    <n v="74.400000000000006"/>
    <s v="Frontend Developer"/>
    <n v="57"/>
    <n v="14"/>
    <x v="14"/>
    <n v="10"/>
    <n v="6.9"/>
    <n v="6.5"/>
    <s v="Stable"/>
  </r>
  <r>
    <s v="T2051"/>
    <x v="9"/>
    <x v="0"/>
    <x v="0"/>
    <x v="2"/>
    <s v="Apr"/>
    <x v="2"/>
    <x v="1829"/>
    <n v="28.5"/>
    <x v="3"/>
    <n v="4.5999999999999996"/>
    <x v="5"/>
    <n v="3287"/>
    <x v="1"/>
    <n v="61.2"/>
    <s v="Data Scientist"/>
    <n v="56"/>
    <n v="43.3"/>
    <x v="133"/>
    <n v="5.5"/>
    <n v="4.9000000000000004"/>
    <n v="3.5"/>
    <s v="Recession"/>
  </r>
  <r>
    <s v="T2052"/>
    <x v="4"/>
    <x v="1"/>
    <x v="1"/>
    <x v="1"/>
    <s v="Oct"/>
    <x v="1"/>
    <x v="1129"/>
    <n v="22.5"/>
    <x v="3"/>
    <n v="10.4"/>
    <x v="14"/>
    <n v="669"/>
    <x v="1"/>
    <n v="67.599999999999994"/>
    <s v="Software Engineer"/>
    <n v="82.9"/>
    <n v="55.5"/>
    <x v="244"/>
    <n v="8.5"/>
    <n v="5.8"/>
    <n v="5.5"/>
    <s v="Recession"/>
  </r>
  <r>
    <s v="T2053"/>
    <x v="4"/>
    <x v="1"/>
    <x v="5"/>
    <x v="0"/>
    <s v="Feb"/>
    <x v="0"/>
    <x v="1830"/>
    <n v="3.8"/>
    <x v="3"/>
    <n v="7.7"/>
    <x v="59"/>
    <n v="1340"/>
    <x v="0"/>
    <n v="89.6"/>
    <s v="Software Engineer"/>
    <n v="-4.7"/>
    <n v="-8.1"/>
    <x v="339"/>
    <n v="5"/>
    <n v="6.1"/>
    <n v="6.9"/>
    <s v="Bull Market"/>
  </r>
  <r>
    <s v="T2054"/>
    <x v="9"/>
    <x v="0"/>
    <x v="5"/>
    <x v="3"/>
    <s v="Oct"/>
    <x v="0"/>
    <x v="195"/>
    <n v="27.3"/>
    <x v="4"/>
    <n v="5.8"/>
    <x v="14"/>
    <n v="1277"/>
    <x v="2"/>
    <n v="25.4"/>
    <s v="Data Scientist"/>
    <n v="-25.8"/>
    <n v="27.6"/>
    <x v="380"/>
    <n v="4.5"/>
    <n v="5.0999999999999996"/>
    <n v="4.7"/>
    <s v="Recession"/>
  </r>
  <r>
    <s v="T2055"/>
    <x v="9"/>
    <x v="1"/>
    <x v="4"/>
    <x v="3"/>
    <s v="Mar"/>
    <x v="2"/>
    <x v="1831"/>
    <n v="4.7"/>
    <x v="3"/>
    <n v="2.9"/>
    <x v="44"/>
    <n v="1979"/>
    <x v="1"/>
    <n v="81"/>
    <s v="DevOps Engineer"/>
    <n v="-16.2"/>
    <n v="-2.5"/>
    <x v="363"/>
    <n v="3.5"/>
    <n v="4.5999999999999996"/>
    <n v="7.1"/>
    <s v="Bull Market"/>
  </r>
  <r>
    <s v="T2056"/>
    <x v="8"/>
    <x v="6"/>
    <x v="4"/>
    <x v="0"/>
    <s v="Mar"/>
    <x v="2"/>
    <x v="1832"/>
    <n v="2.5"/>
    <x v="4"/>
    <n v="15.1"/>
    <x v="73"/>
    <n v="1552"/>
    <x v="1"/>
    <n v="85.3"/>
    <s v="Product Manager"/>
    <n v="70.3"/>
    <n v="-9.6"/>
    <x v="129"/>
    <n v="9"/>
    <n v="8.1"/>
    <n v="7"/>
    <s v="Stable"/>
  </r>
  <r>
    <s v="T2057"/>
    <x v="17"/>
    <x v="3"/>
    <x v="2"/>
    <x v="2"/>
    <s v="Jul"/>
    <x v="2"/>
    <x v="1833"/>
    <n v="8.5"/>
    <x v="2"/>
    <n v="3.8"/>
    <x v="84"/>
    <n v="1788"/>
    <x v="1"/>
    <n v="50.3"/>
    <s v="Product Manager"/>
    <n v="72.3"/>
    <n v="24.5"/>
    <x v="309"/>
    <n v="4.5999999999999996"/>
    <n v="7.1"/>
    <n v="6.8"/>
    <s v="Bull Market"/>
  </r>
  <r>
    <s v="T2058"/>
    <x v="15"/>
    <x v="2"/>
    <x v="4"/>
    <x v="0"/>
    <s v="Aug"/>
    <x v="0"/>
    <x v="1834"/>
    <n v="8.6999999999999993"/>
    <x v="4"/>
    <n v="12.2"/>
    <x v="2"/>
    <n v="1602"/>
    <x v="0"/>
    <n v="89.9"/>
    <s v="Software Engineer"/>
    <n v="55.7"/>
    <n v="53.6"/>
    <x v="440"/>
    <n v="8.6999999999999993"/>
    <n v="9.1"/>
    <n v="6.9"/>
    <s v="Stable"/>
  </r>
  <r>
    <s v="T2059"/>
    <x v="19"/>
    <x v="0"/>
    <x v="4"/>
    <x v="2"/>
    <s v="Jul"/>
    <x v="2"/>
    <x v="1835"/>
    <n v="13.4"/>
    <x v="0"/>
    <n v="3.7"/>
    <x v="73"/>
    <n v="5385"/>
    <x v="0"/>
    <n v="24.5"/>
    <s v="ML Engineer"/>
    <n v="50.5"/>
    <n v="-11.8"/>
    <x v="40"/>
    <n v="4.5999999999999996"/>
    <n v="7.4"/>
    <n v="4.2"/>
    <s v="Recession"/>
  </r>
  <r>
    <s v="T2060"/>
    <x v="1"/>
    <x v="0"/>
    <x v="4"/>
    <x v="2"/>
    <s v="Jan"/>
    <x v="0"/>
    <x v="1836"/>
    <n v="7.2"/>
    <x v="4"/>
    <n v="3.1"/>
    <x v="13"/>
    <n v="6640"/>
    <x v="0"/>
    <n v="33.4"/>
    <s v="ML Engineer"/>
    <n v="-10"/>
    <n v="-16.100000000000001"/>
    <x v="466"/>
    <n v="3.4"/>
    <n v="4.7"/>
    <n v="6.7"/>
    <s v="Bull Market"/>
  </r>
  <r>
    <s v="T2061"/>
    <x v="2"/>
    <x v="2"/>
    <x v="4"/>
    <x v="1"/>
    <s v="May"/>
    <x v="0"/>
    <x v="1837"/>
    <n v="8.1"/>
    <x v="4"/>
    <n v="8.6"/>
    <x v="5"/>
    <n v="1420"/>
    <x v="0"/>
    <n v="45.8"/>
    <s v="Data Scientist"/>
    <n v="52.7"/>
    <n v="59.4"/>
    <x v="493"/>
    <n v="9.8000000000000007"/>
    <n v="9.4"/>
    <n v="7.9"/>
    <s v="Bull Market"/>
  </r>
  <r>
    <s v="T2062"/>
    <x v="0"/>
    <x v="5"/>
    <x v="1"/>
    <x v="1"/>
    <s v="Feb"/>
    <x v="2"/>
    <x v="1838"/>
    <n v="22.5"/>
    <x v="4"/>
    <n v="7.5"/>
    <x v="5"/>
    <n v="1715"/>
    <x v="1"/>
    <n v="88"/>
    <s v="Cloud Engineer"/>
    <n v="7.2"/>
    <n v="23.6"/>
    <x v="119"/>
    <n v="5.2"/>
    <n v="5.2"/>
    <n v="3.9"/>
    <s v="Recession"/>
  </r>
  <r>
    <s v="T2063"/>
    <x v="1"/>
    <x v="1"/>
    <x v="1"/>
    <x v="0"/>
    <s v="Apr"/>
    <x v="1"/>
    <x v="1839"/>
    <n v="8.9"/>
    <x v="1"/>
    <n v="2.7"/>
    <x v="58"/>
    <n v="3795"/>
    <x v="0"/>
    <n v="33.200000000000003"/>
    <s v="Data Scientist"/>
    <n v="-41.3"/>
    <n v="-24.8"/>
    <x v="345"/>
    <n v="3.2"/>
    <n v="7.3"/>
    <n v="4.4000000000000004"/>
    <s v="Stable"/>
  </r>
  <r>
    <s v="T2064"/>
    <x v="4"/>
    <x v="1"/>
    <x v="0"/>
    <x v="3"/>
    <s v="Jan"/>
    <x v="0"/>
    <x v="1840"/>
    <n v="16.899999999999999"/>
    <x v="1"/>
    <n v="3"/>
    <x v="44"/>
    <n v="1025"/>
    <x v="2"/>
    <n v="12.7"/>
    <s v="Data Scientist"/>
    <n v="36.5"/>
    <n v="37.700000000000003"/>
    <x v="56"/>
    <n v="2.4"/>
    <n v="6.8"/>
    <n v="6.6"/>
    <s v="Stable"/>
  </r>
  <r>
    <s v="T2065"/>
    <x v="13"/>
    <x v="5"/>
    <x v="2"/>
    <x v="0"/>
    <s v="Aug"/>
    <x v="2"/>
    <x v="1841"/>
    <n v="3.1"/>
    <x v="4"/>
    <n v="3.7"/>
    <x v="22"/>
    <n v="5945"/>
    <x v="0"/>
    <n v="81.5"/>
    <s v="DevOps Engineer"/>
    <n v="-0.1"/>
    <n v="7.8"/>
    <x v="223"/>
    <n v="4.2"/>
    <n v="8.6999999999999993"/>
    <n v="6.8"/>
    <s v="Stable"/>
  </r>
  <r>
    <s v="T2066"/>
    <x v="0"/>
    <x v="5"/>
    <x v="3"/>
    <x v="1"/>
    <s v="May"/>
    <x v="2"/>
    <x v="1842"/>
    <n v="5.7"/>
    <x v="1"/>
    <n v="8.6999999999999993"/>
    <x v="84"/>
    <n v="1212"/>
    <x v="0"/>
    <n v="50.2"/>
    <s v="DevOps Engineer"/>
    <n v="11.5"/>
    <n v="6.9"/>
    <x v="282"/>
    <n v="8.6999999999999993"/>
    <n v="6.2"/>
    <n v="5.9"/>
    <s v="Bull Market"/>
  </r>
  <r>
    <s v="T2067"/>
    <x v="0"/>
    <x v="2"/>
    <x v="4"/>
    <x v="3"/>
    <s v="Aug"/>
    <x v="1"/>
    <x v="1843"/>
    <n v="14.8"/>
    <x v="2"/>
    <n v="5.2"/>
    <x v="5"/>
    <n v="5061"/>
    <x v="1"/>
    <n v="84.7"/>
    <s v="Cloud Engineer"/>
    <n v="88.7"/>
    <n v="53.1"/>
    <x v="407"/>
    <n v="7"/>
    <n v="7.5"/>
    <n v="5.5"/>
    <s v="Stable"/>
  </r>
  <r>
    <s v="T2068"/>
    <x v="2"/>
    <x v="5"/>
    <x v="1"/>
    <x v="2"/>
    <s v="Jun"/>
    <x v="0"/>
    <x v="1844"/>
    <n v="5.6"/>
    <x v="2"/>
    <n v="3"/>
    <x v="85"/>
    <n v="5231"/>
    <x v="0"/>
    <n v="52.3"/>
    <s v="Product Manager"/>
    <n v="-28"/>
    <n v="42.8"/>
    <x v="371"/>
    <n v="1.8"/>
    <n v="8.6"/>
    <n v="7.2"/>
    <s v="Stable"/>
  </r>
  <r>
    <s v="T2069"/>
    <x v="0"/>
    <x v="1"/>
    <x v="4"/>
    <x v="1"/>
    <s v="Dec"/>
    <x v="0"/>
    <x v="1845"/>
    <n v="5.5"/>
    <x v="3"/>
    <n v="2"/>
    <x v="88"/>
    <n v="3157"/>
    <x v="0"/>
    <n v="24.2"/>
    <s v="Frontend Developer"/>
    <n v="21.9"/>
    <n v="-22.3"/>
    <x v="301"/>
    <n v="1.9"/>
    <n v="6.7"/>
    <n v="5.3"/>
    <s v="Bull Market"/>
  </r>
  <r>
    <s v="T2070"/>
    <x v="8"/>
    <x v="4"/>
    <x v="1"/>
    <x v="1"/>
    <s v="Feb"/>
    <x v="1"/>
    <x v="64"/>
    <n v="0.1"/>
    <x v="2"/>
    <n v="5.4"/>
    <x v="87"/>
    <n v="2948"/>
    <x v="0"/>
    <n v="68.099999999999994"/>
    <s v="Software Engineer"/>
    <n v="-23.9"/>
    <n v="-9.3000000000000007"/>
    <x v="132"/>
    <n v="3.2"/>
    <n v="8.6999999999999993"/>
    <n v="7.3"/>
    <s v="Bull Market"/>
  </r>
  <r>
    <s v="T2071"/>
    <x v="17"/>
    <x v="3"/>
    <x v="5"/>
    <x v="0"/>
    <s v="Aug"/>
    <x v="1"/>
    <x v="1846"/>
    <n v="15.7"/>
    <x v="4"/>
    <n v="9.6999999999999993"/>
    <x v="5"/>
    <n v="3183"/>
    <x v="1"/>
    <n v="87.7"/>
    <s v="Cybersecurity Analyst"/>
    <n v="67"/>
    <n v="42.9"/>
    <x v="258"/>
    <n v="7.6"/>
    <n v="8.4"/>
    <n v="5.2"/>
    <s v="Stable"/>
  </r>
  <r>
    <s v="T2072"/>
    <x v="6"/>
    <x v="2"/>
    <x v="2"/>
    <x v="3"/>
    <s v="Sep"/>
    <x v="2"/>
    <x v="1847"/>
    <n v="12.1"/>
    <x v="0"/>
    <n v="8.1"/>
    <x v="52"/>
    <n v="2630"/>
    <x v="1"/>
    <n v="79.099999999999994"/>
    <s v="Data Scientist"/>
    <n v="21"/>
    <n v="14.1"/>
    <x v="179"/>
    <n v="5.8"/>
    <n v="8"/>
    <n v="6.5"/>
    <s v="Stable"/>
  </r>
  <r>
    <s v="T2073"/>
    <x v="11"/>
    <x v="6"/>
    <x v="3"/>
    <x v="2"/>
    <s v="Dec"/>
    <x v="2"/>
    <x v="1848"/>
    <n v="3.3"/>
    <x v="4"/>
    <n v="1.5"/>
    <x v="12"/>
    <n v="772"/>
    <x v="1"/>
    <n v="86.1"/>
    <s v="Cybersecurity Analyst"/>
    <n v="54.1"/>
    <n v="11.6"/>
    <x v="125"/>
    <n v="2.2000000000000002"/>
    <n v="5.8"/>
    <n v="8"/>
    <s v="Stable"/>
  </r>
  <r>
    <s v="T2074"/>
    <x v="0"/>
    <x v="1"/>
    <x v="0"/>
    <x v="3"/>
    <s v="Jan"/>
    <x v="1"/>
    <x v="1849"/>
    <n v="19.5"/>
    <x v="0"/>
    <n v="2.1"/>
    <x v="20"/>
    <n v="1480"/>
    <x v="2"/>
    <n v="55.8"/>
    <s v="Cloud Engineer"/>
    <n v="49.2"/>
    <n v="55.5"/>
    <x v="388"/>
    <n v="1.6"/>
    <n v="7.7"/>
    <n v="5.8"/>
    <s v="Recession"/>
  </r>
  <r>
    <s v="T2075"/>
    <x v="1"/>
    <x v="1"/>
    <x v="1"/>
    <x v="0"/>
    <s v="Aug"/>
    <x v="0"/>
    <x v="1850"/>
    <n v="1.3"/>
    <x v="2"/>
    <n v="13.2"/>
    <x v="25"/>
    <n v="5176"/>
    <x v="3"/>
    <n v="30.3"/>
    <s v="Software Engineer"/>
    <n v="64.2"/>
    <n v="50.6"/>
    <x v="464"/>
    <n v="8.6999999999999993"/>
    <n v="7.9"/>
    <n v="7.7"/>
    <s v="Bull Market"/>
  </r>
  <r>
    <s v="T2076"/>
    <x v="0"/>
    <x v="2"/>
    <x v="3"/>
    <x v="0"/>
    <s v="Jul"/>
    <x v="2"/>
    <x v="1851"/>
    <n v="0.5"/>
    <x v="1"/>
    <n v="4.4000000000000004"/>
    <x v="25"/>
    <n v="5547"/>
    <x v="0"/>
    <n v="55.7"/>
    <s v="Cloud Engineer"/>
    <n v="34.6"/>
    <n v="-16.7"/>
    <x v="70"/>
    <n v="2.9"/>
    <n v="5.8"/>
    <n v="6"/>
    <s v="Bull Market"/>
  </r>
  <r>
    <s v="T2077"/>
    <x v="0"/>
    <x v="2"/>
    <x v="4"/>
    <x v="0"/>
    <s v="Jun"/>
    <x v="1"/>
    <x v="1852"/>
    <n v="18.8"/>
    <x v="3"/>
    <n v="9.8000000000000007"/>
    <x v="5"/>
    <n v="1074"/>
    <x v="1"/>
    <n v="57.1"/>
    <s v="Data Scientist"/>
    <n v="84.4"/>
    <n v="25.8"/>
    <x v="282"/>
    <n v="7.3"/>
    <n v="7.4"/>
    <n v="5.4"/>
    <s v="Recession"/>
  </r>
  <r>
    <s v="T2078"/>
    <x v="0"/>
    <x v="2"/>
    <x v="2"/>
    <x v="0"/>
    <s v="May"/>
    <x v="0"/>
    <x v="100"/>
    <n v="1"/>
    <x v="2"/>
    <n v="9.6999999999999993"/>
    <x v="14"/>
    <n v="2319"/>
    <x v="0"/>
    <n v="55.6"/>
    <s v="Software Engineer"/>
    <n v="8.6999999999999993"/>
    <n v="50.7"/>
    <x v="437"/>
    <n v="9.5"/>
    <n v="8.6999999999999993"/>
    <n v="8"/>
    <s v="Bull Market"/>
  </r>
  <r>
    <s v="T2079"/>
    <x v="10"/>
    <x v="3"/>
    <x v="2"/>
    <x v="0"/>
    <s v="Aug"/>
    <x v="2"/>
    <x v="1853"/>
    <n v="9.6"/>
    <x v="3"/>
    <n v="4.3"/>
    <x v="25"/>
    <n v="4690"/>
    <x v="1"/>
    <n v="30.7"/>
    <s v="DevOps Engineer"/>
    <n v="75.900000000000006"/>
    <n v="55.7"/>
    <x v="180"/>
    <n v="4"/>
    <n v="9.8000000000000007"/>
    <n v="7.7"/>
    <s v="Stable"/>
  </r>
  <r>
    <s v="T2080"/>
    <x v="14"/>
    <x v="1"/>
    <x v="4"/>
    <x v="3"/>
    <s v="Nov"/>
    <x v="1"/>
    <x v="1854"/>
    <n v="17"/>
    <x v="3"/>
    <n v="2.4"/>
    <x v="31"/>
    <n v="719"/>
    <x v="1"/>
    <n v="83"/>
    <s v="Software Engineer"/>
    <n v="-36.6"/>
    <n v="13.2"/>
    <x v="301"/>
    <n v="2.7"/>
    <n v="4.2"/>
    <n v="6.2"/>
    <s v="Stable"/>
  </r>
  <r>
    <s v="T2081"/>
    <x v="7"/>
    <x v="4"/>
    <x v="4"/>
    <x v="1"/>
    <s v="Apr"/>
    <x v="2"/>
    <x v="280"/>
    <n v="6.4"/>
    <x v="1"/>
    <n v="3.8"/>
    <x v="1"/>
    <n v="3985"/>
    <x v="0"/>
    <n v="66.599999999999994"/>
    <s v="DevOps Engineer"/>
    <n v="43.3"/>
    <n v="25.1"/>
    <x v="5"/>
    <n v="5.2"/>
    <n v="8.3000000000000007"/>
    <n v="6.3"/>
    <s v="Bull Market"/>
  </r>
  <r>
    <s v="T2082"/>
    <x v="7"/>
    <x v="4"/>
    <x v="5"/>
    <x v="0"/>
    <s v="Dec"/>
    <x v="0"/>
    <x v="1855"/>
    <n v="11.4"/>
    <x v="0"/>
    <n v="8.1"/>
    <x v="5"/>
    <n v="1475"/>
    <x v="1"/>
    <n v="60.1"/>
    <s v="Frontend Developer"/>
    <n v="29.8"/>
    <n v="-24.7"/>
    <x v="355"/>
    <n v="7.6"/>
    <n v="4"/>
    <n v="5.0999999999999996"/>
    <s v="Stable"/>
  </r>
  <r>
    <s v="T2083"/>
    <x v="0"/>
    <x v="5"/>
    <x v="1"/>
    <x v="1"/>
    <s v="Jan"/>
    <x v="1"/>
    <x v="907"/>
    <n v="8.9"/>
    <x v="1"/>
    <n v="6.6"/>
    <x v="5"/>
    <n v="3670"/>
    <x v="0"/>
    <n v="28.2"/>
    <s v="Cloud Engineer"/>
    <n v="5.6"/>
    <n v="-24.7"/>
    <x v="328"/>
    <n v="6.8"/>
    <n v="5.8"/>
    <n v="3.5"/>
    <s v="Stable"/>
  </r>
  <r>
    <s v="T2084"/>
    <x v="11"/>
    <x v="6"/>
    <x v="5"/>
    <x v="1"/>
    <s v="Jul"/>
    <x v="0"/>
    <x v="1856"/>
    <n v="18.8"/>
    <x v="4"/>
    <n v="0.8"/>
    <x v="72"/>
    <n v="1064"/>
    <x v="1"/>
    <n v="36.1"/>
    <s v="Product Manager"/>
    <n v="40.4"/>
    <n v="39.5"/>
    <x v="304"/>
    <n v="1.2"/>
    <n v="8.3000000000000007"/>
    <n v="6"/>
    <s v="Recession"/>
  </r>
  <r>
    <s v="T2085"/>
    <x v="8"/>
    <x v="4"/>
    <x v="4"/>
    <x v="1"/>
    <s v="Oct"/>
    <x v="0"/>
    <x v="1857"/>
    <n v="8.6"/>
    <x v="4"/>
    <n v="5"/>
    <x v="20"/>
    <n v="4672"/>
    <x v="0"/>
    <n v="70"/>
    <s v="Data Scientist"/>
    <n v="58.7"/>
    <n v="39.799999999999997"/>
    <x v="368"/>
    <n v="5.6"/>
    <n v="8.9"/>
    <n v="7.2"/>
    <s v="Bull Market"/>
  </r>
  <r>
    <s v="T2086"/>
    <x v="4"/>
    <x v="1"/>
    <x v="2"/>
    <x v="2"/>
    <s v="Aug"/>
    <x v="0"/>
    <x v="1858"/>
    <n v="13.5"/>
    <x v="4"/>
    <n v="9.5"/>
    <x v="35"/>
    <n v="1235"/>
    <x v="1"/>
    <n v="18.8"/>
    <s v="Cloud Engineer"/>
    <n v="-6.7"/>
    <n v="-24.1"/>
    <x v="222"/>
    <n v="6.3"/>
    <n v="5.4"/>
    <n v="4.9000000000000004"/>
    <s v="Recession"/>
  </r>
  <r>
    <s v="T2087"/>
    <x v="2"/>
    <x v="0"/>
    <x v="2"/>
    <x v="1"/>
    <s v="Sep"/>
    <x v="2"/>
    <x v="87"/>
    <n v="22.6"/>
    <x v="2"/>
    <n v="5.4"/>
    <x v="5"/>
    <n v="8599"/>
    <x v="0"/>
    <n v="17.2"/>
    <s v="Data Scientist"/>
    <n v="53.6"/>
    <n v="32.299999999999997"/>
    <x v="255"/>
    <n v="6.4"/>
    <n v="4.9000000000000004"/>
    <n v="4.3"/>
    <s v="Recession"/>
  </r>
  <r>
    <s v="T2088"/>
    <x v="6"/>
    <x v="1"/>
    <x v="5"/>
    <x v="3"/>
    <s v="Apr"/>
    <x v="1"/>
    <x v="1859"/>
    <n v="7.2"/>
    <x v="4"/>
    <n v="4.5"/>
    <x v="11"/>
    <n v="1731"/>
    <x v="0"/>
    <n v="62.8"/>
    <s v="ML Engineer"/>
    <n v="85.4"/>
    <n v="33.1"/>
    <x v="121"/>
    <n v="5.4"/>
    <n v="9.3000000000000007"/>
    <n v="5.9"/>
    <s v="Bull Market"/>
  </r>
  <r>
    <s v="T2089"/>
    <x v="2"/>
    <x v="0"/>
    <x v="0"/>
    <x v="1"/>
    <s v="Jan"/>
    <x v="1"/>
    <x v="1860"/>
    <n v="16.100000000000001"/>
    <x v="1"/>
    <n v="9.1999999999999993"/>
    <x v="5"/>
    <n v="5062"/>
    <x v="0"/>
    <n v="80.099999999999994"/>
    <s v="Data Scientist"/>
    <n v="5.2"/>
    <n v="-1.6"/>
    <x v="475"/>
    <n v="9.3000000000000007"/>
    <n v="4"/>
    <n v="4.9000000000000004"/>
    <s v="Stable"/>
  </r>
  <r>
    <s v="T2090"/>
    <x v="9"/>
    <x v="1"/>
    <x v="3"/>
    <x v="2"/>
    <s v="May"/>
    <x v="1"/>
    <x v="402"/>
    <n v="0.1"/>
    <x v="1"/>
    <n v="12.7"/>
    <x v="22"/>
    <n v="1961"/>
    <x v="0"/>
    <n v="27.2"/>
    <s v="Cloud Engineer"/>
    <n v="89.3"/>
    <n v="24.6"/>
    <x v="107"/>
    <n v="8.1999999999999993"/>
    <n v="6.4"/>
    <n v="8.5"/>
    <s v="Bull Market"/>
  </r>
  <r>
    <s v="T2091"/>
    <x v="17"/>
    <x v="0"/>
    <x v="0"/>
    <x v="1"/>
    <s v="May"/>
    <x v="0"/>
    <x v="1861"/>
    <n v="25"/>
    <x v="0"/>
    <n v="10"/>
    <x v="5"/>
    <n v="5197"/>
    <x v="1"/>
    <n v="85.3"/>
    <s v="Data Scientist"/>
    <n v="38.6"/>
    <n v="-5"/>
    <x v="186"/>
    <n v="6.2"/>
    <n v="6.5"/>
    <n v="3.3"/>
    <s v="Recession"/>
  </r>
  <r>
    <s v="T2092"/>
    <x v="8"/>
    <x v="6"/>
    <x v="0"/>
    <x v="2"/>
    <s v="Jul"/>
    <x v="2"/>
    <x v="1862"/>
    <n v="16.100000000000001"/>
    <x v="4"/>
    <n v="11.5"/>
    <x v="5"/>
    <n v="2465"/>
    <x v="1"/>
    <n v="75.2"/>
    <s v="Cybersecurity Analyst"/>
    <n v="-10.9"/>
    <n v="-22.3"/>
    <x v="42"/>
    <n v="8.9"/>
    <n v="3.8"/>
    <n v="2.9"/>
    <s v="Stable"/>
  </r>
  <r>
    <s v="T2093"/>
    <x v="16"/>
    <x v="2"/>
    <x v="1"/>
    <x v="3"/>
    <s v="Jan"/>
    <x v="1"/>
    <x v="1863"/>
    <n v="12.9"/>
    <x v="0"/>
    <n v="2.6"/>
    <x v="20"/>
    <n v="869"/>
    <x v="2"/>
    <n v="12.3"/>
    <s v="Software Engineer"/>
    <n v="53.8"/>
    <n v="21.3"/>
    <x v="356"/>
    <n v="2.2999999999999998"/>
    <n v="8.1"/>
    <n v="6.3"/>
    <s v="Recession"/>
  </r>
  <r>
    <s v="T2094"/>
    <x v="1"/>
    <x v="4"/>
    <x v="0"/>
    <x v="1"/>
    <s v="Nov"/>
    <x v="1"/>
    <x v="1864"/>
    <n v="12.6"/>
    <x v="0"/>
    <n v="5.6"/>
    <x v="24"/>
    <n v="280"/>
    <x v="1"/>
    <n v="34.9"/>
    <s v="Cloud Engineer"/>
    <n v="-34.299999999999997"/>
    <n v="25.1"/>
    <x v="467"/>
    <n v="4.2"/>
    <n v="5.8"/>
    <n v="6.5"/>
    <s v="Stable"/>
  </r>
  <r>
    <s v="T2095"/>
    <x v="2"/>
    <x v="2"/>
    <x v="3"/>
    <x v="1"/>
    <s v="Jan"/>
    <x v="0"/>
    <x v="1865"/>
    <n v="4.9000000000000004"/>
    <x v="2"/>
    <n v="1.2"/>
    <x v="19"/>
    <n v="1884"/>
    <x v="1"/>
    <n v="18.3"/>
    <s v="Product Manager"/>
    <n v="64.599999999999994"/>
    <n v="-12.5"/>
    <x v="20"/>
    <n v="1.6"/>
    <n v="6"/>
    <n v="7.2"/>
    <s v="Bull Market"/>
  </r>
  <r>
    <s v="T2096"/>
    <x v="19"/>
    <x v="0"/>
    <x v="4"/>
    <x v="1"/>
    <s v="Mar"/>
    <x v="0"/>
    <x v="1866"/>
    <n v="12.6"/>
    <x v="2"/>
    <n v="5.0999999999999996"/>
    <x v="41"/>
    <n v="5767"/>
    <x v="0"/>
    <n v="67"/>
    <s v="Data Scientist"/>
    <n v="-9.3000000000000007"/>
    <n v="54.8"/>
    <x v="187"/>
    <n v="3.1"/>
    <n v="6.2"/>
    <n v="7.7"/>
    <s v="Recession"/>
  </r>
  <r>
    <s v="T2097"/>
    <x v="2"/>
    <x v="0"/>
    <x v="2"/>
    <x v="1"/>
    <s v="Nov"/>
    <x v="0"/>
    <x v="1867"/>
    <n v="4.7"/>
    <x v="0"/>
    <n v="4.9000000000000004"/>
    <x v="46"/>
    <n v="6417"/>
    <x v="0"/>
    <n v="14.3"/>
    <s v="ML Engineer"/>
    <n v="-1.5"/>
    <n v="30.4"/>
    <x v="81"/>
    <n v="3"/>
    <n v="6.1"/>
    <n v="6.7"/>
    <s v="Bull Market"/>
  </r>
  <r>
    <s v="T2098"/>
    <x v="16"/>
    <x v="2"/>
    <x v="3"/>
    <x v="2"/>
    <s v="Apr"/>
    <x v="1"/>
    <x v="1868"/>
    <n v="0.5"/>
    <x v="4"/>
    <n v="3.8"/>
    <x v="1"/>
    <n v="2543"/>
    <x v="0"/>
    <n v="58.7"/>
    <s v="ML Engineer"/>
    <n v="52.2"/>
    <n v="-14.8"/>
    <x v="128"/>
    <n v="5.0999999999999996"/>
    <n v="6.2"/>
    <n v="6.5"/>
    <s v="Bull Market"/>
  </r>
  <r>
    <s v="T2099"/>
    <x v="1"/>
    <x v="6"/>
    <x v="4"/>
    <x v="1"/>
    <s v="Aug"/>
    <x v="2"/>
    <x v="1869"/>
    <n v="17.600000000000001"/>
    <x v="3"/>
    <n v="6.9"/>
    <x v="5"/>
    <n v="767"/>
    <x v="1"/>
    <n v="39.200000000000003"/>
    <s v="Cybersecurity Analyst"/>
    <n v="40.299999999999997"/>
    <n v="-17.100000000000001"/>
    <x v="339"/>
    <n v="9.4"/>
    <n v="5.8"/>
    <n v="2.8"/>
    <s v="Stable"/>
  </r>
  <r>
    <s v="T2100"/>
    <x v="1"/>
    <x v="4"/>
    <x v="2"/>
    <x v="0"/>
    <s v="Jul"/>
    <x v="2"/>
    <x v="1870"/>
    <n v="31.6"/>
    <x v="1"/>
    <n v="1.2"/>
    <x v="11"/>
    <n v="240"/>
    <x v="2"/>
    <n v="72.099999999999994"/>
    <s v="DevOps Engineer"/>
    <n v="82.3"/>
    <n v="-18.7"/>
    <x v="167"/>
    <n v="1.2"/>
    <n v="4.3"/>
    <n v="3.6"/>
    <s v="Recession"/>
  </r>
  <r>
    <s v="T2101"/>
    <x v="18"/>
    <x v="0"/>
    <x v="2"/>
    <x v="3"/>
    <s v="Jun"/>
    <x v="2"/>
    <x v="1871"/>
    <n v="6.5"/>
    <x v="0"/>
    <n v="11.7"/>
    <x v="84"/>
    <n v="3551"/>
    <x v="0"/>
    <n v="72.400000000000006"/>
    <s v="Data Scientist"/>
    <n v="5.6"/>
    <n v="12.7"/>
    <x v="267"/>
    <n v="7.9"/>
    <n v="7.1"/>
    <n v="5.7"/>
    <s v="Stable"/>
  </r>
  <r>
    <s v="T2102"/>
    <x v="3"/>
    <x v="1"/>
    <x v="1"/>
    <x v="2"/>
    <s v="Feb"/>
    <x v="1"/>
    <x v="1872"/>
    <n v="5.5"/>
    <x v="1"/>
    <n v="3.4"/>
    <x v="54"/>
    <n v="2429"/>
    <x v="1"/>
    <n v="11.7"/>
    <s v="ML Engineer"/>
    <n v="83.3"/>
    <n v="12.9"/>
    <x v="102"/>
    <n v="3.5"/>
    <n v="5"/>
    <n v="6.8"/>
    <s v="Stable"/>
  </r>
  <r>
    <s v="T2103"/>
    <x v="17"/>
    <x v="0"/>
    <x v="3"/>
    <x v="3"/>
    <s v="Mar"/>
    <x v="1"/>
    <x v="1873"/>
    <n v="17.899999999999999"/>
    <x v="4"/>
    <n v="12.1"/>
    <x v="5"/>
    <n v="5377"/>
    <x v="0"/>
    <n v="73.400000000000006"/>
    <s v="Data Scientist"/>
    <n v="-32.6"/>
    <n v="24.9"/>
    <x v="434"/>
    <n v="8.9"/>
    <n v="5.2"/>
    <n v="4"/>
    <s v="Stable"/>
  </r>
  <r>
    <s v="T2104"/>
    <x v="2"/>
    <x v="3"/>
    <x v="0"/>
    <x v="0"/>
    <s v="Aug"/>
    <x v="0"/>
    <x v="1874"/>
    <n v="8.4"/>
    <x v="1"/>
    <n v="5.5"/>
    <x v="5"/>
    <n v="3058"/>
    <x v="0"/>
    <n v="87.7"/>
    <s v="Software Engineer"/>
    <n v="64.099999999999994"/>
    <n v="-13.9"/>
    <x v="143"/>
    <n v="7.2"/>
    <n v="5.4"/>
    <n v="4.0999999999999996"/>
    <s v="Bull Market"/>
  </r>
  <r>
    <s v="T2105"/>
    <x v="2"/>
    <x v="5"/>
    <x v="0"/>
    <x v="2"/>
    <s v="Jun"/>
    <x v="2"/>
    <x v="1875"/>
    <n v="37.5"/>
    <x v="3"/>
    <n v="12.5"/>
    <x v="5"/>
    <n v="300"/>
    <x v="2"/>
    <n v="37.200000000000003"/>
    <s v="Data Scientist"/>
    <n v="47.2"/>
    <n v="53.2"/>
    <x v="54"/>
    <n v="7.4"/>
    <n v="4.5"/>
    <n v="4"/>
    <s v="Recession"/>
  </r>
  <r>
    <s v="T2106"/>
    <x v="19"/>
    <x v="0"/>
    <x v="0"/>
    <x v="2"/>
    <s v="Sep"/>
    <x v="0"/>
    <x v="1876"/>
    <n v="6.5"/>
    <x v="3"/>
    <n v="4.4000000000000004"/>
    <x v="56"/>
    <n v="2415"/>
    <x v="0"/>
    <n v="54.8"/>
    <s v="Data Scientist"/>
    <n v="27.7"/>
    <n v="12.2"/>
    <x v="122"/>
    <n v="6"/>
    <n v="8.1999999999999993"/>
    <n v="6.6"/>
    <s v="Stable"/>
  </r>
  <r>
    <s v="T2107"/>
    <x v="1"/>
    <x v="4"/>
    <x v="0"/>
    <x v="2"/>
    <s v="Apr"/>
    <x v="2"/>
    <x v="1877"/>
    <n v="15.7"/>
    <x v="2"/>
    <n v="3.6"/>
    <x v="11"/>
    <n v="1432"/>
    <x v="1"/>
    <n v="23.5"/>
    <s v="DevOps Engineer"/>
    <n v="-0.7"/>
    <n v="32"/>
    <x v="157"/>
    <n v="3.4"/>
    <n v="6.5"/>
    <n v="5.9"/>
    <s v="Recession"/>
  </r>
  <r>
    <s v="T2108"/>
    <x v="2"/>
    <x v="1"/>
    <x v="4"/>
    <x v="3"/>
    <s v="Mar"/>
    <x v="0"/>
    <x v="1878"/>
    <n v="0.1"/>
    <x v="1"/>
    <n v="3.3"/>
    <x v="70"/>
    <n v="5068"/>
    <x v="0"/>
    <n v="68.5"/>
    <s v="Cloud Engineer"/>
    <n v="-3.5"/>
    <n v="8.4"/>
    <x v="190"/>
    <n v="3.4"/>
    <n v="6"/>
    <n v="7.2"/>
    <s v="Bull Market"/>
  </r>
  <r>
    <s v="T2109"/>
    <x v="17"/>
    <x v="0"/>
    <x v="1"/>
    <x v="1"/>
    <s v="Nov"/>
    <x v="0"/>
    <x v="1879"/>
    <n v="27.9"/>
    <x v="3"/>
    <n v="2.9"/>
    <x v="50"/>
    <n v="3352"/>
    <x v="1"/>
    <n v="15.5"/>
    <s v="Data Scientist"/>
    <n v="36.299999999999997"/>
    <n v="48.7"/>
    <x v="29"/>
    <n v="3.1"/>
    <n v="8.1"/>
    <n v="5.6"/>
    <s v="Recession"/>
  </r>
  <r>
    <s v="T2110"/>
    <x v="9"/>
    <x v="0"/>
    <x v="5"/>
    <x v="1"/>
    <s v="Apr"/>
    <x v="1"/>
    <x v="1880"/>
    <n v="4.4000000000000004"/>
    <x v="2"/>
    <n v="2.2000000000000002"/>
    <x v="85"/>
    <n v="9271"/>
    <x v="3"/>
    <n v="88.5"/>
    <s v="Data Scientist"/>
    <n v="-2.2999999999999998"/>
    <n v="-0.3"/>
    <x v="269"/>
    <n v="2.8"/>
    <n v="6.8"/>
    <n v="6.7"/>
    <s v="Stable"/>
  </r>
  <r>
    <s v="T2111"/>
    <x v="9"/>
    <x v="1"/>
    <x v="1"/>
    <x v="2"/>
    <s v="Dec"/>
    <x v="2"/>
    <x v="1881"/>
    <n v="12.5"/>
    <x v="4"/>
    <n v="5.4"/>
    <x v="18"/>
    <n v="1409"/>
    <x v="1"/>
    <n v="49.9"/>
    <s v="Data Scientist"/>
    <n v="-0.5"/>
    <n v="58.9"/>
    <x v="494"/>
    <n v="6.7"/>
    <n v="7.1"/>
    <n v="7.2"/>
    <s v="Recession"/>
  </r>
  <r>
    <s v="T2112"/>
    <x v="2"/>
    <x v="1"/>
    <x v="3"/>
    <x v="0"/>
    <s v="Aug"/>
    <x v="1"/>
    <x v="1882"/>
    <n v="2.1"/>
    <x v="2"/>
    <n v="8"/>
    <x v="35"/>
    <n v="3010"/>
    <x v="0"/>
    <n v="32.9"/>
    <s v="Cybersecurity Analyst"/>
    <n v="20.3"/>
    <n v="20.100000000000001"/>
    <x v="436"/>
    <n v="6.3"/>
    <n v="9"/>
    <n v="7.7"/>
    <s v="Stable"/>
  </r>
  <r>
    <s v="T2113"/>
    <x v="4"/>
    <x v="0"/>
    <x v="0"/>
    <x v="2"/>
    <s v="Apr"/>
    <x v="2"/>
    <x v="1883"/>
    <n v="16.2"/>
    <x v="4"/>
    <n v="11.2"/>
    <x v="5"/>
    <n v="5519"/>
    <x v="0"/>
    <n v="54.2"/>
    <s v="Data Scientist"/>
    <n v="87.8"/>
    <n v="56.7"/>
    <x v="407"/>
    <n v="6.9"/>
    <n v="5.9"/>
    <n v="6.8"/>
    <s v="Recession"/>
  </r>
  <r>
    <s v="T2114"/>
    <x v="1"/>
    <x v="6"/>
    <x v="4"/>
    <x v="3"/>
    <s v="Jan"/>
    <x v="2"/>
    <x v="1884"/>
    <n v="9.9"/>
    <x v="2"/>
    <n v="4.8"/>
    <x v="5"/>
    <n v="5374"/>
    <x v="0"/>
    <n v="51.9"/>
    <s v="Cloud Engineer"/>
    <n v="79.5"/>
    <n v="-6.7"/>
    <x v="72"/>
    <n v="6.3"/>
    <n v="4.9000000000000004"/>
    <n v="5.5"/>
    <s v="Bull Market"/>
  </r>
  <r>
    <s v="T2115"/>
    <x v="0"/>
    <x v="5"/>
    <x v="1"/>
    <x v="1"/>
    <s v="Feb"/>
    <x v="2"/>
    <x v="1885"/>
    <n v="17.3"/>
    <x v="1"/>
    <n v="1.2"/>
    <x v="22"/>
    <n v="1137"/>
    <x v="1"/>
    <n v="78.5"/>
    <s v="Cybersecurity Analyst"/>
    <n v="71.900000000000006"/>
    <n v="1.5"/>
    <x v="380"/>
    <n v="1"/>
    <n v="4.9000000000000004"/>
    <n v="6.4"/>
    <s v="Stable"/>
  </r>
  <r>
    <s v="T2116"/>
    <x v="17"/>
    <x v="3"/>
    <x v="4"/>
    <x v="0"/>
    <s v="Feb"/>
    <x v="1"/>
    <x v="1886"/>
    <n v="3.5"/>
    <x v="1"/>
    <n v="2.5"/>
    <x v="1"/>
    <n v="4727"/>
    <x v="0"/>
    <n v="66.099999999999994"/>
    <s v="Cybersecurity Analyst"/>
    <n v="-7.5"/>
    <n v="-6.3"/>
    <x v="212"/>
    <n v="3.4"/>
    <n v="8.3000000000000007"/>
    <n v="7.4"/>
    <s v="Stable"/>
  </r>
  <r>
    <s v="T2117"/>
    <x v="8"/>
    <x v="4"/>
    <x v="5"/>
    <x v="3"/>
    <s v="Feb"/>
    <x v="0"/>
    <x v="1887"/>
    <n v="13.2"/>
    <x v="1"/>
    <n v="6.4"/>
    <x v="61"/>
    <n v="966"/>
    <x v="1"/>
    <n v="35"/>
    <s v="Data Scientist"/>
    <n v="-6"/>
    <n v="12.4"/>
    <x v="373"/>
    <n v="3.9"/>
    <n v="6.2"/>
    <n v="5.3"/>
    <s v="Recession"/>
  </r>
  <r>
    <s v="T2118"/>
    <x v="2"/>
    <x v="1"/>
    <x v="4"/>
    <x v="3"/>
    <s v="Mar"/>
    <x v="0"/>
    <x v="1888"/>
    <n v="28.4"/>
    <x v="3"/>
    <n v="4.0999999999999996"/>
    <x v="84"/>
    <n v="1702"/>
    <x v="1"/>
    <n v="55.8"/>
    <s v="Product Manager"/>
    <n v="-4.9000000000000004"/>
    <n v="43.6"/>
    <x v="122"/>
    <n v="3.5"/>
    <n v="7.4"/>
    <n v="5.2"/>
    <s v="Recession"/>
  </r>
  <r>
    <s v="T2119"/>
    <x v="12"/>
    <x v="0"/>
    <x v="5"/>
    <x v="2"/>
    <s v="Jan"/>
    <x v="1"/>
    <x v="1889"/>
    <n v="4.8"/>
    <x v="0"/>
    <n v="9.3000000000000007"/>
    <x v="23"/>
    <n v="5342"/>
    <x v="0"/>
    <n v="76.7"/>
    <s v="Data Scientist"/>
    <n v="72.5"/>
    <n v="-7"/>
    <x v="410"/>
    <n v="6.6"/>
    <n v="5.0999999999999996"/>
    <n v="7"/>
    <s v="Bull Market"/>
  </r>
  <r>
    <s v="T2120"/>
    <x v="2"/>
    <x v="0"/>
    <x v="2"/>
    <x v="2"/>
    <s v="Dec"/>
    <x v="1"/>
    <x v="1890"/>
    <n v="14.3"/>
    <x v="0"/>
    <n v="8.8000000000000007"/>
    <x v="26"/>
    <n v="9061"/>
    <x v="0"/>
    <n v="34.799999999999997"/>
    <s v="ML Engineer"/>
    <n v="-12.1"/>
    <n v="17.899999999999999"/>
    <x v="255"/>
    <n v="8.8000000000000007"/>
    <n v="8.4"/>
    <n v="5.4"/>
    <s v="Recession"/>
  </r>
  <r>
    <s v="T2121"/>
    <x v="0"/>
    <x v="1"/>
    <x v="0"/>
    <x v="1"/>
    <s v="Apr"/>
    <x v="0"/>
    <x v="1891"/>
    <n v="4.7"/>
    <x v="4"/>
    <n v="2.2000000000000002"/>
    <x v="85"/>
    <n v="2328"/>
    <x v="1"/>
    <n v="50.4"/>
    <s v="Product Manager"/>
    <n v="3.6"/>
    <n v="-20.9"/>
    <x v="328"/>
    <n v="2.6"/>
    <n v="5.6"/>
    <n v="5.3"/>
    <s v="Stable"/>
  </r>
  <r>
    <s v="T2122"/>
    <x v="6"/>
    <x v="2"/>
    <x v="2"/>
    <x v="3"/>
    <s v="Feb"/>
    <x v="0"/>
    <x v="1892"/>
    <n v="7.3"/>
    <x v="0"/>
    <n v="14.4"/>
    <x v="5"/>
    <n v="5972"/>
    <x v="0"/>
    <n v="80.599999999999994"/>
    <s v="Cybersecurity Analyst"/>
    <n v="61.5"/>
    <n v="7"/>
    <x v="173"/>
    <n v="8.6999999999999993"/>
    <n v="7"/>
    <n v="5.7"/>
    <s v="Stable"/>
  </r>
  <r>
    <s v="T2123"/>
    <x v="1"/>
    <x v="1"/>
    <x v="4"/>
    <x v="0"/>
    <s v="Oct"/>
    <x v="1"/>
    <x v="1893"/>
    <n v="32.1"/>
    <x v="3"/>
    <n v="5.7"/>
    <x v="5"/>
    <n v="901"/>
    <x v="2"/>
    <n v="29.1"/>
    <s v="DevOps Engineer"/>
    <n v="38.9"/>
    <n v="31.5"/>
    <x v="261"/>
    <n v="7.9"/>
    <n v="3.7"/>
    <n v="4.3"/>
    <s v="Recession"/>
  </r>
  <r>
    <s v="T2124"/>
    <x v="10"/>
    <x v="3"/>
    <x v="0"/>
    <x v="0"/>
    <s v="Jul"/>
    <x v="2"/>
    <x v="1894"/>
    <n v="10.9"/>
    <x v="1"/>
    <n v="9.3000000000000007"/>
    <x v="5"/>
    <n v="977"/>
    <x v="1"/>
    <n v="74.2"/>
    <s v="Product Manager"/>
    <n v="16.5"/>
    <n v="20.8"/>
    <x v="232"/>
    <n v="5.6"/>
    <n v="7.6"/>
    <n v="5.8"/>
    <s v="Stable"/>
  </r>
  <r>
    <s v="T2125"/>
    <x v="3"/>
    <x v="1"/>
    <x v="5"/>
    <x v="1"/>
    <s v="Dec"/>
    <x v="1"/>
    <x v="1895"/>
    <n v="35.299999999999997"/>
    <x v="2"/>
    <n v="12.3"/>
    <x v="5"/>
    <n v="1071"/>
    <x v="2"/>
    <n v="33.200000000000003"/>
    <s v="Frontend Developer"/>
    <n v="-34.9"/>
    <n v="53.5"/>
    <x v="439"/>
    <n v="8.6"/>
    <n v="4.8"/>
    <n v="4.9000000000000004"/>
    <s v="Recession"/>
  </r>
  <r>
    <s v="T2126"/>
    <x v="1"/>
    <x v="1"/>
    <x v="5"/>
    <x v="0"/>
    <s v="Oct"/>
    <x v="0"/>
    <x v="1896"/>
    <n v="8.1"/>
    <x v="4"/>
    <n v="3.6"/>
    <x v="78"/>
    <n v="4941"/>
    <x v="1"/>
    <n v="49.7"/>
    <s v="Cybersecurity Analyst"/>
    <n v="45.9"/>
    <n v="46"/>
    <x v="347"/>
    <n v="2.2000000000000002"/>
    <n v="9.6"/>
    <n v="8.5"/>
    <s v="Bull Market"/>
  </r>
  <r>
    <s v="T2127"/>
    <x v="4"/>
    <x v="1"/>
    <x v="1"/>
    <x v="0"/>
    <s v="Mar"/>
    <x v="0"/>
    <x v="1897"/>
    <n v="0.6"/>
    <x v="4"/>
    <n v="8.1"/>
    <x v="74"/>
    <n v="3585"/>
    <x v="0"/>
    <n v="71.2"/>
    <s v="DevOps Engineer"/>
    <n v="-27"/>
    <n v="1.5"/>
    <x v="447"/>
    <n v="7.3"/>
    <n v="5.8"/>
    <n v="7.1"/>
    <s v="Bull Market"/>
  </r>
  <r>
    <s v="T2128"/>
    <x v="16"/>
    <x v="2"/>
    <x v="5"/>
    <x v="0"/>
    <s v="Dec"/>
    <x v="0"/>
    <x v="1898"/>
    <n v="10.7"/>
    <x v="1"/>
    <n v="3.9"/>
    <x v="14"/>
    <n v="3952"/>
    <x v="1"/>
    <n v="23.2"/>
    <s v="Cybersecurity Analyst"/>
    <n v="-30.3"/>
    <n v="37.200000000000003"/>
    <x v="234"/>
    <n v="4.3"/>
    <n v="8.1999999999999993"/>
    <n v="5.6"/>
    <s v="Stable"/>
  </r>
  <r>
    <s v="T2129"/>
    <x v="12"/>
    <x v="0"/>
    <x v="3"/>
    <x v="1"/>
    <s v="Sep"/>
    <x v="0"/>
    <x v="1899"/>
    <n v="15.6"/>
    <x v="4"/>
    <n v="1.9"/>
    <x v="58"/>
    <n v="5341"/>
    <x v="0"/>
    <n v="80.099999999999994"/>
    <s v="ML Engineer"/>
    <n v="45.2"/>
    <n v="28.9"/>
    <x v="118"/>
    <n v="1.7"/>
    <n v="4.9000000000000004"/>
    <n v="6"/>
    <s v="Stable"/>
  </r>
  <r>
    <s v="T2130"/>
    <x v="11"/>
    <x v="6"/>
    <x v="5"/>
    <x v="1"/>
    <s v="May"/>
    <x v="0"/>
    <x v="1900"/>
    <n v="3.9"/>
    <x v="1"/>
    <n v="4.2"/>
    <x v="68"/>
    <n v="967"/>
    <x v="1"/>
    <n v="79.8"/>
    <s v="Cloud Engineer"/>
    <n v="19.100000000000001"/>
    <n v="36.4"/>
    <x v="44"/>
    <n v="4.9000000000000004"/>
    <n v="8.1"/>
    <n v="7.3"/>
    <s v="Stable"/>
  </r>
  <r>
    <s v="T2131"/>
    <x v="12"/>
    <x v="0"/>
    <x v="3"/>
    <x v="1"/>
    <s v="Nov"/>
    <x v="0"/>
    <x v="1901"/>
    <n v="10.4"/>
    <x v="2"/>
    <n v="1.7"/>
    <x v="46"/>
    <n v="3629"/>
    <x v="0"/>
    <n v="78.5"/>
    <s v="ML Engineer"/>
    <n v="-10.6"/>
    <n v="3.3"/>
    <x v="418"/>
    <n v="1.9"/>
    <n v="5.5"/>
    <n v="5.6"/>
    <s v="Stable"/>
  </r>
  <r>
    <s v="T2132"/>
    <x v="10"/>
    <x v="3"/>
    <x v="2"/>
    <x v="1"/>
    <s v="Nov"/>
    <x v="0"/>
    <x v="531"/>
    <n v="17"/>
    <x v="0"/>
    <n v="1.7"/>
    <x v="32"/>
    <n v="4288"/>
    <x v="1"/>
    <n v="48.3"/>
    <s v="Data Scientist"/>
    <n v="76.099999999999994"/>
    <n v="27.3"/>
    <x v="1"/>
    <n v="1.3"/>
    <n v="6.5"/>
    <n v="6.9"/>
    <s v="Stable"/>
  </r>
  <r>
    <s v="T2133"/>
    <x v="5"/>
    <x v="3"/>
    <x v="2"/>
    <x v="0"/>
    <s v="Jan"/>
    <x v="2"/>
    <x v="1902"/>
    <n v="8.1"/>
    <x v="3"/>
    <n v="9.9"/>
    <x v="41"/>
    <n v="1485"/>
    <x v="1"/>
    <n v="36.5"/>
    <s v="Cloud Engineer"/>
    <n v="22"/>
    <n v="11.6"/>
    <x v="446"/>
    <n v="8.3000000000000007"/>
    <n v="6.9"/>
    <n v="7.1"/>
    <s v="Bull Market"/>
  </r>
  <r>
    <s v="T2134"/>
    <x v="2"/>
    <x v="3"/>
    <x v="5"/>
    <x v="2"/>
    <s v="Jun"/>
    <x v="2"/>
    <x v="712"/>
    <n v="2.5"/>
    <x v="1"/>
    <n v="7.2"/>
    <x v="88"/>
    <n v="3287"/>
    <x v="0"/>
    <n v="23.4"/>
    <s v="Cybersecurity Analyst"/>
    <n v="76.7"/>
    <n v="20.7"/>
    <x v="108"/>
    <n v="4.9000000000000004"/>
    <n v="8.9"/>
    <n v="8.6999999999999993"/>
    <s v="Bull Market"/>
  </r>
  <r>
    <s v="T2135"/>
    <x v="1"/>
    <x v="6"/>
    <x v="0"/>
    <x v="2"/>
    <s v="May"/>
    <x v="0"/>
    <x v="1903"/>
    <n v="10"/>
    <x v="1"/>
    <n v="4.0999999999999996"/>
    <x v="39"/>
    <n v="966"/>
    <x v="1"/>
    <n v="86"/>
    <s v="DevOps Engineer"/>
    <n v="85.3"/>
    <n v="49.5"/>
    <x v="377"/>
    <n v="2.4"/>
    <n v="5.8"/>
    <n v="8"/>
    <s v="Recession"/>
  </r>
  <r>
    <s v="T2136"/>
    <x v="8"/>
    <x v="4"/>
    <x v="2"/>
    <x v="2"/>
    <s v="Nov"/>
    <x v="1"/>
    <x v="798"/>
    <n v="5.5"/>
    <x v="4"/>
    <n v="3.8"/>
    <x v="56"/>
    <n v="4865"/>
    <x v="0"/>
    <n v="40.700000000000003"/>
    <s v="Product Manager"/>
    <n v="45.3"/>
    <n v="21.3"/>
    <x v="310"/>
    <n v="4.4000000000000004"/>
    <n v="6.2"/>
    <n v="7.8"/>
    <s v="Bull Market"/>
  </r>
  <r>
    <s v="T2137"/>
    <x v="1"/>
    <x v="4"/>
    <x v="5"/>
    <x v="0"/>
    <s v="May"/>
    <x v="2"/>
    <x v="1904"/>
    <n v="35.200000000000003"/>
    <x v="0"/>
    <n v="3.3"/>
    <x v="5"/>
    <n v="896"/>
    <x v="2"/>
    <n v="72.099999999999994"/>
    <s v="DevOps Engineer"/>
    <n v="67.599999999999994"/>
    <n v="32.799999999999997"/>
    <x v="246"/>
    <n v="3.9"/>
    <n v="4.9000000000000004"/>
    <n v="3.6"/>
    <s v="Recession"/>
  </r>
  <r>
    <s v="T2138"/>
    <x v="2"/>
    <x v="2"/>
    <x v="3"/>
    <x v="3"/>
    <s v="Nov"/>
    <x v="2"/>
    <x v="1905"/>
    <n v="6.3"/>
    <x v="0"/>
    <n v="12.1"/>
    <x v="14"/>
    <n v="2379"/>
    <x v="1"/>
    <n v="72.2"/>
    <s v="Cloud Engineer"/>
    <n v="-34.6"/>
    <n v="7.5"/>
    <x v="0"/>
    <n v="7.1"/>
    <n v="5.8"/>
    <n v="6.2"/>
    <s v="Stable"/>
  </r>
  <r>
    <s v="T2139"/>
    <x v="0"/>
    <x v="0"/>
    <x v="2"/>
    <x v="0"/>
    <s v="Mar"/>
    <x v="2"/>
    <x v="1906"/>
    <n v="14.2"/>
    <x v="0"/>
    <n v="4.3"/>
    <x v="28"/>
    <n v="9087"/>
    <x v="0"/>
    <n v="31.8"/>
    <s v="Data Scientist"/>
    <n v="54.4"/>
    <n v="25.7"/>
    <x v="81"/>
    <n v="6.3"/>
    <n v="6.1"/>
    <n v="5.9"/>
    <s v="Recession"/>
  </r>
  <r>
    <s v="T2140"/>
    <x v="0"/>
    <x v="1"/>
    <x v="5"/>
    <x v="1"/>
    <s v="Apr"/>
    <x v="1"/>
    <x v="1907"/>
    <n v="18.5"/>
    <x v="0"/>
    <n v="7.6"/>
    <x v="5"/>
    <n v="1590"/>
    <x v="1"/>
    <n v="11.6"/>
    <s v="Cybersecurity Analyst"/>
    <n v="65.099999999999994"/>
    <n v="20.3"/>
    <x v="406"/>
    <n v="7.8"/>
    <n v="6.7"/>
    <n v="4.5"/>
    <s v="Recession"/>
  </r>
  <r>
    <s v="T2141"/>
    <x v="8"/>
    <x v="6"/>
    <x v="2"/>
    <x v="3"/>
    <s v="Jan"/>
    <x v="0"/>
    <x v="1908"/>
    <n v="21.5"/>
    <x v="1"/>
    <n v="5.4"/>
    <x v="48"/>
    <n v="547"/>
    <x v="1"/>
    <n v="14.8"/>
    <s v="Frontend Developer"/>
    <n v="57.5"/>
    <n v="10.6"/>
    <x v="184"/>
    <n v="5.9"/>
    <n v="4.0999999999999996"/>
    <n v="5.0999999999999996"/>
    <s v="Recession"/>
  </r>
  <r>
    <s v="T2142"/>
    <x v="9"/>
    <x v="0"/>
    <x v="2"/>
    <x v="3"/>
    <s v="Mar"/>
    <x v="0"/>
    <x v="1909"/>
    <n v="4.3"/>
    <x v="3"/>
    <n v="8.1"/>
    <x v="5"/>
    <n v="2180"/>
    <x v="0"/>
    <n v="54.7"/>
    <s v="ML Engineer"/>
    <n v="43.2"/>
    <n v="38.1"/>
    <x v="409"/>
    <n v="9.4"/>
    <n v="5.8"/>
    <n v="7.3"/>
    <s v="Bull Market"/>
  </r>
  <r>
    <s v="T2143"/>
    <x v="2"/>
    <x v="5"/>
    <x v="0"/>
    <x v="3"/>
    <s v="Dec"/>
    <x v="2"/>
    <x v="1910"/>
    <n v="35"/>
    <x v="0"/>
    <n v="9.5"/>
    <x v="5"/>
    <n v="1793"/>
    <x v="1"/>
    <n v="54.4"/>
    <s v="Cloud Engineer"/>
    <n v="86.5"/>
    <n v="12.5"/>
    <x v="3"/>
    <n v="8.1999999999999993"/>
    <n v="5.8"/>
    <n v="2.4"/>
    <s v="Recession"/>
  </r>
  <r>
    <s v="T2144"/>
    <x v="3"/>
    <x v="1"/>
    <x v="0"/>
    <x v="1"/>
    <s v="Feb"/>
    <x v="2"/>
    <x v="1911"/>
    <n v="14.3"/>
    <x v="3"/>
    <n v="7.2"/>
    <x v="69"/>
    <n v="5544"/>
    <x v="0"/>
    <n v="80.900000000000006"/>
    <s v="Frontend Developer"/>
    <n v="70.3"/>
    <n v="-9"/>
    <x v="264"/>
    <n v="8.1999999999999993"/>
    <n v="6.2"/>
    <n v="4"/>
    <s v="Stable"/>
  </r>
  <r>
    <s v="T2145"/>
    <x v="19"/>
    <x v="0"/>
    <x v="2"/>
    <x v="2"/>
    <s v="Nov"/>
    <x v="0"/>
    <x v="1494"/>
    <n v="9.8000000000000007"/>
    <x v="4"/>
    <n v="9"/>
    <x v="5"/>
    <n v="8205"/>
    <x v="0"/>
    <n v="16.8"/>
    <s v="ML Engineer"/>
    <n v="-17"/>
    <n v="-1.7"/>
    <x v="100"/>
    <n v="9"/>
    <n v="4.5"/>
    <n v="5.2"/>
    <s v="Stable"/>
  </r>
  <r>
    <s v="T2146"/>
    <x v="1"/>
    <x v="0"/>
    <x v="1"/>
    <x v="3"/>
    <s v="Dec"/>
    <x v="0"/>
    <x v="1912"/>
    <n v="26.1"/>
    <x v="4"/>
    <n v="11.9"/>
    <x v="5"/>
    <n v="8403"/>
    <x v="0"/>
    <n v="45.7"/>
    <s v="ML Engineer"/>
    <n v="-17.7"/>
    <n v="8.6"/>
    <x v="127"/>
    <n v="9.3000000000000007"/>
    <n v="6.1"/>
    <n v="4.2"/>
    <s v="Recession"/>
  </r>
  <r>
    <s v="T2147"/>
    <x v="9"/>
    <x v="1"/>
    <x v="3"/>
    <x v="2"/>
    <s v="Mar"/>
    <x v="0"/>
    <x v="1913"/>
    <n v="3.1"/>
    <x v="3"/>
    <n v="2"/>
    <x v="58"/>
    <n v="4721"/>
    <x v="1"/>
    <n v="12.4"/>
    <s v="ML Engineer"/>
    <n v="63.5"/>
    <n v="-1.5"/>
    <x v="385"/>
    <n v="2.9"/>
    <n v="6.8"/>
    <n v="6.3"/>
    <s v="Bull Market"/>
  </r>
  <r>
    <s v="T2148"/>
    <x v="3"/>
    <x v="1"/>
    <x v="5"/>
    <x v="3"/>
    <s v="Jun"/>
    <x v="0"/>
    <x v="1914"/>
    <n v="5.3"/>
    <x v="4"/>
    <n v="1.3"/>
    <x v="88"/>
    <n v="5383"/>
    <x v="0"/>
    <n v="42.1"/>
    <s v="ML Engineer"/>
    <n v="35.6"/>
    <n v="-13.1"/>
    <x v="135"/>
    <n v="1"/>
    <n v="6.4"/>
    <n v="6.5"/>
    <s v="Bull Market"/>
  </r>
  <r>
    <s v="T2149"/>
    <x v="12"/>
    <x v="0"/>
    <x v="3"/>
    <x v="3"/>
    <s v="Apr"/>
    <x v="2"/>
    <x v="214"/>
    <n v="4.4000000000000004"/>
    <x v="4"/>
    <n v="9.6999999999999993"/>
    <x v="10"/>
    <n v="2338"/>
    <x v="0"/>
    <n v="73.400000000000006"/>
    <s v="Data Scientist"/>
    <n v="-0.4"/>
    <n v="47.6"/>
    <x v="357"/>
    <n v="7.6"/>
    <n v="7.5"/>
    <n v="7.3"/>
    <s v="Bull Market"/>
  </r>
  <r>
    <s v="T2150"/>
    <x v="6"/>
    <x v="1"/>
    <x v="1"/>
    <x v="2"/>
    <s v="Sep"/>
    <x v="0"/>
    <x v="1915"/>
    <n v="19.7"/>
    <x v="4"/>
    <n v="5.6"/>
    <x v="14"/>
    <n v="1736"/>
    <x v="1"/>
    <n v="62.6"/>
    <s v="Frontend Developer"/>
    <n v="53.1"/>
    <n v="-16.5"/>
    <x v="402"/>
    <n v="4.5999999999999996"/>
    <n v="6.5"/>
    <n v="2.9"/>
    <s v="Recession"/>
  </r>
  <r>
    <s v="T2151"/>
    <x v="2"/>
    <x v="5"/>
    <x v="2"/>
    <x v="0"/>
    <s v="Apr"/>
    <x v="1"/>
    <x v="1916"/>
    <n v="3.4"/>
    <x v="1"/>
    <n v="8.1999999999999993"/>
    <x v="18"/>
    <n v="2030"/>
    <x v="0"/>
    <n v="17.5"/>
    <s v="Frontend Developer"/>
    <n v="55.7"/>
    <n v="45.3"/>
    <x v="495"/>
    <n v="6.4"/>
    <n v="8"/>
    <n v="8.3000000000000007"/>
    <s v="Bull Market"/>
  </r>
  <r>
    <s v="T2152"/>
    <x v="12"/>
    <x v="5"/>
    <x v="2"/>
    <x v="3"/>
    <s v="Jan"/>
    <x v="1"/>
    <x v="1917"/>
    <n v="11.7"/>
    <x v="4"/>
    <n v="2.9"/>
    <x v="74"/>
    <n v="1188"/>
    <x v="1"/>
    <n v="47"/>
    <s v="Software Engineer"/>
    <n v="38.1"/>
    <n v="-7.1"/>
    <x v="335"/>
    <n v="2.2000000000000002"/>
    <n v="4.4000000000000004"/>
    <n v="5.0999999999999996"/>
    <s v="Stable"/>
  </r>
  <r>
    <s v="T2153"/>
    <x v="7"/>
    <x v="4"/>
    <x v="1"/>
    <x v="3"/>
    <s v="May"/>
    <x v="1"/>
    <x v="1918"/>
    <n v="13.8"/>
    <x v="0"/>
    <n v="5.0999999999999996"/>
    <x v="61"/>
    <n v="4808"/>
    <x v="0"/>
    <n v="66.8"/>
    <s v="DevOps Engineer"/>
    <n v="29"/>
    <n v="22"/>
    <x v="44"/>
    <n v="3.4"/>
    <n v="5"/>
    <n v="6.3"/>
    <s v="Stable"/>
  </r>
  <r>
    <s v="T2154"/>
    <x v="2"/>
    <x v="3"/>
    <x v="1"/>
    <x v="0"/>
    <s v="Mar"/>
    <x v="0"/>
    <x v="1919"/>
    <n v="9.3000000000000007"/>
    <x v="2"/>
    <n v="1.2"/>
    <x v="46"/>
    <n v="3176"/>
    <x v="1"/>
    <n v="76.099999999999994"/>
    <s v="Software Engineer"/>
    <n v="50.5"/>
    <n v="51.1"/>
    <x v="284"/>
    <n v="1.1000000000000001"/>
    <n v="8.5"/>
    <n v="7.1"/>
    <s v="Stable"/>
  </r>
  <r>
    <s v="T2155"/>
    <x v="3"/>
    <x v="1"/>
    <x v="4"/>
    <x v="2"/>
    <s v="Jul"/>
    <x v="2"/>
    <x v="1920"/>
    <n v="14.8"/>
    <x v="4"/>
    <n v="5.2"/>
    <x v="11"/>
    <n v="1707"/>
    <x v="1"/>
    <n v="87.6"/>
    <s v="Frontend Developer"/>
    <n v="-16.8"/>
    <n v="2.2999999999999998"/>
    <x v="127"/>
    <n v="3.1"/>
    <n v="4.2"/>
    <n v="4.8"/>
    <s v="Recession"/>
  </r>
  <r>
    <s v="T2156"/>
    <x v="8"/>
    <x v="6"/>
    <x v="1"/>
    <x v="3"/>
    <s v="Jan"/>
    <x v="2"/>
    <x v="1921"/>
    <n v="9.5"/>
    <x v="4"/>
    <n v="3.6"/>
    <x v="4"/>
    <n v="1576"/>
    <x v="1"/>
    <n v="46.9"/>
    <s v="Software Engineer"/>
    <n v="11.2"/>
    <n v="52.9"/>
    <x v="224"/>
    <n v="2.5"/>
    <n v="9.8000000000000007"/>
    <n v="7.2"/>
    <s v="Bull Market"/>
  </r>
  <r>
    <s v="T2157"/>
    <x v="1"/>
    <x v="0"/>
    <x v="5"/>
    <x v="3"/>
    <s v="Oct"/>
    <x v="2"/>
    <x v="1922"/>
    <n v="13.5"/>
    <x v="2"/>
    <n v="3.4"/>
    <x v="47"/>
    <n v="4243"/>
    <x v="0"/>
    <n v="45.6"/>
    <s v="ML Engineer"/>
    <n v="24.5"/>
    <n v="36.799999999999997"/>
    <x v="168"/>
    <n v="5.5"/>
    <n v="7.4"/>
    <n v="6.9"/>
    <s v="Stable"/>
  </r>
  <r>
    <s v="T2158"/>
    <x v="2"/>
    <x v="3"/>
    <x v="5"/>
    <x v="3"/>
    <s v="Sep"/>
    <x v="2"/>
    <x v="1923"/>
    <n v="25.3"/>
    <x v="0"/>
    <n v="7.1"/>
    <x v="5"/>
    <n v="1247"/>
    <x v="1"/>
    <n v="78.7"/>
    <s v="DevOps Engineer"/>
    <n v="49.8"/>
    <n v="50.1"/>
    <x v="420"/>
    <n v="4.7"/>
    <n v="7.8"/>
    <n v="5.4"/>
    <s v="Recession"/>
  </r>
  <r>
    <s v="T2159"/>
    <x v="1"/>
    <x v="1"/>
    <x v="2"/>
    <x v="3"/>
    <s v="Feb"/>
    <x v="1"/>
    <x v="1924"/>
    <n v="17.7"/>
    <x v="0"/>
    <n v="6.4"/>
    <x v="5"/>
    <n v="3324"/>
    <x v="0"/>
    <n v="11.1"/>
    <s v="ML Engineer"/>
    <n v="9.1"/>
    <n v="51.4"/>
    <x v="36"/>
    <n v="6.7"/>
    <n v="5.2"/>
    <n v="5.5"/>
    <s v="Stable"/>
  </r>
  <r>
    <s v="T2160"/>
    <x v="4"/>
    <x v="1"/>
    <x v="4"/>
    <x v="2"/>
    <s v="Jan"/>
    <x v="0"/>
    <x v="1925"/>
    <n v="5.8"/>
    <x v="1"/>
    <n v="8.4"/>
    <x v="5"/>
    <n v="3435"/>
    <x v="0"/>
    <n v="84.3"/>
    <s v="Software Engineer"/>
    <n v="-5.0999999999999996"/>
    <n v="22.8"/>
    <x v="14"/>
    <n v="9.8000000000000007"/>
    <n v="7.5"/>
    <n v="7"/>
    <s v="Bull Market"/>
  </r>
  <r>
    <s v="T2161"/>
    <x v="3"/>
    <x v="1"/>
    <x v="3"/>
    <x v="2"/>
    <s v="Dec"/>
    <x v="0"/>
    <x v="1926"/>
    <n v="5.6"/>
    <x v="3"/>
    <n v="6.5"/>
    <x v="28"/>
    <n v="4626"/>
    <x v="0"/>
    <n v="84.6"/>
    <s v="Frontend Developer"/>
    <n v="24.7"/>
    <n v="12.5"/>
    <x v="397"/>
    <n v="3.9"/>
    <n v="5.4"/>
    <n v="5.7"/>
    <s v="Stable"/>
  </r>
  <r>
    <s v="T2162"/>
    <x v="0"/>
    <x v="0"/>
    <x v="1"/>
    <x v="0"/>
    <s v="Jan"/>
    <x v="2"/>
    <x v="1927"/>
    <n v="5.7"/>
    <x v="4"/>
    <n v="4.3"/>
    <x v="27"/>
    <n v="9442"/>
    <x v="3"/>
    <n v="63.4"/>
    <s v="ML Engineer"/>
    <n v="14.9"/>
    <n v="17.7"/>
    <x v="396"/>
    <n v="6.1"/>
    <n v="7.5"/>
    <n v="6.3"/>
    <s v="Stable"/>
  </r>
  <r>
    <s v="T2163"/>
    <x v="0"/>
    <x v="0"/>
    <x v="5"/>
    <x v="1"/>
    <s v="Apr"/>
    <x v="0"/>
    <x v="1928"/>
    <n v="3.1"/>
    <x v="1"/>
    <n v="14.7"/>
    <x v="5"/>
    <n v="8619"/>
    <x v="3"/>
    <n v="83.2"/>
    <s v="ML Engineer"/>
    <n v="3.6"/>
    <n v="49.1"/>
    <x v="428"/>
    <n v="9.6"/>
    <n v="9"/>
    <n v="6.6"/>
    <s v="Stable"/>
  </r>
  <r>
    <s v="T2164"/>
    <x v="0"/>
    <x v="2"/>
    <x v="1"/>
    <x v="3"/>
    <s v="Nov"/>
    <x v="0"/>
    <x v="1929"/>
    <n v="33.299999999999997"/>
    <x v="0"/>
    <n v="5.9"/>
    <x v="5"/>
    <n v="881"/>
    <x v="2"/>
    <n v="14.4"/>
    <s v="Product Manager"/>
    <n v="5.4"/>
    <n v="-4.9000000000000004"/>
    <x v="93"/>
    <n v="7.6"/>
    <n v="6"/>
    <n v="2.2000000000000002"/>
    <s v="Recession"/>
  </r>
  <r>
    <s v="T2165"/>
    <x v="6"/>
    <x v="2"/>
    <x v="3"/>
    <x v="3"/>
    <s v="May"/>
    <x v="2"/>
    <x v="1930"/>
    <n v="7.1"/>
    <x v="3"/>
    <n v="9.9"/>
    <x v="17"/>
    <n v="682"/>
    <x v="0"/>
    <n v="71"/>
    <s v="Cloud Engineer"/>
    <n v="14.9"/>
    <n v="57.6"/>
    <x v="468"/>
    <n v="6.4"/>
    <n v="7.2"/>
    <n v="6.7"/>
    <s v="Bull Market"/>
  </r>
  <r>
    <s v="T2166"/>
    <x v="2"/>
    <x v="3"/>
    <x v="0"/>
    <x v="1"/>
    <s v="Jan"/>
    <x v="1"/>
    <x v="1931"/>
    <n v="11.4"/>
    <x v="2"/>
    <n v="2.4"/>
    <x v="47"/>
    <n v="1575"/>
    <x v="1"/>
    <n v="45.2"/>
    <s v="DevOps Engineer"/>
    <n v="14.2"/>
    <n v="15.9"/>
    <x v="5"/>
    <n v="1.5"/>
    <n v="8.5"/>
    <n v="6.2"/>
    <s v="Recession"/>
  </r>
  <r>
    <s v="T2167"/>
    <x v="16"/>
    <x v="2"/>
    <x v="1"/>
    <x v="3"/>
    <s v="Aug"/>
    <x v="2"/>
    <x v="1932"/>
    <n v="3.8"/>
    <x v="2"/>
    <n v="4.4000000000000004"/>
    <x v="44"/>
    <n v="4507"/>
    <x v="0"/>
    <n v="75.7"/>
    <s v="Cloud Engineer"/>
    <n v="43.8"/>
    <n v="49"/>
    <x v="381"/>
    <n v="3.5"/>
    <n v="7"/>
    <n v="8.5"/>
    <s v="Bull Market"/>
  </r>
  <r>
    <s v="T2168"/>
    <x v="12"/>
    <x v="0"/>
    <x v="5"/>
    <x v="0"/>
    <s v="Mar"/>
    <x v="0"/>
    <x v="185"/>
    <n v="8"/>
    <x v="4"/>
    <n v="6.1"/>
    <x v="85"/>
    <n v="4974"/>
    <x v="0"/>
    <n v="86"/>
    <s v="ML Engineer"/>
    <n v="-31.4"/>
    <n v="25.7"/>
    <x v="473"/>
    <n v="5.3"/>
    <n v="7"/>
    <n v="7.2"/>
    <s v="Bull Market"/>
  </r>
  <r>
    <s v="T2169"/>
    <x v="2"/>
    <x v="5"/>
    <x v="0"/>
    <x v="0"/>
    <s v="Sep"/>
    <x v="0"/>
    <x v="1933"/>
    <n v="10.4"/>
    <x v="1"/>
    <n v="7.7"/>
    <x v="5"/>
    <n v="1445"/>
    <x v="0"/>
    <n v="54.1"/>
    <s v="Cloud Engineer"/>
    <n v="34.1"/>
    <n v="8.5"/>
    <x v="185"/>
    <n v="8"/>
    <n v="5.5"/>
    <n v="5.0999999999999996"/>
    <s v="Recession"/>
  </r>
  <r>
    <s v="T2170"/>
    <x v="2"/>
    <x v="5"/>
    <x v="4"/>
    <x v="2"/>
    <s v="Feb"/>
    <x v="2"/>
    <x v="1934"/>
    <n v="5.6"/>
    <x v="2"/>
    <n v="8"/>
    <x v="76"/>
    <n v="5146"/>
    <x v="0"/>
    <n v="21.3"/>
    <s v="Software Engineer"/>
    <n v="16.3"/>
    <n v="-6.3"/>
    <x v="167"/>
    <n v="6.1"/>
    <n v="8.3000000000000007"/>
    <n v="5.6"/>
    <s v="Bull Market"/>
  </r>
  <r>
    <s v="T2171"/>
    <x v="18"/>
    <x v="0"/>
    <x v="0"/>
    <x v="1"/>
    <s v="Jun"/>
    <x v="2"/>
    <x v="1538"/>
    <n v="21.7"/>
    <x v="3"/>
    <n v="9.9"/>
    <x v="5"/>
    <n v="1279"/>
    <x v="2"/>
    <n v="42.4"/>
    <s v="ML Engineer"/>
    <n v="-25.1"/>
    <n v="18.5"/>
    <x v="255"/>
    <n v="8.1999999999999993"/>
    <n v="4.5"/>
    <n v="4.7"/>
    <s v="Recession"/>
  </r>
  <r>
    <s v="T2172"/>
    <x v="10"/>
    <x v="3"/>
    <x v="5"/>
    <x v="0"/>
    <s v="Sep"/>
    <x v="0"/>
    <x v="752"/>
    <n v="31.8"/>
    <x v="1"/>
    <n v="9.1"/>
    <x v="5"/>
    <n v="1476"/>
    <x v="2"/>
    <n v="85.3"/>
    <s v="Cybersecurity Analyst"/>
    <n v="14.6"/>
    <n v="24.4"/>
    <x v="369"/>
    <n v="8"/>
    <n v="3.8"/>
    <n v="3.8"/>
    <s v="Recession"/>
  </r>
  <r>
    <s v="T2173"/>
    <x v="1"/>
    <x v="1"/>
    <x v="3"/>
    <x v="0"/>
    <s v="Apr"/>
    <x v="2"/>
    <x v="1429"/>
    <n v="4.2"/>
    <x v="2"/>
    <n v="6.7"/>
    <x v="65"/>
    <n v="672"/>
    <x v="1"/>
    <n v="71"/>
    <s v="ML Engineer"/>
    <n v="8"/>
    <n v="18.899999999999999"/>
    <x v="260"/>
    <n v="5.3"/>
    <n v="8.1"/>
    <n v="5.7"/>
    <s v="Bull Market"/>
  </r>
  <r>
    <s v="T2174"/>
    <x v="10"/>
    <x v="3"/>
    <x v="1"/>
    <x v="0"/>
    <s v="May"/>
    <x v="1"/>
    <x v="1935"/>
    <n v="6.1"/>
    <x v="0"/>
    <n v="8.9"/>
    <x v="84"/>
    <n v="3457"/>
    <x v="0"/>
    <n v="16.3"/>
    <s v="Software Engineer"/>
    <n v="-28.4"/>
    <n v="37.4"/>
    <x v="259"/>
    <n v="7.4"/>
    <n v="5.7"/>
    <n v="7.6"/>
    <s v="Bull Market"/>
  </r>
  <r>
    <s v="T2175"/>
    <x v="2"/>
    <x v="5"/>
    <x v="0"/>
    <x v="2"/>
    <s v="Aug"/>
    <x v="2"/>
    <x v="1936"/>
    <n v="17.600000000000001"/>
    <x v="0"/>
    <n v="8.4"/>
    <x v="82"/>
    <n v="1282"/>
    <x v="1"/>
    <n v="21"/>
    <s v="Cybersecurity Analyst"/>
    <n v="8.6"/>
    <n v="16.5"/>
    <x v="60"/>
    <n v="5.2"/>
    <n v="5.7"/>
    <n v="5.3"/>
    <s v="Recession"/>
  </r>
  <r>
    <s v="T2176"/>
    <x v="1"/>
    <x v="0"/>
    <x v="5"/>
    <x v="1"/>
    <s v="May"/>
    <x v="1"/>
    <x v="1937"/>
    <n v="8.1"/>
    <x v="2"/>
    <n v="4.5"/>
    <x v="41"/>
    <n v="5605"/>
    <x v="0"/>
    <n v="86.2"/>
    <s v="ML Engineer"/>
    <n v="-31.2"/>
    <n v="24.4"/>
    <x v="43"/>
    <n v="5.9"/>
    <n v="7.5"/>
    <n v="6.8"/>
    <s v="Stable"/>
  </r>
  <r>
    <s v="T2177"/>
    <x v="9"/>
    <x v="1"/>
    <x v="0"/>
    <x v="3"/>
    <s v="Dec"/>
    <x v="2"/>
    <x v="1925"/>
    <n v="7.9"/>
    <x v="4"/>
    <n v="3.4"/>
    <x v="40"/>
    <n v="5697"/>
    <x v="0"/>
    <n v="64.7"/>
    <s v="Product Manager"/>
    <n v="64.900000000000006"/>
    <n v="11.1"/>
    <x v="423"/>
    <n v="2.7"/>
    <n v="6.2"/>
    <n v="7.2"/>
    <s v="Bull Market"/>
  </r>
  <r>
    <s v="T2178"/>
    <x v="10"/>
    <x v="3"/>
    <x v="0"/>
    <x v="3"/>
    <s v="Nov"/>
    <x v="2"/>
    <x v="669"/>
    <n v="0.7"/>
    <x v="0"/>
    <n v="7.1"/>
    <x v="75"/>
    <n v="4874"/>
    <x v="0"/>
    <n v="14.1"/>
    <s v="Software Engineer"/>
    <n v="36.6"/>
    <n v="17.899999999999999"/>
    <x v="79"/>
    <n v="5.4"/>
    <n v="6.8"/>
    <n v="7.2"/>
    <s v="Bull Market"/>
  </r>
  <r>
    <s v="T2179"/>
    <x v="2"/>
    <x v="2"/>
    <x v="2"/>
    <x v="0"/>
    <s v="Jan"/>
    <x v="2"/>
    <x v="1938"/>
    <n v="25.6"/>
    <x v="0"/>
    <n v="8"/>
    <x v="5"/>
    <n v="841"/>
    <x v="1"/>
    <n v="72.3"/>
    <s v="DevOps Engineer"/>
    <n v="60.6"/>
    <n v="53.1"/>
    <x v="131"/>
    <n v="5.4"/>
    <n v="6.7"/>
    <n v="5.3"/>
    <s v="Recession"/>
  </r>
  <r>
    <s v="T2180"/>
    <x v="0"/>
    <x v="0"/>
    <x v="1"/>
    <x v="1"/>
    <s v="May"/>
    <x v="1"/>
    <x v="1939"/>
    <n v="4.4000000000000004"/>
    <x v="4"/>
    <n v="2"/>
    <x v="88"/>
    <n v="7937"/>
    <x v="0"/>
    <n v="17.899999999999999"/>
    <s v="ML Engineer"/>
    <n v="2.2000000000000002"/>
    <n v="45.7"/>
    <x v="256"/>
    <n v="1.5"/>
    <n v="9.9"/>
    <n v="7.5"/>
    <s v="Bull Market"/>
  </r>
  <r>
    <s v="T2181"/>
    <x v="5"/>
    <x v="3"/>
    <x v="0"/>
    <x v="0"/>
    <s v="Jan"/>
    <x v="1"/>
    <x v="1940"/>
    <n v="0.2"/>
    <x v="4"/>
    <n v="13.3"/>
    <x v="75"/>
    <n v="548"/>
    <x v="0"/>
    <n v="18.5"/>
    <s v="Data Scientist"/>
    <n v="-18.600000000000001"/>
    <n v="12.9"/>
    <x v="281"/>
    <n v="8"/>
    <n v="7.2"/>
    <n v="7.5"/>
    <s v="Bull Market"/>
  </r>
  <r>
    <s v="T2182"/>
    <x v="1"/>
    <x v="4"/>
    <x v="5"/>
    <x v="3"/>
    <s v="Oct"/>
    <x v="0"/>
    <x v="1838"/>
    <n v="16.399999999999999"/>
    <x v="3"/>
    <n v="5.3"/>
    <x v="3"/>
    <n v="1638"/>
    <x v="1"/>
    <n v="20.100000000000001"/>
    <s v="Data Scientist"/>
    <n v="41.4"/>
    <n v="-23"/>
    <x v="404"/>
    <n v="5.2"/>
    <n v="3.4"/>
    <n v="4.0999999999999996"/>
    <s v="Recession"/>
  </r>
  <r>
    <s v="T2183"/>
    <x v="17"/>
    <x v="0"/>
    <x v="0"/>
    <x v="0"/>
    <s v="May"/>
    <x v="0"/>
    <x v="1941"/>
    <n v="4"/>
    <x v="2"/>
    <n v="6.8"/>
    <x v="83"/>
    <n v="4548"/>
    <x v="0"/>
    <n v="68.3"/>
    <s v="ML Engineer"/>
    <n v="-13.6"/>
    <n v="29.1"/>
    <x v="158"/>
    <n v="5.2"/>
    <n v="6"/>
    <n v="7.9"/>
    <s v="Bull Market"/>
  </r>
  <r>
    <s v="T2184"/>
    <x v="2"/>
    <x v="2"/>
    <x v="1"/>
    <x v="1"/>
    <s v="Dec"/>
    <x v="2"/>
    <x v="1942"/>
    <n v="39.700000000000003"/>
    <x v="4"/>
    <n v="9.1999999999999993"/>
    <x v="5"/>
    <n v="928"/>
    <x v="2"/>
    <n v="30.1"/>
    <s v="ML Engineer"/>
    <n v="43.6"/>
    <n v="-14.7"/>
    <x v="332"/>
    <n v="7.5"/>
    <n v="4.5"/>
    <n v="1"/>
    <s v="Recession"/>
  </r>
  <r>
    <s v="T2185"/>
    <x v="3"/>
    <x v="1"/>
    <x v="2"/>
    <x v="1"/>
    <s v="May"/>
    <x v="0"/>
    <x v="1943"/>
    <n v="1.6"/>
    <x v="2"/>
    <n v="3.6"/>
    <x v="62"/>
    <n v="5013"/>
    <x v="0"/>
    <n v="76"/>
    <s v="ML Engineer"/>
    <n v="-14.6"/>
    <n v="3.3"/>
    <x v="496"/>
    <n v="3.4"/>
    <n v="7.2"/>
    <n v="7.3"/>
    <s v="Bull Market"/>
  </r>
  <r>
    <s v="T2186"/>
    <x v="17"/>
    <x v="3"/>
    <x v="0"/>
    <x v="1"/>
    <s v="Sep"/>
    <x v="0"/>
    <x v="1944"/>
    <n v="18.899999999999999"/>
    <x v="3"/>
    <n v="5.9"/>
    <x v="5"/>
    <n v="655"/>
    <x v="1"/>
    <n v="16.399999999999999"/>
    <s v="ML Engineer"/>
    <n v="-14.6"/>
    <n v="30.7"/>
    <x v="447"/>
    <n v="5.3"/>
    <n v="4.7"/>
    <n v="5.0999999999999996"/>
    <s v="Recession"/>
  </r>
  <r>
    <s v="T2187"/>
    <x v="9"/>
    <x v="0"/>
    <x v="2"/>
    <x v="3"/>
    <s v="Feb"/>
    <x v="2"/>
    <x v="1394"/>
    <n v="0.3"/>
    <x v="1"/>
    <n v="7.1"/>
    <x v="56"/>
    <n v="9992"/>
    <x v="3"/>
    <n v="37.4"/>
    <s v="Data Scientist"/>
    <n v="0"/>
    <n v="51.5"/>
    <x v="497"/>
    <n v="6.7"/>
    <n v="10"/>
    <n v="8.9"/>
    <s v="Bull Market"/>
  </r>
  <r>
    <s v="T2188"/>
    <x v="19"/>
    <x v="0"/>
    <x v="2"/>
    <x v="2"/>
    <s v="Nov"/>
    <x v="1"/>
    <x v="1945"/>
    <n v="12.5"/>
    <x v="1"/>
    <n v="9.9"/>
    <x v="5"/>
    <n v="7425"/>
    <x v="3"/>
    <n v="48"/>
    <s v="Data Scientist"/>
    <n v="-9.1"/>
    <n v="45.1"/>
    <x v="124"/>
    <n v="9.6999999999999993"/>
    <n v="6.3"/>
    <n v="6.8"/>
    <s v="Stable"/>
  </r>
  <r>
    <s v="T2189"/>
    <x v="10"/>
    <x v="3"/>
    <x v="4"/>
    <x v="0"/>
    <s v="May"/>
    <x v="0"/>
    <x v="1946"/>
    <n v="7.2"/>
    <x v="3"/>
    <n v="1.2"/>
    <x v="72"/>
    <n v="4143"/>
    <x v="1"/>
    <n v="55"/>
    <s v="Cloud Engineer"/>
    <n v="5"/>
    <n v="12.1"/>
    <x v="316"/>
    <n v="1.6"/>
    <n v="7.5"/>
    <n v="7.1"/>
    <s v="Bull Market"/>
  </r>
  <r>
    <s v="T2190"/>
    <x v="2"/>
    <x v="2"/>
    <x v="2"/>
    <x v="2"/>
    <s v="Dec"/>
    <x v="2"/>
    <x v="1947"/>
    <n v="31.4"/>
    <x v="0"/>
    <n v="13.2"/>
    <x v="5"/>
    <n v="1472"/>
    <x v="1"/>
    <n v="42.9"/>
    <s v="Frontend Developer"/>
    <n v="35.700000000000003"/>
    <n v="0.3"/>
    <x v="426"/>
    <n v="7.9"/>
    <n v="6.1"/>
    <n v="2.2000000000000002"/>
    <s v="Recession"/>
  </r>
  <r>
    <s v="T2191"/>
    <x v="6"/>
    <x v="1"/>
    <x v="1"/>
    <x v="1"/>
    <s v="Jan"/>
    <x v="0"/>
    <x v="1948"/>
    <n v="30.4"/>
    <x v="3"/>
    <n v="6.9"/>
    <x v="5"/>
    <n v="1662"/>
    <x v="1"/>
    <n v="80.400000000000006"/>
    <s v="Data Scientist"/>
    <n v="79.099999999999994"/>
    <n v="26"/>
    <x v="237"/>
    <n v="9.4"/>
    <n v="4.7"/>
    <n v="3"/>
    <s v="Recession"/>
  </r>
  <r>
    <s v="T2192"/>
    <x v="11"/>
    <x v="6"/>
    <x v="5"/>
    <x v="0"/>
    <s v="Apr"/>
    <x v="2"/>
    <x v="1949"/>
    <n v="1.6"/>
    <x v="2"/>
    <n v="2.4"/>
    <x v="56"/>
    <n v="915"/>
    <x v="1"/>
    <n v="77"/>
    <s v="DevOps Engineer"/>
    <n v="67.3"/>
    <n v="51"/>
    <x v="194"/>
    <n v="3.9"/>
    <n v="8.1999999999999993"/>
    <n v="8"/>
    <s v="Stable"/>
  </r>
  <r>
    <s v="T2193"/>
    <x v="1"/>
    <x v="0"/>
    <x v="3"/>
    <x v="2"/>
    <s v="Oct"/>
    <x v="1"/>
    <x v="1950"/>
    <n v="1.6"/>
    <x v="2"/>
    <n v="2.5"/>
    <x v="70"/>
    <n v="4190"/>
    <x v="1"/>
    <n v="31.5"/>
    <s v="Data Scientist"/>
    <n v="75.400000000000006"/>
    <n v="2.1"/>
    <x v="77"/>
    <n v="2.4"/>
    <n v="5"/>
    <n v="7"/>
    <s v="Stable"/>
  </r>
  <r>
    <s v="T2194"/>
    <x v="6"/>
    <x v="2"/>
    <x v="4"/>
    <x v="0"/>
    <s v="Jul"/>
    <x v="1"/>
    <x v="1951"/>
    <n v="0.1"/>
    <x v="2"/>
    <n v="3"/>
    <x v="59"/>
    <n v="712"/>
    <x v="1"/>
    <n v="48.7"/>
    <s v="Cybersecurity Analyst"/>
    <n v="-4.7"/>
    <n v="49"/>
    <x v="205"/>
    <n v="2.2000000000000002"/>
    <n v="10"/>
    <n v="9.6999999999999993"/>
    <s v="Bull Market"/>
  </r>
  <r>
    <s v="T2195"/>
    <x v="8"/>
    <x v="4"/>
    <x v="1"/>
    <x v="0"/>
    <s v="Nov"/>
    <x v="2"/>
    <x v="1952"/>
    <n v="11.3"/>
    <x v="0"/>
    <n v="5.3"/>
    <x v="83"/>
    <n v="3438"/>
    <x v="1"/>
    <n v="23.1"/>
    <s v="DevOps Engineer"/>
    <n v="-33.299999999999997"/>
    <n v="33.799999999999997"/>
    <x v="297"/>
    <n v="3.1"/>
    <n v="6.8"/>
    <n v="7.5"/>
    <s v="Stable"/>
  </r>
  <r>
    <s v="T2196"/>
    <x v="0"/>
    <x v="0"/>
    <x v="3"/>
    <x v="2"/>
    <s v="Nov"/>
    <x v="1"/>
    <x v="1953"/>
    <n v="16.2"/>
    <x v="3"/>
    <n v="9.6"/>
    <x v="27"/>
    <n v="3900"/>
    <x v="0"/>
    <n v="34.1"/>
    <s v="Data Scientist"/>
    <n v="23.8"/>
    <n v="30.9"/>
    <x v="426"/>
    <n v="8.4"/>
    <n v="6"/>
    <n v="5.0999999999999996"/>
    <s v="Stable"/>
  </r>
  <r>
    <s v="T2197"/>
    <x v="8"/>
    <x v="6"/>
    <x v="0"/>
    <x v="0"/>
    <s v="Jun"/>
    <x v="0"/>
    <x v="1407"/>
    <n v="5.9"/>
    <x v="0"/>
    <n v="5.2"/>
    <x v="73"/>
    <n v="4466"/>
    <x v="0"/>
    <n v="42.3"/>
    <s v="Product Manager"/>
    <n v="-28"/>
    <n v="-12.8"/>
    <x v="239"/>
    <n v="4.5999999999999996"/>
    <n v="4.5999999999999996"/>
    <n v="4.7"/>
    <s v="Bull Market"/>
  </r>
  <r>
    <s v="T2198"/>
    <x v="0"/>
    <x v="2"/>
    <x v="2"/>
    <x v="2"/>
    <s v="Jul"/>
    <x v="1"/>
    <x v="1954"/>
    <n v="2.1"/>
    <x v="2"/>
    <n v="8.6"/>
    <x v="39"/>
    <n v="2590"/>
    <x v="0"/>
    <n v="63.8"/>
    <s v="DevOps Engineer"/>
    <n v="83.9"/>
    <n v="59"/>
    <x v="48"/>
    <n v="5.0999999999999996"/>
    <n v="8.9"/>
    <n v="8.3000000000000007"/>
    <s v="Stable"/>
  </r>
  <r>
    <s v="T2199"/>
    <x v="19"/>
    <x v="0"/>
    <x v="1"/>
    <x v="1"/>
    <s v="Apr"/>
    <x v="2"/>
    <x v="1955"/>
    <n v="9.1999999999999993"/>
    <x v="1"/>
    <n v="4.3"/>
    <x v="72"/>
    <n v="3010"/>
    <x v="1"/>
    <n v="43.4"/>
    <s v="Data Scientist"/>
    <n v="52.2"/>
    <n v="26.1"/>
    <x v="265"/>
    <n v="2.8"/>
    <n v="7.5"/>
    <n v="6.1"/>
    <s v="Bull Market"/>
  </r>
  <r>
    <s v="T2200"/>
    <x v="8"/>
    <x v="6"/>
    <x v="1"/>
    <x v="0"/>
    <s v="Mar"/>
    <x v="2"/>
    <x v="632"/>
    <n v="2"/>
    <x v="3"/>
    <n v="2.2000000000000002"/>
    <x v="83"/>
    <n v="5688"/>
    <x v="0"/>
    <n v="40.9"/>
    <s v="DevOps Engineer"/>
    <n v="4.8"/>
    <n v="7"/>
    <x v="322"/>
    <n v="3.6"/>
    <n v="6.4"/>
    <n v="6.3"/>
    <s v="Stable"/>
  </r>
  <r>
    <s v="T2201"/>
    <x v="4"/>
    <x v="0"/>
    <x v="3"/>
    <x v="2"/>
    <s v="Jul"/>
    <x v="1"/>
    <x v="1956"/>
    <n v="8.1"/>
    <x v="3"/>
    <n v="2.9"/>
    <x v="61"/>
    <n v="2582"/>
    <x v="1"/>
    <n v="59.5"/>
    <s v="ML Engineer"/>
    <n v="55.1"/>
    <n v="-4.9000000000000004"/>
    <x v="196"/>
    <n v="2.7"/>
    <n v="7.6"/>
    <n v="6"/>
    <s v="Stable"/>
  </r>
  <r>
    <s v="T2202"/>
    <x v="2"/>
    <x v="2"/>
    <x v="1"/>
    <x v="2"/>
    <s v="Apr"/>
    <x v="0"/>
    <x v="1957"/>
    <n v="1.9"/>
    <x v="0"/>
    <n v="10.3"/>
    <x v="73"/>
    <n v="392"/>
    <x v="1"/>
    <n v="22.5"/>
    <s v="Frontend Developer"/>
    <n v="48.8"/>
    <n v="32"/>
    <x v="106"/>
    <n v="6.4"/>
    <n v="6.1"/>
    <n v="7.4"/>
    <s v="Stable"/>
  </r>
  <r>
    <s v="T2203"/>
    <x v="0"/>
    <x v="1"/>
    <x v="5"/>
    <x v="2"/>
    <s v="May"/>
    <x v="0"/>
    <x v="1087"/>
    <n v="7.8"/>
    <x v="3"/>
    <n v="4.8"/>
    <x v="61"/>
    <n v="5438"/>
    <x v="0"/>
    <n v="22.2"/>
    <s v="Cybersecurity Analyst"/>
    <n v="-39.799999999999997"/>
    <n v="27.4"/>
    <x v="305"/>
    <n v="3.2"/>
    <n v="6.8"/>
    <n v="7"/>
    <s v="Bull Market"/>
  </r>
  <r>
    <s v="T2204"/>
    <x v="10"/>
    <x v="3"/>
    <x v="2"/>
    <x v="0"/>
    <s v="Jun"/>
    <x v="0"/>
    <x v="1958"/>
    <n v="35.1"/>
    <x v="1"/>
    <n v="6"/>
    <x v="5"/>
    <n v="1760"/>
    <x v="2"/>
    <n v="85.8"/>
    <s v="Software Engineer"/>
    <n v="33.4"/>
    <n v="20.6"/>
    <x v="36"/>
    <n v="6.7"/>
    <n v="4.5"/>
    <n v="4.0999999999999996"/>
    <s v="Recession"/>
  </r>
  <r>
    <s v="T2205"/>
    <x v="10"/>
    <x v="3"/>
    <x v="2"/>
    <x v="2"/>
    <s v="May"/>
    <x v="2"/>
    <x v="1908"/>
    <n v="35.6"/>
    <x v="1"/>
    <n v="2.4"/>
    <x v="28"/>
    <n v="1631"/>
    <x v="2"/>
    <n v="42"/>
    <s v="ML Engineer"/>
    <n v="77.7"/>
    <n v="31.3"/>
    <x v="21"/>
    <n v="2"/>
    <n v="5.4"/>
    <n v="4"/>
    <s v="Recession"/>
  </r>
  <r>
    <s v="T2206"/>
    <x v="6"/>
    <x v="1"/>
    <x v="3"/>
    <x v="1"/>
    <s v="Feb"/>
    <x v="1"/>
    <x v="623"/>
    <n v="8.4"/>
    <x v="2"/>
    <n v="6.5"/>
    <x v="68"/>
    <n v="1151"/>
    <x v="1"/>
    <n v="53.5"/>
    <s v="Cybersecurity Analyst"/>
    <n v="58.7"/>
    <n v="-6.6"/>
    <x v="176"/>
    <n v="5.5"/>
    <n v="7.8"/>
    <n v="4.9000000000000004"/>
    <s v="Bull Market"/>
  </r>
  <r>
    <s v="T2207"/>
    <x v="1"/>
    <x v="4"/>
    <x v="4"/>
    <x v="2"/>
    <s v="Apr"/>
    <x v="1"/>
    <x v="1959"/>
    <n v="26.1"/>
    <x v="1"/>
    <n v="5"/>
    <x v="26"/>
    <n v="1654"/>
    <x v="2"/>
    <n v="25.3"/>
    <s v="Frontend Developer"/>
    <n v="5.8"/>
    <n v="51.8"/>
    <x v="305"/>
    <n v="3.1"/>
    <n v="5.0999999999999996"/>
    <n v="5.9"/>
    <s v="Recession"/>
  </r>
  <r>
    <s v="T2208"/>
    <x v="1"/>
    <x v="1"/>
    <x v="0"/>
    <x v="2"/>
    <s v="Sep"/>
    <x v="1"/>
    <x v="270"/>
    <n v="1.9"/>
    <x v="2"/>
    <n v="6"/>
    <x v="8"/>
    <n v="5262"/>
    <x v="0"/>
    <n v="50.5"/>
    <s v="Frontend Developer"/>
    <n v="21.2"/>
    <n v="21.7"/>
    <x v="452"/>
    <n v="9.6"/>
    <n v="5.5"/>
    <n v="7.8"/>
    <s v="Bull Market"/>
  </r>
  <r>
    <s v="T2209"/>
    <x v="12"/>
    <x v="0"/>
    <x v="1"/>
    <x v="2"/>
    <s v="May"/>
    <x v="1"/>
    <x v="1960"/>
    <n v="13.4"/>
    <x v="3"/>
    <n v="10.8"/>
    <x v="5"/>
    <n v="4111"/>
    <x v="0"/>
    <n v="38.700000000000003"/>
    <s v="Data Scientist"/>
    <n v="38.1"/>
    <n v="-7.5"/>
    <x v="201"/>
    <n v="8.1"/>
    <n v="4.4000000000000004"/>
    <n v="5.4"/>
    <s v="Stable"/>
  </r>
  <r>
    <s v="T2210"/>
    <x v="1"/>
    <x v="0"/>
    <x v="0"/>
    <x v="3"/>
    <s v="Apr"/>
    <x v="1"/>
    <x v="1961"/>
    <n v="4.0999999999999996"/>
    <x v="4"/>
    <n v="4.3"/>
    <x v="18"/>
    <n v="5266"/>
    <x v="0"/>
    <n v="33.1"/>
    <s v="ML Engineer"/>
    <n v="27.9"/>
    <n v="-23.2"/>
    <x v="299"/>
    <n v="5.7"/>
    <n v="6.6"/>
    <n v="4.8"/>
    <s v="Bull Market"/>
  </r>
  <r>
    <s v="T2211"/>
    <x v="3"/>
    <x v="1"/>
    <x v="5"/>
    <x v="3"/>
    <s v="Apr"/>
    <x v="2"/>
    <x v="1962"/>
    <n v="5.0999999999999996"/>
    <x v="0"/>
    <n v="6.2"/>
    <x v="32"/>
    <n v="2701"/>
    <x v="0"/>
    <n v="35.299999999999997"/>
    <s v="Software Engineer"/>
    <n v="60.3"/>
    <n v="45.6"/>
    <x v="118"/>
    <n v="7.3"/>
    <n v="9.1"/>
    <n v="7.5"/>
    <s v="Stable"/>
  </r>
  <r>
    <s v="T2212"/>
    <x v="1"/>
    <x v="6"/>
    <x v="4"/>
    <x v="2"/>
    <s v="Sep"/>
    <x v="2"/>
    <x v="1963"/>
    <n v="1.6"/>
    <x v="4"/>
    <n v="5.4"/>
    <x v="52"/>
    <n v="4442"/>
    <x v="0"/>
    <n v="11.1"/>
    <s v="Cybersecurity Analyst"/>
    <n v="-37.200000000000003"/>
    <n v="-15.9"/>
    <x v="4"/>
    <n v="8.6999999999999993"/>
    <n v="5.4"/>
    <n v="6.3"/>
    <s v="Stable"/>
  </r>
  <r>
    <s v="T2213"/>
    <x v="19"/>
    <x v="0"/>
    <x v="4"/>
    <x v="2"/>
    <s v="Jul"/>
    <x v="2"/>
    <x v="1964"/>
    <n v="16.2"/>
    <x v="4"/>
    <n v="5"/>
    <x v="5"/>
    <n v="2589"/>
    <x v="0"/>
    <n v="35.799999999999997"/>
    <s v="Data Scientist"/>
    <n v="54"/>
    <n v="-17.7"/>
    <x v="295"/>
    <n v="7.7"/>
    <n v="4"/>
    <n v="3.6"/>
    <s v="Stable"/>
  </r>
  <r>
    <s v="T2214"/>
    <x v="11"/>
    <x v="6"/>
    <x v="4"/>
    <x v="3"/>
    <s v="Nov"/>
    <x v="2"/>
    <x v="1965"/>
    <n v="14"/>
    <x v="2"/>
    <n v="5.8"/>
    <x v="43"/>
    <n v="1533"/>
    <x v="1"/>
    <n v="54.2"/>
    <s v="Cloud Engineer"/>
    <n v="81.900000000000006"/>
    <n v="36.5"/>
    <x v="180"/>
    <n v="6.6"/>
    <n v="7.9"/>
    <n v="5.3"/>
    <s v="Stable"/>
  </r>
  <r>
    <s v="T2215"/>
    <x v="10"/>
    <x v="3"/>
    <x v="1"/>
    <x v="1"/>
    <s v="Sep"/>
    <x v="2"/>
    <x v="1449"/>
    <n v="3.9"/>
    <x v="0"/>
    <n v="1.9"/>
    <x v="55"/>
    <n v="1430"/>
    <x v="1"/>
    <n v="59.4"/>
    <s v="Data Scientist"/>
    <n v="54.1"/>
    <n v="56.5"/>
    <x v="384"/>
    <n v="1.1000000000000001"/>
    <n v="8.6999999999999993"/>
    <n v="9.5"/>
    <s v="Bull Market"/>
  </r>
  <r>
    <s v="T2216"/>
    <x v="11"/>
    <x v="6"/>
    <x v="0"/>
    <x v="1"/>
    <s v="Sep"/>
    <x v="0"/>
    <x v="1966"/>
    <n v="23"/>
    <x v="0"/>
    <n v="3"/>
    <x v="8"/>
    <n v="1594"/>
    <x v="1"/>
    <n v="61"/>
    <s v="Product Manager"/>
    <n v="12.3"/>
    <n v="-23.3"/>
    <x v="498"/>
    <n v="4.5999999999999996"/>
    <n v="5.4"/>
    <n v="4.0999999999999996"/>
    <s v="Recession"/>
  </r>
  <r>
    <s v="T2217"/>
    <x v="12"/>
    <x v="5"/>
    <x v="1"/>
    <x v="2"/>
    <s v="Jul"/>
    <x v="1"/>
    <x v="1967"/>
    <n v="34.799999999999997"/>
    <x v="2"/>
    <n v="9.8000000000000007"/>
    <x v="5"/>
    <n v="440"/>
    <x v="2"/>
    <n v="71.599999999999994"/>
    <s v="Cloud Engineer"/>
    <n v="68"/>
    <n v="-24.2"/>
    <x v="499"/>
    <n v="5.8"/>
    <n v="3.1"/>
    <n v="1.2"/>
    <s v="Recession"/>
  </r>
  <r>
    <s v="T2218"/>
    <x v="6"/>
    <x v="1"/>
    <x v="4"/>
    <x v="2"/>
    <s v="Jul"/>
    <x v="1"/>
    <x v="731"/>
    <n v="0.8"/>
    <x v="0"/>
    <n v="13.1"/>
    <x v="3"/>
    <n v="4237"/>
    <x v="0"/>
    <n v="54.5"/>
    <s v="Cloud Engineer"/>
    <n v="10.1"/>
    <n v="48.2"/>
    <x v="389"/>
    <n v="8.9"/>
    <n v="9.5"/>
    <n v="8.4"/>
    <s v="Bull Market"/>
  </r>
  <r>
    <s v="T2219"/>
    <x v="19"/>
    <x v="0"/>
    <x v="5"/>
    <x v="0"/>
    <s v="Jan"/>
    <x v="1"/>
    <x v="1968"/>
    <n v="28"/>
    <x v="4"/>
    <n v="2.7"/>
    <x v="18"/>
    <n v="3651"/>
    <x v="2"/>
    <n v="17.600000000000001"/>
    <s v="Data Scientist"/>
    <n v="69.2"/>
    <n v="-13.2"/>
    <x v="362"/>
    <n v="4"/>
    <n v="5.7"/>
    <n v="2.7"/>
    <s v="Recession"/>
  </r>
  <r>
    <s v="T2220"/>
    <x v="4"/>
    <x v="1"/>
    <x v="1"/>
    <x v="3"/>
    <s v="Mar"/>
    <x v="0"/>
    <x v="1969"/>
    <n v="17.899999999999999"/>
    <x v="1"/>
    <n v="1.6"/>
    <x v="6"/>
    <n v="59"/>
    <x v="2"/>
    <n v="66.099999999999994"/>
    <s v="Frontend Developer"/>
    <n v="66.900000000000006"/>
    <n v="40.5"/>
    <x v="111"/>
    <n v="1.7"/>
    <n v="5.9"/>
    <n v="6.4"/>
    <s v="Recession"/>
  </r>
  <r>
    <s v="T2221"/>
    <x v="17"/>
    <x v="3"/>
    <x v="1"/>
    <x v="1"/>
    <s v="May"/>
    <x v="0"/>
    <x v="177"/>
    <n v="8.1"/>
    <x v="4"/>
    <n v="1.9"/>
    <x v="83"/>
    <n v="1477"/>
    <x v="0"/>
    <n v="44.4"/>
    <s v="DevOps Engineer"/>
    <n v="76.5"/>
    <n v="13.6"/>
    <x v="131"/>
    <n v="2.8"/>
    <n v="6.2"/>
    <n v="6.4"/>
    <s v="Stable"/>
  </r>
  <r>
    <s v="T2222"/>
    <x v="3"/>
    <x v="1"/>
    <x v="2"/>
    <x v="3"/>
    <s v="Feb"/>
    <x v="2"/>
    <x v="1970"/>
    <n v="11.6"/>
    <x v="1"/>
    <n v="7.2"/>
    <x v="5"/>
    <n v="1570"/>
    <x v="1"/>
    <n v="68.7"/>
    <s v="ML Engineer"/>
    <n v="45.7"/>
    <n v="37.5"/>
    <x v="287"/>
    <n v="9.9"/>
    <n v="6.2"/>
    <n v="6.3"/>
    <s v="Recession"/>
  </r>
  <r>
    <s v="T2223"/>
    <x v="13"/>
    <x v="5"/>
    <x v="4"/>
    <x v="0"/>
    <s v="May"/>
    <x v="2"/>
    <x v="1971"/>
    <n v="12.9"/>
    <x v="4"/>
    <n v="3.4"/>
    <x v="59"/>
    <n v="3733"/>
    <x v="1"/>
    <n v="23.4"/>
    <s v="ML Engineer"/>
    <n v="17.5"/>
    <n v="2.2000000000000002"/>
    <x v="446"/>
    <n v="2.1"/>
    <n v="4.4000000000000004"/>
    <n v="7.3"/>
    <s v="Stable"/>
  </r>
  <r>
    <s v="T2224"/>
    <x v="0"/>
    <x v="2"/>
    <x v="0"/>
    <x v="2"/>
    <s v="Oct"/>
    <x v="1"/>
    <x v="1972"/>
    <n v="5.9"/>
    <x v="1"/>
    <n v="3.9"/>
    <x v="66"/>
    <n v="1074"/>
    <x v="1"/>
    <n v="89.1"/>
    <s v="Product Manager"/>
    <n v="-2.1"/>
    <n v="-12.8"/>
    <x v="145"/>
    <n v="2.8"/>
    <n v="7.7"/>
    <n v="5.4"/>
    <s v="Bull Market"/>
  </r>
  <r>
    <s v="T2225"/>
    <x v="12"/>
    <x v="5"/>
    <x v="4"/>
    <x v="3"/>
    <s v="Jan"/>
    <x v="2"/>
    <x v="1713"/>
    <n v="4.5"/>
    <x v="1"/>
    <n v="2.1"/>
    <x v="42"/>
    <n v="1709"/>
    <x v="1"/>
    <n v="82.2"/>
    <s v="Software Engineer"/>
    <n v="-6.8"/>
    <n v="-19.8"/>
    <x v="40"/>
    <n v="1.8"/>
    <n v="5.3"/>
    <n v="5.6"/>
    <s v="Bull Market"/>
  </r>
  <r>
    <s v="T2226"/>
    <x v="9"/>
    <x v="1"/>
    <x v="4"/>
    <x v="2"/>
    <s v="Aug"/>
    <x v="0"/>
    <x v="1973"/>
    <n v="13.5"/>
    <x v="1"/>
    <n v="10.1"/>
    <x v="5"/>
    <n v="674"/>
    <x v="1"/>
    <n v="79.8"/>
    <s v="Product Manager"/>
    <n v="0.6"/>
    <n v="-23.2"/>
    <x v="276"/>
    <n v="8.3000000000000007"/>
    <n v="5.2"/>
    <n v="4.3"/>
    <s v="Recession"/>
  </r>
  <r>
    <s v="T2227"/>
    <x v="2"/>
    <x v="3"/>
    <x v="2"/>
    <x v="2"/>
    <s v="Oct"/>
    <x v="1"/>
    <x v="1974"/>
    <n v="10.4"/>
    <x v="1"/>
    <n v="1.4"/>
    <x v="39"/>
    <n v="926"/>
    <x v="2"/>
    <n v="46.4"/>
    <s v="ML Engineer"/>
    <n v="-7.3"/>
    <n v="0.4"/>
    <x v="74"/>
    <n v="1.6"/>
    <n v="7.5"/>
    <n v="5.2"/>
    <s v="Recession"/>
  </r>
  <r>
    <s v="T2228"/>
    <x v="9"/>
    <x v="1"/>
    <x v="5"/>
    <x v="0"/>
    <s v="Jul"/>
    <x v="1"/>
    <x v="992"/>
    <n v="27.5"/>
    <x v="0"/>
    <n v="3"/>
    <x v="1"/>
    <n v="1215"/>
    <x v="2"/>
    <n v="66.099999999999994"/>
    <s v="DevOps Engineer"/>
    <n v="50.7"/>
    <n v="-6.1"/>
    <x v="500"/>
    <n v="2"/>
    <n v="5.3"/>
    <n v="3.5"/>
    <s v="Recession"/>
  </r>
  <r>
    <s v="T2229"/>
    <x v="1"/>
    <x v="1"/>
    <x v="0"/>
    <x v="0"/>
    <s v="Nov"/>
    <x v="2"/>
    <x v="1975"/>
    <n v="36.1"/>
    <x v="4"/>
    <n v="12.8"/>
    <x v="5"/>
    <n v="571"/>
    <x v="2"/>
    <n v="15.3"/>
    <s v="ML Engineer"/>
    <n v="-16"/>
    <n v="25.4"/>
    <x v="282"/>
    <n v="8.1999999999999993"/>
    <n v="3.3"/>
    <n v="3.1"/>
    <s v="Recession"/>
  </r>
  <r>
    <s v="T2230"/>
    <x v="0"/>
    <x v="2"/>
    <x v="1"/>
    <x v="2"/>
    <s v="Dec"/>
    <x v="1"/>
    <x v="1976"/>
    <n v="10.5"/>
    <x v="4"/>
    <n v="7.2"/>
    <x v="9"/>
    <n v="581"/>
    <x v="1"/>
    <n v="25"/>
    <s v="Data Scientist"/>
    <n v="-18"/>
    <n v="-23.1"/>
    <x v="501"/>
    <n v="5.5"/>
    <n v="5.2"/>
    <n v="4"/>
    <s v="Recession"/>
  </r>
  <r>
    <s v="T2231"/>
    <x v="19"/>
    <x v="0"/>
    <x v="2"/>
    <x v="0"/>
    <s v="Jan"/>
    <x v="2"/>
    <x v="1977"/>
    <n v="14.3"/>
    <x v="3"/>
    <n v="6.8"/>
    <x v="5"/>
    <n v="1385"/>
    <x v="1"/>
    <n v="81.599999999999994"/>
    <s v="Data Scientist"/>
    <n v="89.3"/>
    <n v="-7.1"/>
    <x v="99"/>
    <n v="5"/>
    <n v="5.6"/>
    <n v="4.9000000000000004"/>
    <s v="Stable"/>
  </r>
  <r>
    <s v="T2232"/>
    <x v="4"/>
    <x v="0"/>
    <x v="3"/>
    <x v="3"/>
    <s v="Oct"/>
    <x v="0"/>
    <x v="1978"/>
    <n v="9"/>
    <x v="0"/>
    <n v="12.7"/>
    <x v="5"/>
    <n v="4617"/>
    <x v="0"/>
    <n v="58.5"/>
    <s v="Data Scientist"/>
    <n v="-23.2"/>
    <n v="-14.7"/>
    <x v="68"/>
    <n v="8.9"/>
    <n v="6.7"/>
    <n v="5.2"/>
    <s v="Bull Market"/>
  </r>
  <r>
    <s v="T2233"/>
    <x v="10"/>
    <x v="3"/>
    <x v="5"/>
    <x v="3"/>
    <s v="Feb"/>
    <x v="2"/>
    <x v="1979"/>
    <n v="12.5"/>
    <x v="2"/>
    <n v="7.5"/>
    <x v="15"/>
    <n v="1533"/>
    <x v="1"/>
    <n v="41.8"/>
    <s v="DevOps Engineer"/>
    <n v="28"/>
    <n v="34.200000000000003"/>
    <x v="211"/>
    <n v="6.1"/>
    <n v="6.1"/>
    <n v="5.8"/>
    <s v="Recession"/>
  </r>
  <r>
    <s v="T2234"/>
    <x v="2"/>
    <x v="0"/>
    <x v="2"/>
    <x v="0"/>
    <s v="Aug"/>
    <x v="0"/>
    <x v="1980"/>
    <n v="9"/>
    <x v="3"/>
    <n v="3.1"/>
    <x v="73"/>
    <n v="7475"/>
    <x v="0"/>
    <n v="86.6"/>
    <s v="Data Scientist"/>
    <n v="64.599999999999994"/>
    <n v="-18"/>
    <x v="3"/>
    <n v="3.4"/>
    <n v="6.8"/>
    <n v="5"/>
    <s v="Stable"/>
  </r>
  <r>
    <s v="T2235"/>
    <x v="12"/>
    <x v="5"/>
    <x v="0"/>
    <x v="0"/>
    <s v="Mar"/>
    <x v="2"/>
    <x v="1112"/>
    <n v="3"/>
    <x v="3"/>
    <n v="7.7"/>
    <x v="64"/>
    <n v="873"/>
    <x v="1"/>
    <n v="72.5"/>
    <s v="DevOps Engineer"/>
    <n v="78.400000000000006"/>
    <n v="21.3"/>
    <x v="289"/>
    <n v="4.8"/>
    <n v="6.9"/>
    <n v="7.8"/>
    <s v="Bull Market"/>
  </r>
  <r>
    <s v="T2236"/>
    <x v="1"/>
    <x v="6"/>
    <x v="0"/>
    <x v="1"/>
    <s v="Jan"/>
    <x v="1"/>
    <x v="1981"/>
    <n v="5.5"/>
    <x v="2"/>
    <n v="10.4"/>
    <x v="73"/>
    <n v="4577"/>
    <x v="0"/>
    <n v="80.599999999999994"/>
    <s v="ML Engineer"/>
    <n v="0"/>
    <n v="40.700000000000003"/>
    <x v="94"/>
    <n v="8.3000000000000007"/>
    <n v="6.7"/>
    <n v="7.6"/>
    <s v="Stable"/>
  </r>
  <r>
    <s v="T2237"/>
    <x v="0"/>
    <x v="5"/>
    <x v="4"/>
    <x v="0"/>
    <s v="Apr"/>
    <x v="2"/>
    <x v="1982"/>
    <n v="9.1"/>
    <x v="0"/>
    <n v="6.8"/>
    <x v="69"/>
    <n v="1569"/>
    <x v="1"/>
    <n v="52.3"/>
    <s v="Cybersecurity Analyst"/>
    <n v="-16.5"/>
    <n v="27.7"/>
    <x v="47"/>
    <n v="5.2"/>
    <n v="7.1"/>
    <n v="6.5"/>
    <s v="Recession"/>
  </r>
  <r>
    <s v="T2238"/>
    <x v="19"/>
    <x v="0"/>
    <x v="3"/>
    <x v="0"/>
    <s v="Apr"/>
    <x v="2"/>
    <x v="1983"/>
    <n v="6.2"/>
    <x v="3"/>
    <n v="4.5"/>
    <x v="45"/>
    <n v="1333"/>
    <x v="1"/>
    <n v="27.6"/>
    <s v="ML Engineer"/>
    <n v="49.7"/>
    <n v="17.5"/>
    <x v="205"/>
    <n v="4.2"/>
    <n v="5.2"/>
    <n v="6.5"/>
    <s v="Bull Market"/>
  </r>
  <r>
    <s v="T2239"/>
    <x v="16"/>
    <x v="2"/>
    <x v="3"/>
    <x v="2"/>
    <s v="Jul"/>
    <x v="1"/>
    <x v="1984"/>
    <n v="28.3"/>
    <x v="1"/>
    <n v="11.4"/>
    <x v="5"/>
    <n v="1200"/>
    <x v="1"/>
    <n v="42.1"/>
    <s v="ML Engineer"/>
    <n v="2.4"/>
    <n v="55.1"/>
    <x v="117"/>
    <n v="9.9"/>
    <n v="5.7"/>
    <n v="4.7"/>
    <s v="Recession"/>
  </r>
  <r>
    <s v="T2240"/>
    <x v="7"/>
    <x v="4"/>
    <x v="4"/>
    <x v="3"/>
    <s v="Dec"/>
    <x v="2"/>
    <x v="1985"/>
    <n v="14.7"/>
    <x v="0"/>
    <n v="2.2999999999999998"/>
    <x v="58"/>
    <n v="5214"/>
    <x v="1"/>
    <n v="12.8"/>
    <s v="DevOps Engineer"/>
    <n v="14.1"/>
    <n v="-16.899999999999999"/>
    <x v="312"/>
    <n v="1.5"/>
    <n v="6.5"/>
    <n v="4.2"/>
    <s v="Stable"/>
  </r>
  <r>
    <s v="T2241"/>
    <x v="16"/>
    <x v="2"/>
    <x v="1"/>
    <x v="0"/>
    <s v="Jun"/>
    <x v="0"/>
    <x v="1986"/>
    <n v="12.7"/>
    <x v="4"/>
    <n v="2.1"/>
    <x v="45"/>
    <n v="4475"/>
    <x v="0"/>
    <n v="16.899999999999999"/>
    <s v="DevOps Engineer"/>
    <n v="20.5"/>
    <n v="58.2"/>
    <x v="313"/>
    <n v="3.2"/>
    <n v="6.3"/>
    <n v="7.7"/>
    <s v="Stable"/>
  </r>
  <r>
    <s v="T2242"/>
    <x v="12"/>
    <x v="5"/>
    <x v="3"/>
    <x v="3"/>
    <s v="May"/>
    <x v="1"/>
    <x v="1987"/>
    <n v="0.5"/>
    <x v="2"/>
    <n v="6.9"/>
    <x v="18"/>
    <n v="5937"/>
    <x v="0"/>
    <n v="58.4"/>
    <s v="DevOps Engineer"/>
    <n v="40.1"/>
    <n v="57.7"/>
    <x v="450"/>
    <n v="6"/>
    <n v="10"/>
    <n v="7.4"/>
    <s v="Bull Market"/>
  </r>
  <r>
    <s v="T2243"/>
    <x v="0"/>
    <x v="2"/>
    <x v="0"/>
    <x v="2"/>
    <s v="Jan"/>
    <x v="0"/>
    <x v="1988"/>
    <n v="3.2"/>
    <x v="1"/>
    <n v="5.6"/>
    <x v="30"/>
    <n v="813"/>
    <x v="1"/>
    <n v="69.400000000000006"/>
    <s v="Product Manager"/>
    <n v="-10.4"/>
    <n v="55.5"/>
    <x v="395"/>
    <n v="5.5"/>
    <n v="8.1"/>
    <n v="8.1"/>
    <s v="Bull Market"/>
  </r>
  <r>
    <s v="T2244"/>
    <x v="14"/>
    <x v="1"/>
    <x v="5"/>
    <x v="0"/>
    <s v="Jan"/>
    <x v="0"/>
    <x v="1989"/>
    <n v="24.2"/>
    <x v="2"/>
    <n v="2.2999999999999998"/>
    <x v="7"/>
    <n v="1274"/>
    <x v="2"/>
    <n v="74"/>
    <s v="Software Engineer"/>
    <n v="18.8"/>
    <n v="24.9"/>
    <x v="100"/>
    <n v="1.9"/>
    <n v="6.2"/>
    <n v="4.5"/>
    <s v="Recession"/>
  </r>
  <r>
    <s v="T2245"/>
    <x v="1"/>
    <x v="0"/>
    <x v="1"/>
    <x v="2"/>
    <s v="Sep"/>
    <x v="1"/>
    <x v="1170"/>
    <n v="8.8000000000000007"/>
    <x v="2"/>
    <n v="3.9"/>
    <x v="58"/>
    <n v="5881"/>
    <x v="0"/>
    <n v="27"/>
    <s v="Data Scientist"/>
    <n v="-31.1"/>
    <n v="28.5"/>
    <x v="153"/>
    <n v="2.6"/>
    <n v="6.4"/>
    <n v="7.6"/>
    <s v="Bull Market"/>
  </r>
  <r>
    <s v="T2246"/>
    <x v="0"/>
    <x v="1"/>
    <x v="4"/>
    <x v="0"/>
    <s v="Feb"/>
    <x v="1"/>
    <x v="1990"/>
    <n v="0.6"/>
    <x v="2"/>
    <n v="5.9"/>
    <x v="75"/>
    <n v="4072"/>
    <x v="0"/>
    <n v="35.6"/>
    <s v="Data Scientist"/>
    <n v="-44.9"/>
    <n v="-11.5"/>
    <x v="322"/>
    <n v="8.4"/>
    <n v="6.8"/>
    <n v="6.9"/>
    <s v="Bull Market"/>
  </r>
  <r>
    <s v="T2247"/>
    <x v="15"/>
    <x v="2"/>
    <x v="4"/>
    <x v="0"/>
    <s v="Jun"/>
    <x v="0"/>
    <x v="1991"/>
    <n v="11.6"/>
    <x v="0"/>
    <n v="4.4000000000000004"/>
    <x v="5"/>
    <n v="1423"/>
    <x v="0"/>
    <n v="18.100000000000001"/>
    <s v="Product Manager"/>
    <n v="58.6"/>
    <n v="14.8"/>
    <x v="131"/>
    <n v="5.8"/>
    <n v="7.8"/>
    <n v="6.1"/>
    <s v="Recession"/>
  </r>
  <r>
    <s v="T2248"/>
    <x v="1"/>
    <x v="0"/>
    <x v="0"/>
    <x v="2"/>
    <s v="May"/>
    <x v="1"/>
    <x v="1087"/>
    <n v="2.1"/>
    <x v="0"/>
    <n v="3"/>
    <x v="62"/>
    <n v="9716"/>
    <x v="3"/>
    <n v="45.5"/>
    <s v="ML Engineer"/>
    <n v="34"/>
    <n v="-12.7"/>
    <x v="70"/>
    <n v="2.7"/>
    <n v="6.7"/>
    <n v="6.1"/>
    <s v="Bull Market"/>
  </r>
  <r>
    <s v="T2249"/>
    <x v="10"/>
    <x v="3"/>
    <x v="1"/>
    <x v="0"/>
    <s v="Jun"/>
    <x v="1"/>
    <x v="1992"/>
    <n v="7.4"/>
    <x v="2"/>
    <n v="1.7"/>
    <x v="21"/>
    <n v="1442"/>
    <x v="2"/>
    <n v="43.2"/>
    <s v="Cybersecurity Analyst"/>
    <n v="-8.1"/>
    <n v="2.9"/>
    <x v="72"/>
    <n v="1.7"/>
    <n v="8"/>
    <n v="8"/>
    <s v="Bull Market"/>
  </r>
  <r>
    <s v="T2250"/>
    <x v="4"/>
    <x v="1"/>
    <x v="3"/>
    <x v="2"/>
    <s v="Feb"/>
    <x v="1"/>
    <x v="1993"/>
    <n v="9.4"/>
    <x v="3"/>
    <n v="3.5"/>
    <x v="1"/>
    <n v="3885"/>
    <x v="1"/>
    <n v="25.6"/>
    <s v="DevOps Engineer"/>
    <n v="51.8"/>
    <n v="59.2"/>
    <x v="182"/>
    <n v="3.1"/>
    <n v="9.1999999999999993"/>
    <n v="7.9"/>
    <s v="Stable"/>
  </r>
  <r>
    <s v="T2251"/>
    <x v="16"/>
    <x v="2"/>
    <x v="1"/>
    <x v="2"/>
    <s v="Jan"/>
    <x v="1"/>
    <x v="756"/>
    <n v="4.3"/>
    <x v="0"/>
    <n v="2.8"/>
    <x v="88"/>
    <n v="2056"/>
    <x v="1"/>
    <n v="44.8"/>
    <s v="Frontend Developer"/>
    <n v="-30.7"/>
    <n v="22.5"/>
    <x v="47"/>
    <n v="2"/>
    <n v="6.7"/>
    <n v="7.8"/>
    <s v="Bull Market"/>
  </r>
  <r>
    <s v="T2252"/>
    <x v="8"/>
    <x v="4"/>
    <x v="1"/>
    <x v="2"/>
    <s v="Oct"/>
    <x v="1"/>
    <x v="1994"/>
    <n v="9"/>
    <x v="3"/>
    <n v="4.4000000000000004"/>
    <x v="8"/>
    <n v="3111"/>
    <x v="0"/>
    <n v="63"/>
    <s v="Software Engineer"/>
    <n v="47.1"/>
    <n v="3.2"/>
    <x v="248"/>
    <n v="6.7"/>
    <n v="4.8"/>
    <n v="5.8"/>
    <s v="Bull Market"/>
  </r>
  <r>
    <s v="T2253"/>
    <x v="0"/>
    <x v="5"/>
    <x v="2"/>
    <x v="2"/>
    <s v="Apr"/>
    <x v="2"/>
    <x v="1995"/>
    <n v="17.899999999999999"/>
    <x v="0"/>
    <n v="1.3"/>
    <x v="63"/>
    <n v="261"/>
    <x v="2"/>
    <n v="27.2"/>
    <s v="Software Engineer"/>
    <n v="-28"/>
    <n v="-18.600000000000001"/>
    <x v="245"/>
    <n v="2.1"/>
    <n v="5.5"/>
    <n v="3.8"/>
    <s v="Stable"/>
  </r>
  <r>
    <s v="T2254"/>
    <x v="1"/>
    <x v="1"/>
    <x v="2"/>
    <x v="2"/>
    <s v="Oct"/>
    <x v="0"/>
    <x v="1996"/>
    <n v="1.6"/>
    <x v="4"/>
    <n v="5.0999999999999996"/>
    <x v="5"/>
    <n v="2211"/>
    <x v="0"/>
    <n v="58.1"/>
    <s v="Software Engineer"/>
    <n v="-42.9"/>
    <n v="52"/>
    <x v="502"/>
    <n v="7.4"/>
    <n v="8.1999999999999993"/>
    <n v="7.4"/>
    <s v="Bull Market"/>
  </r>
  <r>
    <s v="T2255"/>
    <x v="17"/>
    <x v="0"/>
    <x v="4"/>
    <x v="3"/>
    <s v="Mar"/>
    <x v="2"/>
    <x v="474"/>
    <n v="1.6"/>
    <x v="3"/>
    <n v="11.2"/>
    <x v="39"/>
    <n v="6185"/>
    <x v="0"/>
    <n v="24.3"/>
    <s v="Data Scientist"/>
    <n v="-11.8"/>
    <n v="-7.1"/>
    <x v="327"/>
    <n v="8.5"/>
    <n v="7.7"/>
    <n v="6.2"/>
    <s v="Bull Market"/>
  </r>
  <r>
    <s v="T2256"/>
    <x v="14"/>
    <x v="1"/>
    <x v="4"/>
    <x v="2"/>
    <s v="Jul"/>
    <x v="0"/>
    <x v="762"/>
    <n v="0"/>
    <x v="3"/>
    <n v="7.3"/>
    <x v="76"/>
    <n v="2890"/>
    <x v="0"/>
    <n v="35.700000000000003"/>
    <s v="Software Engineer"/>
    <n v="-44.3"/>
    <n v="11.7"/>
    <x v="96"/>
    <n v="5"/>
    <n v="5.8"/>
    <n v="6.7"/>
    <s v="Bull Market"/>
  </r>
  <r>
    <s v="T2257"/>
    <x v="9"/>
    <x v="1"/>
    <x v="0"/>
    <x v="3"/>
    <s v="Apr"/>
    <x v="2"/>
    <x v="1997"/>
    <n v="27.8"/>
    <x v="3"/>
    <n v="9.6"/>
    <x v="5"/>
    <n v="1723"/>
    <x v="2"/>
    <n v="40.6"/>
    <s v="Software Engineer"/>
    <n v="82.8"/>
    <n v="-17.2"/>
    <x v="348"/>
    <n v="8.9"/>
    <n v="5.7"/>
    <n v="3.6"/>
    <s v="Recession"/>
  </r>
  <r>
    <s v="T2258"/>
    <x v="1"/>
    <x v="6"/>
    <x v="2"/>
    <x v="2"/>
    <s v="Feb"/>
    <x v="0"/>
    <x v="33"/>
    <n v="12.6"/>
    <x v="4"/>
    <n v="6.7"/>
    <x v="14"/>
    <n v="1791"/>
    <x v="1"/>
    <n v="42"/>
    <s v="ML Engineer"/>
    <n v="-33.6"/>
    <n v="-5.0999999999999996"/>
    <x v="252"/>
    <n v="7"/>
    <n v="7"/>
    <n v="5.2"/>
    <s v="Recession"/>
  </r>
  <r>
    <s v="T2259"/>
    <x v="12"/>
    <x v="0"/>
    <x v="2"/>
    <x v="3"/>
    <s v="Sep"/>
    <x v="1"/>
    <x v="1998"/>
    <n v="12.4"/>
    <x v="1"/>
    <n v="6.6"/>
    <x v="39"/>
    <n v="8316"/>
    <x v="0"/>
    <n v="29.2"/>
    <s v="ML Engineer"/>
    <n v="-3.5"/>
    <n v="49.2"/>
    <x v="140"/>
    <n v="6.1"/>
    <n v="6.9"/>
    <n v="6.9"/>
    <s v="Recession"/>
  </r>
  <r>
    <s v="T2260"/>
    <x v="19"/>
    <x v="0"/>
    <x v="3"/>
    <x v="3"/>
    <s v="May"/>
    <x v="2"/>
    <x v="1999"/>
    <n v="16.600000000000001"/>
    <x v="4"/>
    <n v="3.8"/>
    <x v="35"/>
    <n v="2645"/>
    <x v="1"/>
    <n v="73.599999999999994"/>
    <s v="Data Scientist"/>
    <n v="9.5"/>
    <n v="21.6"/>
    <x v="218"/>
    <n v="2.7"/>
    <n v="5.6"/>
    <n v="4.4000000000000004"/>
    <s v="Stable"/>
  </r>
  <r>
    <s v="T2261"/>
    <x v="17"/>
    <x v="0"/>
    <x v="3"/>
    <x v="1"/>
    <s v="Sep"/>
    <x v="1"/>
    <x v="2000"/>
    <n v="7.5"/>
    <x v="2"/>
    <n v="3.1"/>
    <x v="22"/>
    <n v="5497"/>
    <x v="0"/>
    <n v="49.4"/>
    <s v="Data Scientist"/>
    <n v="-4.5"/>
    <n v="39.200000000000003"/>
    <x v="108"/>
    <n v="3.6"/>
    <n v="6.9"/>
    <n v="7.7"/>
    <s v="Bull Market"/>
  </r>
  <r>
    <s v="T2262"/>
    <x v="2"/>
    <x v="5"/>
    <x v="4"/>
    <x v="0"/>
    <s v="Jan"/>
    <x v="0"/>
    <x v="2001"/>
    <n v="12.7"/>
    <x v="0"/>
    <n v="8.6999999999999993"/>
    <x v="5"/>
    <n v="787"/>
    <x v="1"/>
    <n v="56.1"/>
    <s v="DevOps Engineer"/>
    <n v="47.8"/>
    <n v="-23.7"/>
    <x v="116"/>
    <n v="6.6"/>
    <n v="5.6"/>
    <n v="4.3"/>
    <s v="Stable"/>
  </r>
  <r>
    <s v="T2263"/>
    <x v="1"/>
    <x v="0"/>
    <x v="0"/>
    <x v="2"/>
    <s v="Jan"/>
    <x v="0"/>
    <x v="1467"/>
    <n v="0.3"/>
    <x v="1"/>
    <n v="10.4"/>
    <x v="31"/>
    <n v="2269"/>
    <x v="0"/>
    <n v="17"/>
    <s v="Data Scientist"/>
    <n v="-34"/>
    <n v="51.2"/>
    <x v="364"/>
    <n v="9.1999999999999993"/>
    <n v="9.1"/>
    <n v="8.4"/>
    <s v="Bull Market"/>
  </r>
  <r>
    <s v="T2264"/>
    <x v="17"/>
    <x v="3"/>
    <x v="5"/>
    <x v="3"/>
    <s v="Jun"/>
    <x v="1"/>
    <x v="2002"/>
    <n v="2.7"/>
    <x v="3"/>
    <n v="4.8"/>
    <x v="47"/>
    <n v="3698"/>
    <x v="1"/>
    <n v="84.5"/>
    <s v="Cybersecurity Analyst"/>
    <n v="-41"/>
    <n v="-9.1"/>
    <x v="42"/>
    <n v="3.5"/>
    <n v="8"/>
    <n v="6.2"/>
    <s v="Stable"/>
  </r>
  <r>
    <s v="T2265"/>
    <x v="10"/>
    <x v="3"/>
    <x v="5"/>
    <x v="3"/>
    <s v="Apr"/>
    <x v="1"/>
    <x v="2003"/>
    <n v="14.5"/>
    <x v="1"/>
    <n v="8.9"/>
    <x v="43"/>
    <n v="3573"/>
    <x v="1"/>
    <n v="80.8"/>
    <s v="Cloud Engineer"/>
    <n v="-20.6"/>
    <n v="-14.7"/>
    <x v="345"/>
    <n v="7.4"/>
    <n v="7"/>
    <n v="5"/>
    <s v="Stable"/>
  </r>
  <r>
    <s v="T2266"/>
    <x v="12"/>
    <x v="0"/>
    <x v="0"/>
    <x v="1"/>
    <s v="Aug"/>
    <x v="1"/>
    <x v="2004"/>
    <n v="10.6"/>
    <x v="2"/>
    <n v="14.2"/>
    <x v="5"/>
    <n v="4557"/>
    <x v="0"/>
    <n v="47.9"/>
    <s v="Data Scientist"/>
    <n v="68.900000000000006"/>
    <n v="-7.8"/>
    <x v="72"/>
    <n v="9.9"/>
    <n v="4.9000000000000004"/>
    <n v="5.0999999999999996"/>
    <s v="Stable"/>
  </r>
  <r>
    <s v="T2267"/>
    <x v="5"/>
    <x v="3"/>
    <x v="3"/>
    <x v="3"/>
    <s v="Mar"/>
    <x v="1"/>
    <x v="2005"/>
    <n v="35.200000000000003"/>
    <x v="4"/>
    <n v="4"/>
    <x v="5"/>
    <n v="1931"/>
    <x v="2"/>
    <n v="11.6"/>
    <s v="Product Manager"/>
    <n v="17.7"/>
    <n v="18.2"/>
    <x v="121"/>
    <n v="2.4"/>
    <n v="5.6"/>
    <n v="2.2999999999999998"/>
    <s v="Recession"/>
  </r>
  <r>
    <s v="T2268"/>
    <x v="10"/>
    <x v="3"/>
    <x v="5"/>
    <x v="2"/>
    <s v="Oct"/>
    <x v="0"/>
    <x v="2006"/>
    <n v="9.6999999999999993"/>
    <x v="0"/>
    <n v="3.9"/>
    <x v="65"/>
    <n v="5448"/>
    <x v="0"/>
    <n v="39.299999999999997"/>
    <s v="Software Engineer"/>
    <n v="-32.799999999999997"/>
    <n v="41.4"/>
    <x v="286"/>
    <n v="6.1"/>
    <n v="6.8"/>
    <n v="6.9"/>
    <s v="Bull Market"/>
  </r>
  <r>
    <s v="T2269"/>
    <x v="7"/>
    <x v="4"/>
    <x v="4"/>
    <x v="2"/>
    <s v="Mar"/>
    <x v="1"/>
    <x v="2007"/>
    <n v="34.1"/>
    <x v="4"/>
    <n v="7.8"/>
    <x v="5"/>
    <n v="1922"/>
    <x v="1"/>
    <n v="26.6"/>
    <s v="Product Manager"/>
    <n v="19.3"/>
    <n v="0"/>
    <x v="82"/>
    <n v="9.3000000000000007"/>
    <n v="4.5"/>
    <n v="3.5"/>
    <s v="Recession"/>
  </r>
  <r>
    <s v="T2270"/>
    <x v="7"/>
    <x v="4"/>
    <x v="1"/>
    <x v="0"/>
    <s v="Oct"/>
    <x v="1"/>
    <x v="1328"/>
    <n v="5.9"/>
    <x v="0"/>
    <n v="11.3"/>
    <x v="5"/>
    <n v="5742"/>
    <x v="0"/>
    <n v="23.7"/>
    <s v="Product Manager"/>
    <n v="46.9"/>
    <n v="0.7"/>
    <x v="27"/>
    <n v="8.5"/>
    <n v="4.7"/>
    <n v="6.3"/>
    <s v="Bull Market"/>
  </r>
  <r>
    <s v="T2271"/>
    <x v="0"/>
    <x v="5"/>
    <x v="3"/>
    <x v="0"/>
    <s v="Mar"/>
    <x v="2"/>
    <x v="1061"/>
    <n v="3"/>
    <x v="3"/>
    <n v="5"/>
    <x v="76"/>
    <n v="2407"/>
    <x v="0"/>
    <n v="61"/>
    <s v="Data Scientist"/>
    <n v="15.7"/>
    <n v="40.200000000000003"/>
    <x v="244"/>
    <n v="6.3"/>
    <n v="6.6"/>
    <n v="7.8"/>
    <s v="Bull Market"/>
  </r>
  <r>
    <s v="T2272"/>
    <x v="19"/>
    <x v="0"/>
    <x v="3"/>
    <x v="3"/>
    <s v="Nov"/>
    <x v="0"/>
    <x v="2008"/>
    <n v="9.6"/>
    <x v="4"/>
    <n v="4.9000000000000004"/>
    <x v="23"/>
    <n v="1332"/>
    <x v="1"/>
    <n v="81.3"/>
    <s v="ML Engineer"/>
    <n v="12.8"/>
    <n v="1.1000000000000001"/>
    <x v="108"/>
    <n v="6.2"/>
    <n v="8"/>
    <n v="5.0999999999999996"/>
    <s v="Stable"/>
  </r>
  <r>
    <s v="T2273"/>
    <x v="6"/>
    <x v="1"/>
    <x v="5"/>
    <x v="2"/>
    <s v="May"/>
    <x v="0"/>
    <x v="380"/>
    <n v="5.3"/>
    <x v="2"/>
    <n v="6.7"/>
    <x v="64"/>
    <n v="2571"/>
    <x v="0"/>
    <n v="77.5"/>
    <s v="Frontend Developer"/>
    <n v="71.2"/>
    <n v="11"/>
    <x v="296"/>
    <n v="4.3"/>
    <n v="7.7"/>
    <n v="6.2"/>
    <s v="Bull Market"/>
  </r>
  <r>
    <s v="T2274"/>
    <x v="1"/>
    <x v="6"/>
    <x v="5"/>
    <x v="2"/>
    <s v="Jul"/>
    <x v="2"/>
    <x v="2009"/>
    <n v="4.0999999999999996"/>
    <x v="2"/>
    <n v="2.5"/>
    <x v="89"/>
    <n v="3707"/>
    <x v="0"/>
    <n v="35.4"/>
    <s v="Cloud Engineer"/>
    <n v="-9"/>
    <n v="-18.899999999999999"/>
    <x v="366"/>
    <n v="2.2999999999999998"/>
    <n v="6.8"/>
    <n v="6.2"/>
    <s v="Stable"/>
  </r>
  <r>
    <s v="T2275"/>
    <x v="17"/>
    <x v="0"/>
    <x v="2"/>
    <x v="3"/>
    <s v="Jan"/>
    <x v="0"/>
    <x v="2010"/>
    <n v="9.4"/>
    <x v="2"/>
    <n v="7.8"/>
    <x v="84"/>
    <n v="8918"/>
    <x v="0"/>
    <n v="80.2"/>
    <s v="Data Scientist"/>
    <n v="71.7"/>
    <n v="12.2"/>
    <x v="27"/>
    <n v="6.9"/>
    <n v="8"/>
    <n v="4.9000000000000004"/>
    <s v="Bull Market"/>
  </r>
  <r>
    <s v="T2276"/>
    <x v="12"/>
    <x v="0"/>
    <x v="3"/>
    <x v="2"/>
    <s v="Apr"/>
    <x v="0"/>
    <x v="2011"/>
    <n v="36.5"/>
    <x v="0"/>
    <n v="5.6"/>
    <x v="5"/>
    <n v="5747"/>
    <x v="1"/>
    <n v="79.900000000000006"/>
    <s v="Data Scientist"/>
    <n v="-9"/>
    <n v="47.6"/>
    <x v="426"/>
    <n v="5.0999999999999996"/>
    <n v="5.3"/>
    <n v="3.6"/>
    <s v="Recession"/>
  </r>
  <r>
    <s v="T2277"/>
    <x v="16"/>
    <x v="2"/>
    <x v="4"/>
    <x v="1"/>
    <s v="Apr"/>
    <x v="0"/>
    <x v="2012"/>
    <n v="32.799999999999997"/>
    <x v="3"/>
    <n v="11.8"/>
    <x v="5"/>
    <n v="886"/>
    <x v="1"/>
    <n v="48.2"/>
    <s v="Product Manager"/>
    <n v="52.5"/>
    <n v="10.199999999999999"/>
    <x v="70"/>
    <n v="7.5"/>
    <n v="2.9"/>
    <n v="3.5"/>
    <s v="Recession"/>
  </r>
  <r>
    <s v="T2278"/>
    <x v="10"/>
    <x v="3"/>
    <x v="2"/>
    <x v="1"/>
    <s v="Jun"/>
    <x v="2"/>
    <x v="1104"/>
    <n v="4.2"/>
    <x v="1"/>
    <n v="9.9"/>
    <x v="5"/>
    <n v="2351"/>
    <x v="0"/>
    <n v="30.3"/>
    <s v="Software Engineer"/>
    <n v="74.3"/>
    <n v="4.7"/>
    <x v="234"/>
    <n v="7.7"/>
    <n v="6.2"/>
    <n v="5.8"/>
    <s v="Bull Market"/>
  </r>
  <r>
    <s v="T2279"/>
    <x v="2"/>
    <x v="2"/>
    <x v="2"/>
    <x v="1"/>
    <s v="Dec"/>
    <x v="0"/>
    <x v="2013"/>
    <n v="35.700000000000003"/>
    <x v="0"/>
    <n v="1.8"/>
    <x v="69"/>
    <n v="1961"/>
    <x v="2"/>
    <n v="37"/>
    <s v="Product Manager"/>
    <n v="45.6"/>
    <n v="45.3"/>
    <x v="95"/>
    <n v="2.2999999999999998"/>
    <n v="6.9"/>
    <n v="4.0999999999999996"/>
    <s v="Recession"/>
  </r>
  <r>
    <s v="T2280"/>
    <x v="18"/>
    <x v="0"/>
    <x v="4"/>
    <x v="2"/>
    <s v="May"/>
    <x v="0"/>
    <x v="1625"/>
    <n v="17.600000000000001"/>
    <x v="2"/>
    <n v="10.3"/>
    <x v="5"/>
    <n v="9423"/>
    <x v="3"/>
    <n v="48.2"/>
    <s v="Data Scientist"/>
    <n v="59.8"/>
    <n v="18.100000000000001"/>
    <x v="234"/>
    <n v="7.7"/>
    <n v="5.3"/>
    <n v="4.9000000000000004"/>
    <s v="Recession"/>
  </r>
  <r>
    <s v="T2281"/>
    <x v="0"/>
    <x v="1"/>
    <x v="2"/>
    <x v="2"/>
    <s v="Nov"/>
    <x v="0"/>
    <x v="2014"/>
    <n v="33.700000000000003"/>
    <x v="3"/>
    <n v="4.9000000000000004"/>
    <x v="5"/>
    <n v="789"/>
    <x v="2"/>
    <n v="44.7"/>
    <s v="Frontend Developer"/>
    <n v="50.7"/>
    <n v="23"/>
    <x v="109"/>
    <n v="8.1"/>
    <n v="3.7"/>
    <n v="3.3"/>
    <s v="Recession"/>
  </r>
  <r>
    <s v="T2282"/>
    <x v="15"/>
    <x v="2"/>
    <x v="0"/>
    <x v="3"/>
    <s v="Aug"/>
    <x v="2"/>
    <x v="1669"/>
    <n v="7.9"/>
    <x v="3"/>
    <n v="5.4"/>
    <x v="5"/>
    <n v="2331"/>
    <x v="1"/>
    <n v="29"/>
    <s v="ML Engineer"/>
    <n v="-25.3"/>
    <n v="-11.6"/>
    <x v="260"/>
    <n v="8.9"/>
    <n v="5"/>
    <n v="4.5"/>
    <s v="Bull Market"/>
  </r>
  <r>
    <s v="T2283"/>
    <x v="6"/>
    <x v="2"/>
    <x v="2"/>
    <x v="1"/>
    <s v="Jun"/>
    <x v="2"/>
    <x v="2015"/>
    <n v="5.6"/>
    <x v="1"/>
    <n v="10.199999999999999"/>
    <x v="63"/>
    <n v="5064"/>
    <x v="0"/>
    <n v="36.9"/>
    <s v="Cloud Engineer"/>
    <n v="32.200000000000003"/>
    <n v="40.9"/>
    <x v="119"/>
    <n v="6.4"/>
    <n v="7.8"/>
    <n v="7.4"/>
    <s v="Stable"/>
  </r>
  <r>
    <s v="T2284"/>
    <x v="8"/>
    <x v="4"/>
    <x v="0"/>
    <x v="2"/>
    <s v="Jun"/>
    <x v="1"/>
    <x v="2016"/>
    <n v="31.7"/>
    <x v="2"/>
    <n v="9.4"/>
    <x v="5"/>
    <n v="1419"/>
    <x v="1"/>
    <n v="51.5"/>
    <s v="Product Manager"/>
    <n v="-33.299999999999997"/>
    <n v="43.9"/>
    <x v="112"/>
    <n v="6.4"/>
    <n v="5.0999999999999996"/>
    <n v="5.0999999999999996"/>
    <s v="Recession"/>
  </r>
  <r>
    <s v="T2285"/>
    <x v="1"/>
    <x v="1"/>
    <x v="3"/>
    <x v="1"/>
    <s v="Mar"/>
    <x v="1"/>
    <x v="2017"/>
    <n v="35.700000000000003"/>
    <x v="3"/>
    <n v="6.1"/>
    <x v="5"/>
    <n v="1337"/>
    <x v="2"/>
    <n v="12.9"/>
    <s v="Cloud Engineer"/>
    <n v="24"/>
    <n v="14.1"/>
    <x v="470"/>
    <n v="4.5"/>
    <n v="4.7"/>
    <n v="2.4"/>
    <s v="Recession"/>
  </r>
  <r>
    <s v="T2286"/>
    <x v="19"/>
    <x v="0"/>
    <x v="1"/>
    <x v="3"/>
    <s v="Apr"/>
    <x v="1"/>
    <x v="2018"/>
    <n v="7.6"/>
    <x v="2"/>
    <n v="5.2"/>
    <x v="27"/>
    <n v="5817"/>
    <x v="0"/>
    <n v="14.2"/>
    <s v="Data Scientist"/>
    <n v="-18"/>
    <n v="11.5"/>
    <x v="257"/>
    <n v="8.3000000000000007"/>
    <n v="8"/>
    <n v="5.7"/>
    <s v="Bull Market"/>
  </r>
  <r>
    <s v="T2287"/>
    <x v="9"/>
    <x v="0"/>
    <x v="2"/>
    <x v="1"/>
    <s v="Aug"/>
    <x v="0"/>
    <x v="2019"/>
    <n v="2.2000000000000002"/>
    <x v="1"/>
    <n v="1.2"/>
    <x v="19"/>
    <n v="4835"/>
    <x v="1"/>
    <n v="80.400000000000006"/>
    <s v="Data Scientist"/>
    <n v="43"/>
    <n v="37.4"/>
    <x v="14"/>
    <n v="1"/>
    <n v="6.4"/>
    <n v="9.5"/>
    <s v="Bull Market"/>
  </r>
  <r>
    <s v="T2288"/>
    <x v="8"/>
    <x v="4"/>
    <x v="5"/>
    <x v="2"/>
    <s v="Apr"/>
    <x v="2"/>
    <x v="2020"/>
    <n v="8.1999999999999993"/>
    <x v="1"/>
    <n v="5.3"/>
    <x v="12"/>
    <n v="5217"/>
    <x v="0"/>
    <n v="20.2"/>
    <s v="Software Engineer"/>
    <n v="70.7"/>
    <n v="41.8"/>
    <x v="165"/>
    <n v="5.4"/>
    <n v="8.1"/>
    <n v="7.4"/>
    <s v="Bull Market"/>
  </r>
  <r>
    <s v="T2289"/>
    <x v="4"/>
    <x v="0"/>
    <x v="0"/>
    <x v="2"/>
    <s v="Oct"/>
    <x v="1"/>
    <x v="2021"/>
    <n v="5.6"/>
    <x v="4"/>
    <n v="3.1"/>
    <x v="88"/>
    <n v="4230"/>
    <x v="0"/>
    <n v="69.8"/>
    <s v="Data Scientist"/>
    <n v="-16.5"/>
    <n v="10.8"/>
    <x v="326"/>
    <n v="4"/>
    <n v="8.5"/>
    <n v="6.2"/>
    <s v="Bull Market"/>
  </r>
  <r>
    <s v="T2290"/>
    <x v="4"/>
    <x v="0"/>
    <x v="2"/>
    <x v="2"/>
    <s v="Nov"/>
    <x v="1"/>
    <x v="2022"/>
    <n v="9.1"/>
    <x v="1"/>
    <n v="2.1"/>
    <x v="12"/>
    <n v="8516"/>
    <x v="0"/>
    <n v="31.9"/>
    <s v="Data Scientist"/>
    <n v="77.2"/>
    <n v="-8.3000000000000007"/>
    <x v="3"/>
    <n v="2.8"/>
    <n v="4.5999999999999996"/>
    <n v="6.1"/>
    <s v="Stable"/>
  </r>
  <r>
    <s v="T2291"/>
    <x v="11"/>
    <x v="6"/>
    <x v="1"/>
    <x v="3"/>
    <s v="Jul"/>
    <x v="1"/>
    <x v="2023"/>
    <n v="4.5999999999999996"/>
    <x v="2"/>
    <n v="2.5"/>
    <x v="79"/>
    <n v="3120"/>
    <x v="1"/>
    <n v="89"/>
    <s v="Software Engineer"/>
    <n v="-18.100000000000001"/>
    <n v="-22.7"/>
    <x v="478"/>
    <n v="2.8"/>
    <n v="6.3"/>
    <n v="7.1"/>
    <s v="Stable"/>
  </r>
  <r>
    <s v="T2292"/>
    <x v="0"/>
    <x v="1"/>
    <x v="2"/>
    <x v="2"/>
    <s v="Jan"/>
    <x v="1"/>
    <x v="438"/>
    <n v="2.4"/>
    <x v="2"/>
    <n v="0.8"/>
    <x v="81"/>
    <n v="2973"/>
    <x v="1"/>
    <n v="88.4"/>
    <s v="Frontend Developer"/>
    <n v="5.9"/>
    <n v="23.9"/>
    <x v="156"/>
    <n v="1"/>
    <n v="5.7"/>
    <n v="7.8"/>
    <s v="Bull Market"/>
  </r>
  <r>
    <s v="T2293"/>
    <x v="2"/>
    <x v="1"/>
    <x v="5"/>
    <x v="2"/>
    <s v="Dec"/>
    <x v="2"/>
    <x v="902"/>
    <n v="25.7"/>
    <x v="3"/>
    <n v="3.2"/>
    <x v="50"/>
    <n v="412"/>
    <x v="2"/>
    <n v="30.1"/>
    <s v="DevOps Engineer"/>
    <n v="63.8"/>
    <n v="7.4"/>
    <x v="72"/>
    <n v="2.9"/>
    <n v="5.7"/>
    <n v="3"/>
    <s v="Recession"/>
  </r>
  <r>
    <s v="T2294"/>
    <x v="13"/>
    <x v="5"/>
    <x v="1"/>
    <x v="0"/>
    <s v="Jul"/>
    <x v="0"/>
    <x v="992"/>
    <n v="2.6"/>
    <x v="1"/>
    <n v="8.8000000000000007"/>
    <x v="32"/>
    <n v="1183"/>
    <x v="0"/>
    <n v="21.3"/>
    <s v="Cloud Engineer"/>
    <n v="77.2"/>
    <n v="2.7"/>
    <x v="318"/>
    <n v="6.8"/>
    <n v="5.5"/>
    <n v="7.9"/>
    <s v="Stable"/>
  </r>
  <r>
    <s v="T2295"/>
    <x v="2"/>
    <x v="3"/>
    <x v="2"/>
    <x v="0"/>
    <s v="Apr"/>
    <x v="2"/>
    <x v="1445"/>
    <n v="31.6"/>
    <x v="2"/>
    <n v="1.6"/>
    <x v="45"/>
    <n v="1645"/>
    <x v="2"/>
    <n v="66.3"/>
    <s v="Frontend Developer"/>
    <n v="-42.2"/>
    <n v="4.3"/>
    <x v="358"/>
    <n v="1.1000000000000001"/>
    <n v="5.2"/>
    <n v="4.8"/>
    <s v="Recession"/>
  </r>
  <r>
    <s v="T2296"/>
    <x v="15"/>
    <x v="2"/>
    <x v="1"/>
    <x v="0"/>
    <s v="Jul"/>
    <x v="0"/>
    <x v="2024"/>
    <n v="9.6"/>
    <x v="4"/>
    <n v="2.5"/>
    <x v="8"/>
    <n v="3740"/>
    <x v="1"/>
    <n v="72.400000000000006"/>
    <s v="Product Manager"/>
    <n v="31.7"/>
    <n v="32.4"/>
    <x v="119"/>
    <n v="3.6"/>
    <n v="6.4"/>
    <n v="7.1"/>
    <s v="Bull Market"/>
  </r>
  <r>
    <s v="T2297"/>
    <x v="1"/>
    <x v="0"/>
    <x v="2"/>
    <x v="0"/>
    <s v="Nov"/>
    <x v="0"/>
    <x v="2025"/>
    <n v="13.9"/>
    <x v="0"/>
    <n v="9.8000000000000007"/>
    <x v="69"/>
    <n v="7582"/>
    <x v="0"/>
    <n v="80.099999999999994"/>
    <s v="Data Scientist"/>
    <n v="58.9"/>
    <n v="-9.6"/>
    <x v="201"/>
    <n v="7.1"/>
    <n v="6.5"/>
    <n v="4.2"/>
    <s v="Stable"/>
  </r>
  <r>
    <s v="T2298"/>
    <x v="2"/>
    <x v="2"/>
    <x v="4"/>
    <x v="3"/>
    <s v="Jan"/>
    <x v="2"/>
    <x v="1482"/>
    <n v="9.1"/>
    <x v="2"/>
    <n v="7"/>
    <x v="73"/>
    <n v="5214"/>
    <x v="0"/>
    <n v="65.400000000000006"/>
    <s v="DevOps Engineer"/>
    <n v="-11.7"/>
    <n v="-4.3"/>
    <x v="149"/>
    <n v="5.7"/>
    <n v="6.8"/>
    <n v="5.9"/>
    <s v="Bull Market"/>
  </r>
  <r>
    <s v="T2299"/>
    <x v="17"/>
    <x v="3"/>
    <x v="2"/>
    <x v="2"/>
    <s v="Apr"/>
    <x v="2"/>
    <x v="2026"/>
    <n v="16.2"/>
    <x v="0"/>
    <n v="1.5"/>
    <x v="44"/>
    <n v="5263"/>
    <x v="1"/>
    <n v="79.099999999999994"/>
    <s v="Cybersecurity Analyst"/>
    <n v="60.2"/>
    <n v="-13"/>
    <x v="301"/>
    <n v="1.2"/>
    <n v="3.8"/>
    <n v="5.6"/>
    <s v="Stable"/>
  </r>
  <r>
    <s v="T2300"/>
    <x v="3"/>
    <x v="1"/>
    <x v="3"/>
    <x v="2"/>
    <s v="Nov"/>
    <x v="0"/>
    <x v="2027"/>
    <n v="8.6999999999999993"/>
    <x v="2"/>
    <n v="11.4"/>
    <x v="50"/>
    <n v="586"/>
    <x v="0"/>
    <n v="36.299999999999997"/>
    <s v="Product Manager"/>
    <n v="63.2"/>
    <n v="-8"/>
    <x v="9"/>
    <n v="8.3000000000000007"/>
    <n v="5.8"/>
    <n v="4.9000000000000004"/>
    <s v="Stable"/>
  </r>
  <r>
    <s v="T2301"/>
    <x v="6"/>
    <x v="2"/>
    <x v="1"/>
    <x v="3"/>
    <s v="Nov"/>
    <x v="1"/>
    <x v="2028"/>
    <n v="11.2"/>
    <x v="2"/>
    <n v="3.8"/>
    <x v="10"/>
    <n v="2208"/>
    <x v="1"/>
    <n v="23.3"/>
    <s v="ML Engineer"/>
    <n v="27.1"/>
    <n v="-21.1"/>
    <x v="501"/>
    <n v="2.2999999999999998"/>
    <n v="4.2"/>
    <n v="5.2"/>
    <s v="Stable"/>
  </r>
  <r>
    <s v="T2302"/>
    <x v="15"/>
    <x v="2"/>
    <x v="4"/>
    <x v="1"/>
    <s v="May"/>
    <x v="0"/>
    <x v="2029"/>
    <n v="8.6"/>
    <x v="3"/>
    <n v="4"/>
    <x v="30"/>
    <n v="2040"/>
    <x v="1"/>
    <n v="57.3"/>
    <s v="Software Engineer"/>
    <n v="-43.5"/>
    <n v="5"/>
    <x v="85"/>
    <n v="2.4"/>
    <n v="7.3"/>
    <n v="5.0999999999999996"/>
    <s v="Bull Market"/>
  </r>
  <r>
    <s v="T2303"/>
    <x v="4"/>
    <x v="1"/>
    <x v="4"/>
    <x v="0"/>
    <s v="Jul"/>
    <x v="0"/>
    <x v="2030"/>
    <n v="11.5"/>
    <x v="0"/>
    <n v="1.4"/>
    <x v="39"/>
    <n v="2621"/>
    <x v="1"/>
    <n v="78.3"/>
    <s v="DevOps Engineer"/>
    <n v="36.299999999999997"/>
    <n v="-4.5999999999999996"/>
    <x v="362"/>
    <n v="1"/>
    <n v="5.6"/>
    <n v="6.4"/>
    <s v="Stable"/>
  </r>
  <r>
    <s v="T2304"/>
    <x v="17"/>
    <x v="0"/>
    <x v="1"/>
    <x v="3"/>
    <s v="Dec"/>
    <x v="2"/>
    <x v="2031"/>
    <n v="3.9"/>
    <x v="2"/>
    <n v="5.9"/>
    <x v="5"/>
    <n v="3560"/>
    <x v="0"/>
    <n v="25.3"/>
    <s v="ML Engineer"/>
    <n v="14.6"/>
    <n v="-13"/>
    <x v="254"/>
    <n v="7.4"/>
    <n v="7.1"/>
    <n v="5.3"/>
    <s v="Bull Market"/>
  </r>
  <r>
    <s v="T2305"/>
    <x v="2"/>
    <x v="1"/>
    <x v="3"/>
    <x v="1"/>
    <s v="Aug"/>
    <x v="0"/>
    <x v="117"/>
    <n v="2.7"/>
    <x v="3"/>
    <n v="9.3000000000000007"/>
    <x v="5"/>
    <n v="3063"/>
    <x v="3"/>
    <n v="14.7"/>
    <s v="Product Manager"/>
    <n v="15.9"/>
    <n v="10.7"/>
    <x v="423"/>
    <n v="9"/>
    <n v="7.9"/>
    <n v="5.9"/>
    <s v="Stable"/>
  </r>
  <r>
    <s v="T2306"/>
    <x v="1"/>
    <x v="6"/>
    <x v="0"/>
    <x v="0"/>
    <s v="Jun"/>
    <x v="2"/>
    <x v="2032"/>
    <n v="5.0999999999999996"/>
    <x v="1"/>
    <n v="2.6"/>
    <x v="38"/>
    <n v="5430"/>
    <x v="0"/>
    <n v="88.8"/>
    <s v="Cloud Engineer"/>
    <n v="-19.8"/>
    <n v="0"/>
    <x v="159"/>
    <n v="2.7"/>
    <n v="8.1"/>
    <n v="6.8"/>
    <s v="Stable"/>
  </r>
  <r>
    <s v="T2307"/>
    <x v="6"/>
    <x v="2"/>
    <x v="2"/>
    <x v="1"/>
    <s v="Jun"/>
    <x v="2"/>
    <x v="2033"/>
    <n v="10.9"/>
    <x v="3"/>
    <n v="2.5"/>
    <x v="40"/>
    <n v="301"/>
    <x v="2"/>
    <n v="20.3"/>
    <s v="ML Engineer"/>
    <n v="88.9"/>
    <n v="-16.8"/>
    <x v="328"/>
    <n v="2.5"/>
    <n v="7"/>
    <n v="5.3"/>
    <s v="Stable"/>
  </r>
  <r>
    <s v="T2308"/>
    <x v="13"/>
    <x v="5"/>
    <x v="0"/>
    <x v="1"/>
    <s v="Feb"/>
    <x v="2"/>
    <x v="2034"/>
    <n v="26.9"/>
    <x v="4"/>
    <n v="3.3"/>
    <x v="3"/>
    <n v="448"/>
    <x v="2"/>
    <n v="37.799999999999997"/>
    <s v="Cloud Engineer"/>
    <n v="-18.8"/>
    <n v="27.6"/>
    <x v="259"/>
    <n v="2.2999999999999998"/>
    <n v="6"/>
    <n v="4.4000000000000004"/>
    <s v="Recession"/>
  </r>
  <r>
    <s v="T2309"/>
    <x v="2"/>
    <x v="3"/>
    <x v="4"/>
    <x v="0"/>
    <s v="Feb"/>
    <x v="2"/>
    <x v="2035"/>
    <n v="31.5"/>
    <x v="2"/>
    <n v="8.5"/>
    <x v="5"/>
    <n v="1435"/>
    <x v="1"/>
    <n v="46.9"/>
    <s v="Data Scientist"/>
    <n v="51.5"/>
    <n v="24.1"/>
    <x v="451"/>
    <n v="6"/>
    <n v="5.4"/>
    <n v="3.2"/>
    <s v="Recession"/>
  </r>
  <r>
    <s v="T2310"/>
    <x v="4"/>
    <x v="1"/>
    <x v="2"/>
    <x v="2"/>
    <s v="Aug"/>
    <x v="2"/>
    <x v="2036"/>
    <n v="33"/>
    <x v="4"/>
    <n v="2.4"/>
    <x v="68"/>
    <n v="1747"/>
    <x v="2"/>
    <n v="12.4"/>
    <s v="DevOps Engineer"/>
    <n v="13.2"/>
    <n v="-24.8"/>
    <x v="482"/>
    <n v="1.4"/>
    <n v="5.5"/>
    <n v="2.6"/>
    <s v="Recession"/>
  </r>
  <r>
    <s v="T2311"/>
    <x v="2"/>
    <x v="5"/>
    <x v="1"/>
    <x v="0"/>
    <s v="May"/>
    <x v="1"/>
    <x v="2037"/>
    <n v="3.2"/>
    <x v="1"/>
    <n v="5.0999999999999996"/>
    <x v="38"/>
    <n v="3914"/>
    <x v="0"/>
    <n v="37.9"/>
    <s v="DevOps Engineer"/>
    <n v="39.299999999999997"/>
    <n v="19.7"/>
    <x v="273"/>
    <n v="3.6"/>
    <n v="7.6"/>
    <n v="7.2"/>
    <s v="Stable"/>
  </r>
  <r>
    <s v="T2312"/>
    <x v="1"/>
    <x v="6"/>
    <x v="0"/>
    <x v="1"/>
    <s v="Dec"/>
    <x v="1"/>
    <x v="1495"/>
    <n v="17"/>
    <x v="0"/>
    <n v="3.6"/>
    <x v="86"/>
    <n v="2473"/>
    <x v="1"/>
    <n v="29.7"/>
    <s v="DevOps Engineer"/>
    <n v="76.8"/>
    <n v="23"/>
    <x v="31"/>
    <n v="4.8"/>
    <n v="7"/>
    <n v="4.8"/>
    <s v="Stable"/>
  </r>
  <r>
    <s v="T2313"/>
    <x v="7"/>
    <x v="4"/>
    <x v="3"/>
    <x v="3"/>
    <s v="Aug"/>
    <x v="1"/>
    <x v="2038"/>
    <n v="25.4"/>
    <x v="2"/>
    <n v="8"/>
    <x v="5"/>
    <n v="172"/>
    <x v="1"/>
    <n v="22.6"/>
    <s v="Frontend Developer"/>
    <n v="-28"/>
    <n v="28.3"/>
    <x v="433"/>
    <n v="8.5"/>
    <n v="6.1"/>
    <n v="3.6"/>
    <s v="Recession"/>
  </r>
  <r>
    <s v="T2314"/>
    <x v="15"/>
    <x v="2"/>
    <x v="3"/>
    <x v="3"/>
    <s v="Apr"/>
    <x v="1"/>
    <x v="710"/>
    <n v="6.2"/>
    <x v="0"/>
    <n v="7.1"/>
    <x v="26"/>
    <n v="696"/>
    <x v="0"/>
    <n v="17.5"/>
    <s v="DevOps Engineer"/>
    <n v="46.6"/>
    <n v="-13.1"/>
    <x v="27"/>
    <n v="8.4"/>
    <n v="5.8"/>
    <n v="5.5"/>
    <s v="Bull Market"/>
  </r>
  <r>
    <s v="T2315"/>
    <x v="2"/>
    <x v="2"/>
    <x v="3"/>
    <x v="1"/>
    <s v="Feb"/>
    <x v="2"/>
    <x v="2039"/>
    <n v="7.5"/>
    <x v="1"/>
    <n v="11.3"/>
    <x v="5"/>
    <n v="3752"/>
    <x v="0"/>
    <n v="57"/>
    <s v="Product Manager"/>
    <n v="-44"/>
    <n v="29.1"/>
    <x v="133"/>
    <n v="7.3"/>
    <n v="8.9"/>
    <n v="6.5"/>
    <s v="Stable"/>
  </r>
  <r>
    <s v="T2316"/>
    <x v="8"/>
    <x v="4"/>
    <x v="1"/>
    <x v="2"/>
    <s v="Feb"/>
    <x v="2"/>
    <x v="2040"/>
    <n v="4.9000000000000004"/>
    <x v="0"/>
    <n v="9.5"/>
    <x v="33"/>
    <n v="699"/>
    <x v="0"/>
    <n v="41.6"/>
    <s v="ML Engineer"/>
    <n v="67.599999999999994"/>
    <n v="-11.3"/>
    <x v="173"/>
    <n v="8.6"/>
    <n v="4.9000000000000004"/>
    <n v="5.9"/>
    <s v="Stable"/>
  </r>
  <r>
    <s v="T2317"/>
    <x v="18"/>
    <x v="0"/>
    <x v="3"/>
    <x v="3"/>
    <s v="Nov"/>
    <x v="2"/>
    <x v="1310"/>
    <n v="8.3000000000000007"/>
    <x v="2"/>
    <n v="9.4"/>
    <x v="57"/>
    <n v="5086"/>
    <x v="0"/>
    <n v="10.8"/>
    <s v="Data Scientist"/>
    <n v="29.4"/>
    <n v="4.7"/>
    <x v="240"/>
    <n v="6.6"/>
    <n v="7.2"/>
    <n v="4.5999999999999996"/>
    <s v="Bull Market"/>
  </r>
  <r>
    <s v="T2318"/>
    <x v="6"/>
    <x v="1"/>
    <x v="4"/>
    <x v="2"/>
    <s v="Jun"/>
    <x v="0"/>
    <x v="1493"/>
    <n v="9.3000000000000007"/>
    <x v="3"/>
    <n v="3.4"/>
    <x v="39"/>
    <n v="5026"/>
    <x v="1"/>
    <n v="54.5"/>
    <s v="Software Engineer"/>
    <n v="-44.6"/>
    <n v="51.1"/>
    <x v="419"/>
    <n v="2.2999999999999998"/>
    <n v="9.6"/>
    <n v="8"/>
    <s v="Stable"/>
  </r>
  <r>
    <s v="T2319"/>
    <x v="17"/>
    <x v="3"/>
    <x v="4"/>
    <x v="1"/>
    <s v="Nov"/>
    <x v="2"/>
    <x v="2041"/>
    <n v="4.5"/>
    <x v="1"/>
    <n v="7.2"/>
    <x v="48"/>
    <n v="3885"/>
    <x v="0"/>
    <n v="65.599999999999994"/>
    <s v="Frontend Developer"/>
    <n v="34.799999999999997"/>
    <n v="11.6"/>
    <x v="260"/>
    <n v="7.2"/>
    <n v="5.4"/>
    <n v="6.6"/>
    <s v="Bull Market"/>
  </r>
  <r>
    <s v="T2320"/>
    <x v="10"/>
    <x v="3"/>
    <x v="0"/>
    <x v="3"/>
    <s v="May"/>
    <x v="0"/>
    <x v="463"/>
    <n v="8.9"/>
    <x v="0"/>
    <n v="9.9"/>
    <x v="85"/>
    <n v="5654"/>
    <x v="3"/>
    <n v="88.3"/>
    <s v="Data Scientist"/>
    <n v="-18.899999999999999"/>
    <n v="19.7"/>
    <x v="138"/>
    <n v="7.4"/>
    <n v="8.4"/>
    <n v="5.8"/>
    <s v="Stable"/>
  </r>
  <r>
    <s v="T2321"/>
    <x v="16"/>
    <x v="2"/>
    <x v="0"/>
    <x v="2"/>
    <s v="Feb"/>
    <x v="2"/>
    <x v="2042"/>
    <n v="2.2999999999999998"/>
    <x v="1"/>
    <n v="9.1"/>
    <x v="31"/>
    <n v="3524"/>
    <x v="0"/>
    <n v="74.8"/>
    <s v="Frontend Developer"/>
    <n v="44.5"/>
    <n v="11.3"/>
    <x v="473"/>
    <n v="7.3"/>
    <n v="8.5"/>
    <n v="6.3"/>
    <s v="Stable"/>
  </r>
  <r>
    <s v="T2322"/>
    <x v="4"/>
    <x v="1"/>
    <x v="0"/>
    <x v="3"/>
    <s v="Oct"/>
    <x v="1"/>
    <x v="2043"/>
    <n v="8.8000000000000007"/>
    <x v="1"/>
    <n v="3.4"/>
    <x v="47"/>
    <n v="273"/>
    <x v="1"/>
    <n v="56.2"/>
    <s v="Data Scientist"/>
    <n v="-41.8"/>
    <n v="10.3"/>
    <x v="218"/>
    <n v="4.9000000000000004"/>
    <n v="5.5"/>
    <n v="6.3"/>
    <s v="Recession"/>
  </r>
  <r>
    <s v="T2323"/>
    <x v="9"/>
    <x v="0"/>
    <x v="4"/>
    <x v="2"/>
    <s v="Dec"/>
    <x v="1"/>
    <x v="2044"/>
    <n v="17.600000000000001"/>
    <x v="0"/>
    <n v="8.4"/>
    <x v="5"/>
    <n v="5840"/>
    <x v="0"/>
    <n v="27.8"/>
    <s v="Data Scientist"/>
    <n v="-15.4"/>
    <n v="-10.1"/>
    <x v="70"/>
    <n v="6.6"/>
    <n v="3.5"/>
    <n v="4.2"/>
    <s v="Stable"/>
  </r>
  <r>
    <s v="T2324"/>
    <x v="6"/>
    <x v="2"/>
    <x v="2"/>
    <x v="2"/>
    <s v="Oct"/>
    <x v="1"/>
    <x v="2045"/>
    <n v="17.100000000000001"/>
    <x v="4"/>
    <n v="8.6999999999999993"/>
    <x v="5"/>
    <n v="5282"/>
    <x v="0"/>
    <n v="48.8"/>
    <s v="Software Engineer"/>
    <n v="75.5"/>
    <n v="55.6"/>
    <x v="503"/>
    <n v="5.2"/>
    <n v="7.1"/>
    <n v="5.4"/>
    <s v="Stable"/>
  </r>
  <r>
    <s v="T2325"/>
    <x v="1"/>
    <x v="0"/>
    <x v="2"/>
    <x v="0"/>
    <s v="Jul"/>
    <x v="2"/>
    <x v="2046"/>
    <n v="1.1000000000000001"/>
    <x v="1"/>
    <n v="9.1999999999999993"/>
    <x v="29"/>
    <n v="7448"/>
    <x v="0"/>
    <n v="44.1"/>
    <s v="Data Scientist"/>
    <n v="87.2"/>
    <n v="33.6"/>
    <x v="131"/>
    <n v="5.8"/>
    <n v="9.1"/>
    <n v="7.2"/>
    <s v="Bull Market"/>
  </r>
  <r>
    <s v="T2326"/>
    <x v="16"/>
    <x v="2"/>
    <x v="3"/>
    <x v="1"/>
    <s v="Sep"/>
    <x v="1"/>
    <x v="1928"/>
    <n v="8"/>
    <x v="4"/>
    <n v="10.5"/>
    <x v="29"/>
    <n v="2886"/>
    <x v="1"/>
    <n v="27"/>
    <s v="Frontend Developer"/>
    <n v="25.2"/>
    <n v="-15.3"/>
    <x v="374"/>
    <n v="6.5"/>
    <n v="7.5"/>
    <n v="6"/>
    <s v="Stable"/>
  </r>
  <r>
    <s v="T2327"/>
    <x v="6"/>
    <x v="1"/>
    <x v="1"/>
    <x v="0"/>
    <s v="Mar"/>
    <x v="0"/>
    <x v="2047"/>
    <n v="7.9"/>
    <x v="0"/>
    <n v="3.5"/>
    <x v="17"/>
    <n v="2602"/>
    <x v="1"/>
    <n v="13.8"/>
    <s v="Product Manager"/>
    <n v="8.9"/>
    <n v="52.7"/>
    <x v="370"/>
    <n v="5.7"/>
    <n v="8.6999999999999993"/>
    <n v="7.5"/>
    <s v="Stable"/>
  </r>
  <r>
    <s v="T2328"/>
    <x v="1"/>
    <x v="1"/>
    <x v="3"/>
    <x v="3"/>
    <s v="Jan"/>
    <x v="1"/>
    <x v="747"/>
    <n v="10.4"/>
    <x v="4"/>
    <n v="6.3"/>
    <x v="10"/>
    <n v="5230"/>
    <x v="1"/>
    <n v="54.9"/>
    <s v="Data Scientist"/>
    <n v="33.9"/>
    <n v="40.700000000000003"/>
    <x v="447"/>
    <n v="4.0999999999999996"/>
    <n v="7.2"/>
    <n v="7.7"/>
    <s v="Stable"/>
  </r>
  <r>
    <s v="T2329"/>
    <x v="11"/>
    <x v="6"/>
    <x v="5"/>
    <x v="3"/>
    <s v="Oct"/>
    <x v="0"/>
    <x v="1524"/>
    <n v="10.1"/>
    <x v="0"/>
    <n v="8"/>
    <x v="5"/>
    <n v="1277"/>
    <x v="1"/>
    <n v="33.200000000000003"/>
    <s v="Cybersecurity Analyst"/>
    <n v="79.599999999999994"/>
    <n v="4.5999999999999996"/>
    <x v="303"/>
    <n v="9.6"/>
    <n v="6"/>
    <n v="4.4000000000000004"/>
    <s v="Recession"/>
  </r>
  <r>
    <s v="T2330"/>
    <x v="0"/>
    <x v="0"/>
    <x v="4"/>
    <x v="3"/>
    <s v="Jan"/>
    <x v="0"/>
    <x v="2048"/>
    <n v="15.9"/>
    <x v="1"/>
    <n v="2.5"/>
    <x v="78"/>
    <n v="6088"/>
    <x v="1"/>
    <n v="37.299999999999997"/>
    <s v="ML Engineer"/>
    <n v="48.3"/>
    <n v="6.7"/>
    <x v="329"/>
    <n v="1.6"/>
    <n v="4.3"/>
    <n v="5.6"/>
    <s v="Stable"/>
  </r>
  <r>
    <s v="T2331"/>
    <x v="9"/>
    <x v="0"/>
    <x v="5"/>
    <x v="3"/>
    <s v="Jan"/>
    <x v="2"/>
    <x v="2049"/>
    <n v="17.8"/>
    <x v="4"/>
    <n v="8.4"/>
    <x v="5"/>
    <n v="5020"/>
    <x v="0"/>
    <n v="63.4"/>
    <s v="ML Engineer"/>
    <n v="-6.4"/>
    <n v="59.7"/>
    <x v="289"/>
    <n v="6"/>
    <n v="8.5"/>
    <n v="5.5"/>
    <s v="Recession"/>
  </r>
  <r>
    <s v="T2332"/>
    <x v="8"/>
    <x v="6"/>
    <x v="1"/>
    <x v="3"/>
    <s v="Nov"/>
    <x v="1"/>
    <x v="2050"/>
    <n v="9.1999999999999993"/>
    <x v="0"/>
    <n v="2.6"/>
    <x v="58"/>
    <n v="5618"/>
    <x v="0"/>
    <n v="64.400000000000006"/>
    <s v="Data Scientist"/>
    <n v="40.9"/>
    <n v="39.6"/>
    <x v="121"/>
    <n v="2"/>
    <n v="9.4"/>
    <n v="7.3"/>
    <s v="Stable"/>
  </r>
  <r>
    <s v="T2333"/>
    <x v="4"/>
    <x v="1"/>
    <x v="5"/>
    <x v="3"/>
    <s v="Nov"/>
    <x v="1"/>
    <x v="2051"/>
    <n v="15.7"/>
    <x v="3"/>
    <n v="5.7"/>
    <x v="23"/>
    <n v="1183"/>
    <x v="1"/>
    <n v="36.1"/>
    <s v="ML Engineer"/>
    <n v="31.1"/>
    <n v="-9.6999999999999993"/>
    <x v="170"/>
    <n v="8.8000000000000007"/>
    <n v="3.5"/>
    <n v="5.8"/>
    <s v="Recession"/>
  </r>
  <r>
    <s v="T2334"/>
    <x v="1"/>
    <x v="0"/>
    <x v="3"/>
    <x v="2"/>
    <s v="Jun"/>
    <x v="0"/>
    <x v="1170"/>
    <n v="2.9"/>
    <x v="4"/>
    <n v="12.3"/>
    <x v="5"/>
    <n v="5271"/>
    <x v="3"/>
    <n v="85.7"/>
    <s v="Data Scientist"/>
    <n v="-28.8"/>
    <n v="-13.8"/>
    <x v="294"/>
    <n v="8.6999999999999993"/>
    <n v="4.7"/>
    <n v="5.5"/>
    <s v="Bull Market"/>
  </r>
  <r>
    <s v="T2335"/>
    <x v="7"/>
    <x v="4"/>
    <x v="5"/>
    <x v="2"/>
    <s v="Apr"/>
    <x v="0"/>
    <x v="958"/>
    <n v="5.4"/>
    <x v="2"/>
    <n v="13.7"/>
    <x v="2"/>
    <n v="1371"/>
    <x v="0"/>
    <n v="70"/>
    <s v="DevOps Engineer"/>
    <n v="8.6"/>
    <n v="3.3"/>
    <x v="100"/>
    <n v="8.8000000000000007"/>
    <n v="6.4"/>
    <n v="5.2"/>
    <s v="Bull Market"/>
  </r>
  <r>
    <s v="T2336"/>
    <x v="7"/>
    <x v="4"/>
    <x v="0"/>
    <x v="2"/>
    <s v="May"/>
    <x v="1"/>
    <x v="2052"/>
    <n v="4.9000000000000004"/>
    <x v="4"/>
    <n v="2.8"/>
    <x v="82"/>
    <n v="4379"/>
    <x v="1"/>
    <n v="46.6"/>
    <s v="Frontend Developer"/>
    <n v="-18.100000000000001"/>
    <n v="-20.5"/>
    <x v="247"/>
    <n v="4.5"/>
    <n v="4.9000000000000004"/>
    <n v="5.6"/>
    <s v="Bull Market"/>
  </r>
  <r>
    <s v="T2337"/>
    <x v="15"/>
    <x v="2"/>
    <x v="4"/>
    <x v="1"/>
    <s v="Oct"/>
    <x v="1"/>
    <x v="2053"/>
    <n v="3.3"/>
    <x v="0"/>
    <n v="5.5"/>
    <x v="68"/>
    <n v="2244"/>
    <x v="0"/>
    <n v="43"/>
    <s v="Data Scientist"/>
    <n v="-36.200000000000003"/>
    <n v="10.5"/>
    <x v="196"/>
    <n v="4.5999999999999996"/>
    <n v="5.0999999999999996"/>
    <n v="5.8"/>
    <s v="Stable"/>
  </r>
  <r>
    <s v="T2338"/>
    <x v="1"/>
    <x v="4"/>
    <x v="2"/>
    <x v="0"/>
    <s v="Feb"/>
    <x v="2"/>
    <x v="2054"/>
    <n v="9.1"/>
    <x v="3"/>
    <n v="12.7"/>
    <x v="5"/>
    <n v="5419"/>
    <x v="0"/>
    <n v="78.099999999999994"/>
    <s v="Cybersecurity Analyst"/>
    <n v="87.2"/>
    <n v="-4.0999999999999996"/>
    <x v="128"/>
    <n v="7.9"/>
    <n v="4.7"/>
    <n v="4.9000000000000004"/>
    <s v="Bull Market"/>
  </r>
  <r>
    <s v="T2339"/>
    <x v="10"/>
    <x v="3"/>
    <x v="1"/>
    <x v="0"/>
    <s v="Apr"/>
    <x v="0"/>
    <x v="2055"/>
    <n v="10.8"/>
    <x v="2"/>
    <n v="3.9"/>
    <x v="38"/>
    <n v="1312"/>
    <x v="1"/>
    <n v="25.7"/>
    <s v="Cybersecurity Analyst"/>
    <n v="3.8"/>
    <n v="25"/>
    <x v="434"/>
    <n v="4.8"/>
    <n v="6.6"/>
    <n v="7.7"/>
    <s v="Recession"/>
  </r>
  <r>
    <s v="T2340"/>
    <x v="0"/>
    <x v="0"/>
    <x v="5"/>
    <x v="1"/>
    <s v="Mar"/>
    <x v="0"/>
    <x v="2056"/>
    <n v="3.8"/>
    <x v="0"/>
    <n v="8.3000000000000007"/>
    <x v="78"/>
    <n v="1483"/>
    <x v="1"/>
    <n v="24.4"/>
    <s v="ML Engineer"/>
    <n v="28.5"/>
    <n v="2.1"/>
    <x v="122"/>
    <n v="8.3000000000000007"/>
    <n v="6.6"/>
    <n v="6.2"/>
    <s v="Bull Market"/>
  </r>
  <r>
    <s v="T2341"/>
    <x v="16"/>
    <x v="2"/>
    <x v="0"/>
    <x v="2"/>
    <s v="Jun"/>
    <x v="2"/>
    <x v="2057"/>
    <n v="8.4"/>
    <x v="2"/>
    <n v="11"/>
    <x v="31"/>
    <n v="5733"/>
    <x v="0"/>
    <n v="34.799999999999997"/>
    <s v="Software Engineer"/>
    <n v="-32.200000000000003"/>
    <n v="33.200000000000003"/>
    <x v="55"/>
    <n v="8.6"/>
    <n v="6"/>
    <n v="6.5"/>
    <s v="Bull Market"/>
  </r>
  <r>
    <s v="T2342"/>
    <x v="9"/>
    <x v="0"/>
    <x v="2"/>
    <x v="1"/>
    <s v="Jan"/>
    <x v="0"/>
    <x v="2058"/>
    <n v="22.1"/>
    <x v="1"/>
    <n v="13.4"/>
    <x v="5"/>
    <n v="9247"/>
    <x v="0"/>
    <n v="43.4"/>
    <s v="ML Engineer"/>
    <n v="64.2"/>
    <n v="20.9"/>
    <x v="184"/>
    <n v="9.5"/>
    <n v="6.8"/>
    <n v="5.2"/>
    <s v="Recession"/>
  </r>
  <r>
    <s v="T2343"/>
    <x v="11"/>
    <x v="6"/>
    <x v="2"/>
    <x v="0"/>
    <s v="Dec"/>
    <x v="0"/>
    <x v="77"/>
    <n v="2.5"/>
    <x v="4"/>
    <n v="14.3"/>
    <x v="5"/>
    <n v="4184"/>
    <x v="0"/>
    <n v="28.2"/>
    <s v="Cybersecurity Analyst"/>
    <n v="-29.2"/>
    <n v="14.1"/>
    <x v="86"/>
    <n v="8.8000000000000007"/>
    <n v="7.9"/>
    <n v="6.3"/>
    <s v="Stable"/>
  </r>
  <r>
    <s v="T2344"/>
    <x v="6"/>
    <x v="2"/>
    <x v="4"/>
    <x v="0"/>
    <s v="Mar"/>
    <x v="1"/>
    <x v="2059"/>
    <n v="6.5"/>
    <x v="2"/>
    <n v="6.9"/>
    <x v="61"/>
    <n v="3145"/>
    <x v="1"/>
    <n v="12.9"/>
    <s v="Product Manager"/>
    <n v="44.8"/>
    <n v="-6.3"/>
    <x v="68"/>
    <n v="6.8"/>
    <n v="8"/>
    <n v="6.9"/>
    <s v="Bull Market"/>
  </r>
  <r>
    <s v="T2345"/>
    <x v="19"/>
    <x v="0"/>
    <x v="5"/>
    <x v="1"/>
    <s v="Sep"/>
    <x v="2"/>
    <x v="293"/>
    <n v="3.3"/>
    <x v="0"/>
    <n v="12.2"/>
    <x v="48"/>
    <n v="5887"/>
    <x v="0"/>
    <n v="70.7"/>
    <s v="ML Engineer"/>
    <n v="-10.6"/>
    <n v="-2.1"/>
    <x v="273"/>
    <n v="8.5"/>
    <n v="5.6"/>
    <n v="6.4"/>
    <s v="Bull Market"/>
  </r>
  <r>
    <s v="T2346"/>
    <x v="17"/>
    <x v="0"/>
    <x v="4"/>
    <x v="1"/>
    <s v="Sep"/>
    <x v="1"/>
    <x v="2060"/>
    <n v="7.1"/>
    <x v="4"/>
    <n v="4.8"/>
    <x v="10"/>
    <n v="2947"/>
    <x v="1"/>
    <n v="85.5"/>
    <s v="Data Scientist"/>
    <n v="82.1"/>
    <n v="-14.9"/>
    <x v="30"/>
    <n v="5.2"/>
    <n v="5.0999999999999996"/>
    <n v="6.3"/>
    <s v="Stable"/>
  </r>
  <r>
    <s v="T2347"/>
    <x v="9"/>
    <x v="0"/>
    <x v="3"/>
    <x v="1"/>
    <s v="Oct"/>
    <x v="2"/>
    <x v="832"/>
    <n v="5.7"/>
    <x v="4"/>
    <n v="2.5"/>
    <x v="72"/>
    <n v="5105"/>
    <x v="1"/>
    <n v="18.399999999999999"/>
    <s v="ML Engineer"/>
    <n v="16.8"/>
    <n v="-14.3"/>
    <x v="480"/>
    <n v="4"/>
    <n v="6.9"/>
    <n v="5.6"/>
    <s v="Stable"/>
  </r>
  <r>
    <s v="T2348"/>
    <x v="16"/>
    <x v="2"/>
    <x v="1"/>
    <x v="3"/>
    <s v="Mar"/>
    <x v="1"/>
    <x v="2061"/>
    <n v="22.7"/>
    <x v="1"/>
    <n v="7.5"/>
    <x v="5"/>
    <n v="1866"/>
    <x v="1"/>
    <n v="24.4"/>
    <s v="Product Manager"/>
    <n v="59.3"/>
    <n v="-16.7"/>
    <x v="92"/>
    <n v="6.9"/>
    <n v="6.2"/>
    <n v="3.2"/>
    <s v="Recession"/>
  </r>
  <r>
    <s v="T2349"/>
    <x v="13"/>
    <x v="5"/>
    <x v="2"/>
    <x v="1"/>
    <s v="Nov"/>
    <x v="1"/>
    <x v="2062"/>
    <n v="10.6"/>
    <x v="3"/>
    <n v="3.8"/>
    <x v="25"/>
    <n v="1802"/>
    <x v="1"/>
    <n v="62.8"/>
    <s v="Data Scientist"/>
    <n v="86.8"/>
    <n v="44.1"/>
    <x v="133"/>
    <n v="5.5"/>
    <n v="9.1999999999999993"/>
    <n v="6.2"/>
    <s v="Recession"/>
  </r>
  <r>
    <s v="T2350"/>
    <x v="14"/>
    <x v="1"/>
    <x v="2"/>
    <x v="3"/>
    <s v="Jan"/>
    <x v="0"/>
    <x v="2063"/>
    <n v="9.6999999999999993"/>
    <x v="2"/>
    <n v="10"/>
    <x v="63"/>
    <n v="5543"/>
    <x v="0"/>
    <n v="23.1"/>
    <s v="Product Manager"/>
    <n v="4"/>
    <n v="-21"/>
    <x v="446"/>
    <n v="6"/>
    <n v="4.7"/>
    <n v="5.0999999999999996"/>
    <s v="Bull Market"/>
  </r>
  <r>
    <s v="T2351"/>
    <x v="3"/>
    <x v="1"/>
    <x v="0"/>
    <x v="2"/>
    <s v="Nov"/>
    <x v="1"/>
    <x v="1502"/>
    <n v="5.3"/>
    <x v="1"/>
    <n v="6.5"/>
    <x v="23"/>
    <n v="782"/>
    <x v="0"/>
    <n v="56.1"/>
    <s v="Software Engineer"/>
    <n v="29.8"/>
    <n v="27.4"/>
    <x v="83"/>
    <n v="8.8000000000000007"/>
    <n v="6.9"/>
    <n v="6.6"/>
    <s v="Stable"/>
  </r>
  <r>
    <s v="T2352"/>
    <x v="12"/>
    <x v="5"/>
    <x v="1"/>
    <x v="2"/>
    <s v="Sep"/>
    <x v="2"/>
    <x v="2064"/>
    <n v="10.7"/>
    <x v="3"/>
    <n v="15.6"/>
    <x v="5"/>
    <n v="1025"/>
    <x v="1"/>
    <n v="70.7"/>
    <s v="Product Manager"/>
    <n v="64.099999999999994"/>
    <n v="15.5"/>
    <x v="211"/>
    <n v="9.6999999999999993"/>
    <n v="5.0999999999999996"/>
    <n v="5.4"/>
    <s v="Recession"/>
  </r>
  <r>
    <s v="T2353"/>
    <x v="12"/>
    <x v="5"/>
    <x v="5"/>
    <x v="3"/>
    <s v="Sep"/>
    <x v="0"/>
    <x v="2065"/>
    <n v="16.399999999999999"/>
    <x v="0"/>
    <n v="5.2"/>
    <x v="44"/>
    <n v="1375"/>
    <x v="1"/>
    <n v="86.4"/>
    <s v="DevOps Engineer"/>
    <n v="88.1"/>
    <n v="57.4"/>
    <x v="233"/>
    <n v="3.8"/>
    <n v="5.5"/>
    <n v="7.7"/>
    <s v="Recession"/>
  </r>
  <r>
    <s v="T2354"/>
    <x v="19"/>
    <x v="0"/>
    <x v="2"/>
    <x v="3"/>
    <s v="Sep"/>
    <x v="2"/>
    <x v="2066"/>
    <n v="4.7"/>
    <x v="1"/>
    <n v="6.4"/>
    <x v="71"/>
    <n v="6824"/>
    <x v="0"/>
    <n v="81.7"/>
    <s v="ML Engineer"/>
    <n v="50.6"/>
    <n v="-2.1"/>
    <x v="59"/>
    <n v="4.5999999999999996"/>
    <n v="7.3"/>
    <n v="6.4"/>
    <s v="Stable"/>
  </r>
  <r>
    <s v="T2355"/>
    <x v="15"/>
    <x v="2"/>
    <x v="4"/>
    <x v="3"/>
    <s v="Nov"/>
    <x v="1"/>
    <x v="113"/>
    <n v="3.6"/>
    <x v="2"/>
    <n v="1.9"/>
    <x v="77"/>
    <n v="1135"/>
    <x v="1"/>
    <n v="29.1"/>
    <s v="DevOps Engineer"/>
    <n v="59.4"/>
    <n v="-19.5"/>
    <x v="379"/>
    <n v="1.5"/>
    <n v="4.9000000000000004"/>
    <n v="6.9"/>
    <s v="Stable"/>
  </r>
  <r>
    <s v="T2356"/>
    <x v="1"/>
    <x v="4"/>
    <x v="3"/>
    <x v="3"/>
    <s v="Apr"/>
    <x v="1"/>
    <x v="850"/>
    <n v="2.4"/>
    <x v="4"/>
    <n v="3.4"/>
    <x v="77"/>
    <n v="460"/>
    <x v="1"/>
    <n v="14.6"/>
    <s v="Product Manager"/>
    <n v="36.700000000000003"/>
    <n v="-24.4"/>
    <x v="128"/>
    <n v="2"/>
    <n v="7"/>
    <n v="7.4"/>
    <s v="Bull Market"/>
  </r>
  <r>
    <s v="T2357"/>
    <x v="19"/>
    <x v="0"/>
    <x v="5"/>
    <x v="1"/>
    <s v="Sep"/>
    <x v="0"/>
    <x v="2067"/>
    <n v="37.6"/>
    <x v="0"/>
    <n v="7.1"/>
    <x v="5"/>
    <n v="6449"/>
    <x v="1"/>
    <n v="81.7"/>
    <s v="Data Scientist"/>
    <n v="65.599999999999994"/>
    <n v="49.2"/>
    <x v="283"/>
    <n v="5.2"/>
    <n v="5.7"/>
    <n v="3.8"/>
    <s v="Recession"/>
  </r>
  <r>
    <s v="T2358"/>
    <x v="4"/>
    <x v="1"/>
    <x v="5"/>
    <x v="2"/>
    <s v="Jan"/>
    <x v="1"/>
    <x v="2068"/>
    <n v="8.3000000000000007"/>
    <x v="1"/>
    <n v="9.6999999999999993"/>
    <x v="26"/>
    <n v="3585"/>
    <x v="0"/>
    <n v="86.6"/>
    <s v="Product Manager"/>
    <n v="81.5"/>
    <n v="45.2"/>
    <x v="439"/>
    <n v="9"/>
    <n v="9.3000000000000007"/>
    <n v="5.8"/>
    <s v="Bull Market"/>
  </r>
  <r>
    <s v="T2359"/>
    <x v="0"/>
    <x v="5"/>
    <x v="3"/>
    <x v="2"/>
    <s v="Sep"/>
    <x v="0"/>
    <x v="2069"/>
    <n v="2.7"/>
    <x v="3"/>
    <n v="9"/>
    <x v="5"/>
    <n v="3310"/>
    <x v="0"/>
    <n v="18.8"/>
    <s v="Data Scientist"/>
    <n v="36.299999999999997"/>
    <n v="40.1"/>
    <x v="111"/>
    <n v="7.4"/>
    <n v="8.3000000000000007"/>
    <n v="7.7"/>
    <s v="Bull Market"/>
  </r>
  <r>
    <s v="T2360"/>
    <x v="2"/>
    <x v="5"/>
    <x v="0"/>
    <x v="0"/>
    <s v="Dec"/>
    <x v="1"/>
    <x v="2070"/>
    <n v="8.4"/>
    <x v="3"/>
    <n v="2.8"/>
    <x v="61"/>
    <n v="1038"/>
    <x v="1"/>
    <n v="48.8"/>
    <s v="DevOps Engineer"/>
    <n v="3.9"/>
    <n v="-2.8"/>
    <x v="122"/>
    <n v="2.2999999999999998"/>
    <n v="6.1"/>
    <n v="6.5"/>
    <s v="Recession"/>
  </r>
  <r>
    <s v="T2361"/>
    <x v="19"/>
    <x v="0"/>
    <x v="1"/>
    <x v="0"/>
    <s v="Aug"/>
    <x v="0"/>
    <x v="589"/>
    <n v="14.9"/>
    <x v="4"/>
    <n v="9.1999999999999993"/>
    <x v="15"/>
    <n v="5090"/>
    <x v="0"/>
    <n v="74.2"/>
    <s v="Data Scientist"/>
    <n v="68.2"/>
    <n v="19.899999999999999"/>
    <x v="134"/>
    <n v="9.6"/>
    <n v="7.6"/>
    <n v="4.4000000000000004"/>
    <s v="Stable"/>
  </r>
  <r>
    <s v="T2362"/>
    <x v="4"/>
    <x v="0"/>
    <x v="1"/>
    <x v="2"/>
    <s v="Jun"/>
    <x v="0"/>
    <x v="2071"/>
    <n v="6.9"/>
    <x v="4"/>
    <n v="8.1"/>
    <x v="30"/>
    <n v="3731"/>
    <x v="0"/>
    <n v="33.9"/>
    <s v="ML Engineer"/>
    <n v="-17.3"/>
    <n v="10.9"/>
    <x v="382"/>
    <n v="5.6"/>
    <n v="4.8"/>
    <n v="5.2"/>
    <s v="Stable"/>
  </r>
  <r>
    <s v="T2363"/>
    <x v="1"/>
    <x v="1"/>
    <x v="1"/>
    <x v="0"/>
    <s v="Dec"/>
    <x v="1"/>
    <x v="2072"/>
    <n v="36"/>
    <x v="0"/>
    <n v="4.8"/>
    <x v="5"/>
    <n v="1562"/>
    <x v="2"/>
    <n v="51"/>
    <s v="Cloud Engineer"/>
    <n v="-42.9"/>
    <n v="42"/>
    <x v="225"/>
    <n v="3.6"/>
    <n v="5.5"/>
    <n v="2.9"/>
    <s v="Recession"/>
  </r>
  <r>
    <s v="T2364"/>
    <x v="0"/>
    <x v="0"/>
    <x v="4"/>
    <x v="3"/>
    <s v="Jul"/>
    <x v="2"/>
    <x v="2073"/>
    <n v="4.5999999999999996"/>
    <x v="3"/>
    <n v="10.1"/>
    <x v="82"/>
    <n v="4765"/>
    <x v="0"/>
    <n v="58.5"/>
    <s v="Data Scientist"/>
    <n v="75.3"/>
    <n v="36.6"/>
    <x v="367"/>
    <n v="7.7"/>
    <n v="8.1999999999999993"/>
    <n v="7.5"/>
    <s v="Bull Market"/>
  </r>
  <r>
    <s v="T2365"/>
    <x v="4"/>
    <x v="1"/>
    <x v="1"/>
    <x v="2"/>
    <s v="Jan"/>
    <x v="2"/>
    <x v="2074"/>
    <n v="0.4"/>
    <x v="3"/>
    <n v="4.5"/>
    <x v="70"/>
    <n v="346"/>
    <x v="0"/>
    <n v="46.1"/>
    <s v="DevOps Engineer"/>
    <n v="77.900000000000006"/>
    <n v="19.899999999999999"/>
    <x v="1"/>
    <n v="4.5"/>
    <n v="7.7"/>
    <n v="7.3"/>
    <s v="Bull Market"/>
  </r>
  <r>
    <s v="T2366"/>
    <x v="13"/>
    <x v="5"/>
    <x v="1"/>
    <x v="0"/>
    <s v="Sep"/>
    <x v="2"/>
    <x v="2075"/>
    <n v="1.6"/>
    <x v="0"/>
    <n v="2"/>
    <x v="19"/>
    <n v="934"/>
    <x v="1"/>
    <n v="85.2"/>
    <s v="Product Manager"/>
    <n v="-11.5"/>
    <n v="19"/>
    <x v="14"/>
    <n v="1.3"/>
    <n v="8.3000000000000007"/>
    <n v="8.4"/>
    <s v="Bull Market"/>
  </r>
  <r>
    <s v="T2367"/>
    <x v="15"/>
    <x v="2"/>
    <x v="1"/>
    <x v="2"/>
    <s v="Oct"/>
    <x v="0"/>
    <x v="238"/>
    <n v="2.5"/>
    <x v="0"/>
    <n v="8.8000000000000007"/>
    <x v="5"/>
    <n v="478"/>
    <x v="0"/>
    <n v="66.599999999999994"/>
    <s v="Cloud Engineer"/>
    <n v="-21.1"/>
    <n v="6.7"/>
    <x v="196"/>
    <n v="9.6999999999999993"/>
    <n v="6.1"/>
    <n v="6.8"/>
    <s v="Bull Market"/>
  </r>
  <r>
    <s v="T2368"/>
    <x v="6"/>
    <x v="1"/>
    <x v="3"/>
    <x v="0"/>
    <s v="May"/>
    <x v="0"/>
    <x v="2076"/>
    <n v="7.8"/>
    <x v="1"/>
    <n v="11"/>
    <x v="65"/>
    <n v="5905"/>
    <x v="0"/>
    <n v="71.099999999999994"/>
    <s v="Software Engineer"/>
    <n v="22"/>
    <n v="55.9"/>
    <x v="297"/>
    <n v="8.5"/>
    <n v="7.6"/>
    <n v="7.4"/>
    <s v="Stable"/>
  </r>
  <r>
    <s v="T2369"/>
    <x v="0"/>
    <x v="1"/>
    <x v="5"/>
    <x v="1"/>
    <s v="Jan"/>
    <x v="2"/>
    <x v="432"/>
    <n v="8.5"/>
    <x v="2"/>
    <n v="2.1"/>
    <x v="72"/>
    <n v="5120"/>
    <x v="0"/>
    <n v="67.7"/>
    <s v="Frontend Developer"/>
    <n v="-32.6"/>
    <n v="-23.8"/>
    <x v="84"/>
    <n v="3.3"/>
    <n v="7"/>
    <n v="4.5999999999999996"/>
    <s v="Stable"/>
  </r>
  <r>
    <s v="T2370"/>
    <x v="0"/>
    <x v="2"/>
    <x v="5"/>
    <x v="2"/>
    <s v="Jan"/>
    <x v="2"/>
    <x v="2077"/>
    <n v="27.2"/>
    <x v="1"/>
    <n v="5.9"/>
    <x v="5"/>
    <n v="527"/>
    <x v="1"/>
    <n v="49.5"/>
    <s v="DevOps Engineer"/>
    <n v="79.5"/>
    <n v="1.2"/>
    <x v="84"/>
    <n v="6.2"/>
    <n v="5.4"/>
    <n v="4.2"/>
    <s v="Recession"/>
  </r>
  <r>
    <s v="T2371"/>
    <x v="11"/>
    <x v="6"/>
    <x v="3"/>
    <x v="1"/>
    <s v="Jul"/>
    <x v="0"/>
    <x v="2078"/>
    <n v="2.2999999999999998"/>
    <x v="3"/>
    <n v="2.9"/>
    <x v="76"/>
    <n v="1889"/>
    <x v="1"/>
    <n v="78"/>
    <s v="Data Scientist"/>
    <n v="-3.7"/>
    <n v="-18.600000000000001"/>
    <x v="63"/>
    <n v="3.3"/>
    <n v="7"/>
    <n v="6.6"/>
    <s v="Stable"/>
  </r>
  <r>
    <s v="T2372"/>
    <x v="19"/>
    <x v="0"/>
    <x v="2"/>
    <x v="1"/>
    <s v="Apr"/>
    <x v="2"/>
    <x v="2079"/>
    <n v="3.2"/>
    <x v="4"/>
    <n v="7.5"/>
    <x v="60"/>
    <n v="5544"/>
    <x v="0"/>
    <n v="34.1"/>
    <s v="Data Scientist"/>
    <n v="9.6"/>
    <n v="12.1"/>
    <x v="74"/>
    <n v="5.3"/>
    <n v="6.9"/>
    <n v="7"/>
    <s v="Bull Market"/>
  </r>
  <r>
    <s v="T2373"/>
    <x v="1"/>
    <x v="1"/>
    <x v="1"/>
    <x v="1"/>
    <s v="Aug"/>
    <x v="0"/>
    <x v="2080"/>
    <n v="13.2"/>
    <x v="0"/>
    <n v="9.9"/>
    <x v="5"/>
    <n v="2089"/>
    <x v="0"/>
    <n v="25.1"/>
    <s v="Data Scientist"/>
    <n v="5.6"/>
    <n v="41.1"/>
    <x v="392"/>
    <n v="10"/>
    <n v="6.7"/>
    <n v="5.4"/>
    <s v="Stable"/>
  </r>
  <r>
    <s v="T2374"/>
    <x v="2"/>
    <x v="5"/>
    <x v="2"/>
    <x v="1"/>
    <s v="Jan"/>
    <x v="1"/>
    <x v="2081"/>
    <n v="13.1"/>
    <x v="3"/>
    <n v="3.7"/>
    <x v="5"/>
    <n v="1645"/>
    <x v="1"/>
    <n v="30.7"/>
    <s v="Cybersecurity Analyst"/>
    <n v="-33.5"/>
    <n v="53.8"/>
    <x v="137"/>
    <n v="5.7"/>
    <n v="8.3000000000000007"/>
    <n v="5.5"/>
    <s v="Stable"/>
  </r>
  <r>
    <s v="T2375"/>
    <x v="9"/>
    <x v="0"/>
    <x v="5"/>
    <x v="0"/>
    <s v="Oct"/>
    <x v="0"/>
    <x v="2082"/>
    <n v="10.3"/>
    <x v="3"/>
    <n v="10.5"/>
    <x v="23"/>
    <n v="7617"/>
    <x v="0"/>
    <n v="15.7"/>
    <s v="Data Scientist"/>
    <n v="34.5"/>
    <n v="13.2"/>
    <x v="72"/>
    <n v="6.3"/>
    <n v="5.2"/>
    <n v="6.5"/>
    <s v="Stable"/>
  </r>
  <r>
    <s v="T2376"/>
    <x v="0"/>
    <x v="0"/>
    <x v="0"/>
    <x v="2"/>
    <s v="Jun"/>
    <x v="2"/>
    <x v="2083"/>
    <n v="12.6"/>
    <x v="0"/>
    <n v="6.9"/>
    <x v="11"/>
    <n v="7475"/>
    <x v="0"/>
    <n v="38.1"/>
    <s v="Data Scientist"/>
    <n v="82.5"/>
    <n v="27.2"/>
    <x v="81"/>
    <n v="5.4"/>
    <n v="7.5"/>
    <n v="5.5"/>
    <s v="Stable"/>
  </r>
  <r>
    <s v="T2377"/>
    <x v="12"/>
    <x v="5"/>
    <x v="2"/>
    <x v="1"/>
    <s v="Jan"/>
    <x v="2"/>
    <x v="2084"/>
    <n v="4.3"/>
    <x v="4"/>
    <n v="2.2000000000000002"/>
    <x v="74"/>
    <n v="4311"/>
    <x v="1"/>
    <n v="28.7"/>
    <s v="ML Engineer"/>
    <n v="33.200000000000003"/>
    <n v="29.4"/>
    <x v="333"/>
    <n v="1.8"/>
    <n v="5.8"/>
    <n v="8.3000000000000007"/>
    <s v="Bull Market"/>
  </r>
  <r>
    <s v="T2378"/>
    <x v="2"/>
    <x v="3"/>
    <x v="2"/>
    <x v="1"/>
    <s v="Aug"/>
    <x v="1"/>
    <x v="2085"/>
    <n v="6.8"/>
    <x v="3"/>
    <n v="3.3"/>
    <x v="58"/>
    <n v="2539"/>
    <x v="1"/>
    <n v="36.1"/>
    <s v="Cloud Engineer"/>
    <n v="23.1"/>
    <n v="43"/>
    <x v="419"/>
    <n v="4.9000000000000004"/>
    <n v="6.5"/>
    <n v="7.4"/>
    <s v="Bull Market"/>
  </r>
  <r>
    <s v="T2379"/>
    <x v="2"/>
    <x v="2"/>
    <x v="2"/>
    <x v="2"/>
    <s v="Feb"/>
    <x v="0"/>
    <x v="2086"/>
    <n v="17.100000000000001"/>
    <x v="4"/>
    <n v="1.4"/>
    <x v="85"/>
    <n v="2748"/>
    <x v="2"/>
    <n v="14"/>
    <s v="ML Engineer"/>
    <n v="-5.8"/>
    <n v="48.6"/>
    <x v="194"/>
    <n v="1.4"/>
    <n v="5.7"/>
    <n v="6.3"/>
    <s v="Stable"/>
  </r>
  <r>
    <s v="T2380"/>
    <x v="2"/>
    <x v="1"/>
    <x v="1"/>
    <x v="3"/>
    <s v="Jan"/>
    <x v="0"/>
    <x v="2087"/>
    <n v="12.1"/>
    <x v="1"/>
    <n v="8.4"/>
    <x v="10"/>
    <n v="1927"/>
    <x v="0"/>
    <n v="76.900000000000006"/>
    <s v="ML Engineer"/>
    <n v="72.900000000000006"/>
    <n v="10"/>
    <x v="102"/>
    <n v="7.7"/>
    <n v="7.5"/>
    <n v="5.9"/>
    <s v="Recession"/>
  </r>
  <r>
    <s v="T2381"/>
    <x v="18"/>
    <x v="0"/>
    <x v="3"/>
    <x v="0"/>
    <s v="Sep"/>
    <x v="0"/>
    <x v="2088"/>
    <n v="0.1"/>
    <x v="0"/>
    <n v="12.2"/>
    <x v="28"/>
    <n v="8992"/>
    <x v="3"/>
    <n v="41.8"/>
    <s v="Data Scientist"/>
    <n v="62.1"/>
    <n v="29.9"/>
    <x v="439"/>
    <n v="7.9"/>
    <n v="6"/>
    <n v="6.5"/>
    <s v="Bull Market"/>
  </r>
  <r>
    <s v="T2382"/>
    <x v="16"/>
    <x v="2"/>
    <x v="2"/>
    <x v="3"/>
    <s v="Mar"/>
    <x v="1"/>
    <x v="2089"/>
    <n v="3.4"/>
    <x v="2"/>
    <n v="10.3"/>
    <x v="51"/>
    <n v="3886"/>
    <x v="0"/>
    <n v="80.599999999999994"/>
    <s v="DevOps Engineer"/>
    <n v="-12.2"/>
    <n v="0.9"/>
    <x v="336"/>
    <n v="6.7"/>
    <n v="5.4"/>
    <n v="5.4"/>
    <s v="Bull Market"/>
  </r>
  <r>
    <s v="T2383"/>
    <x v="0"/>
    <x v="5"/>
    <x v="4"/>
    <x v="1"/>
    <s v="Nov"/>
    <x v="1"/>
    <x v="2090"/>
    <n v="9"/>
    <x v="4"/>
    <n v="4"/>
    <x v="24"/>
    <n v="222"/>
    <x v="1"/>
    <n v="11.1"/>
    <s v="DevOps Engineer"/>
    <n v="-16.3"/>
    <n v="-10.4"/>
    <x v="63"/>
    <n v="5"/>
    <n v="6.1"/>
    <n v="5.7"/>
    <s v="Recession"/>
  </r>
  <r>
    <s v="T2384"/>
    <x v="14"/>
    <x v="1"/>
    <x v="4"/>
    <x v="1"/>
    <s v="Apr"/>
    <x v="0"/>
    <x v="2091"/>
    <n v="20"/>
    <x v="1"/>
    <n v="11.2"/>
    <x v="5"/>
    <n v="294"/>
    <x v="1"/>
    <n v="66"/>
    <s v="Frontend Developer"/>
    <n v="42.7"/>
    <n v="49.9"/>
    <x v="120"/>
    <n v="9.5"/>
    <n v="8.1999999999999993"/>
    <n v="5.8"/>
    <s v="Recession"/>
  </r>
  <r>
    <s v="T2385"/>
    <x v="9"/>
    <x v="0"/>
    <x v="5"/>
    <x v="2"/>
    <s v="Aug"/>
    <x v="2"/>
    <x v="2092"/>
    <n v="19.5"/>
    <x v="0"/>
    <n v="2.8"/>
    <x v="27"/>
    <n v="9283"/>
    <x v="0"/>
    <n v="68.900000000000006"/>
    <s v="ML Engineer"/>
    <n v="-14.9"/>
    <n v="-14.7"/>
    <x v="201"/>
    <n v="4.3"/>
    <n v="5.0999999999999996"/>
    <n v="3.5"/>
    <s v="Recession"/>
  </r>
  <r>
    <s v="T2386"/>
    <x v="1"/>
    <x v="0"/>
    <x v="5"/>
    <x v="0"/>
    <s v="Jan"/>
    <x v="2"/>
    <x v="2093"/>
    <n v="13.8"/>
    <x v="1"/>
    <n v="6.8"/>
    <x v="5"/>
    <n v="7238"/>
    <x v="0"/>
    <n v="15.8"/>
    <s v="Data Scientist"/>
    <n v="9.1999999999999993"/>
    <n v="-15.9"/>
    <x v="50"/>
    <n v="6.7"/>
    <n v="5.4"/>
    <n v="4.9000000000000004"/>
    <s v="Stable"/>
  </r>
  <r>
    <s v="T2387"/>
    <x v="3"/>
    <x v="1"/>
    <x v="3"/>
    <x v="2"/>
    <s v="Feb"/>
    <x v="0"/>
    <x v="2094"/>
    <n v="11"/>
    <x v="3"/>
    <n v="6.4"/>
    <x v="11"/>
    <n v="568"/>
    <x v="1"/>
    <n v="57.8"/>
    <s v="Product Manager"/>
    <n v="36.700000000000003"/>
    <n v="29.2"/>
    <x v="398"/>
    <n v="5.6"/>
    <n v="7.7"/>
    <n v="6.6"/>
    <s v="Recession"/>
  </r>
  <r>
    <s v="T2388"/>
    <x v="2"/>
    <x v="5"/>
    <x v="2"/>
    <x v="0"/>
    <s v="Jan"/>
    <x v="1"/>
    <x v="2095"/>
    <n v="11.2"/>
    <x v="2"/>
    <n v="2"/>
    <x v="36"/>
    <n v="3552"/>
    <x v="1"/>
    <n v="49"/>
    <s v="Frontend Developer"/>
    <n v="19.100000000000001"/>
    <n v="6.2"/>
    <x v="141"/>
    <n v="1.2"/>
    <n v="5.4"/>
    <n v="5.9"/>
    <s v="Stable"/>
  </r>
  <r>
    <s v="T2389"/>
    <x v="0"/>
    <x v="0"/>
    <x v="3"/>
    <x v="3"/>
    <s v="Jul"/>
    <x v="2"/>
    <x v="2096"/>
    <n v="15.6"/>
    <x v="3"/>
    <n v="9"/>
    <x v="56"/>
    <n v="8930"/>
    <x v="0"/>
    <n v="72.7"/>
    <s v="ML Engineer"/>
    <n v="78.099999999999994"/>
    <n v="32.799999999999997"/>
    <x v="83"/>
    <n v="5.6"/>
    <n v="7.5"/>
    <n v="6.1"/>
    <s v="Stable"/>
  </r>
  <r>
    <s v="T2390"/>
    <x v="8"/>
    <x v="6"/>
    <x v="4"/>
    <x v="0"/>
    <s v="Aug"/>
    <x v="2"/>
    <x v="704"/>
    <n v="25.5"/>
    <x v="1"/>
    <n v="13"/>
    <x v="43"/>
    <n v="166"/>
    <x v="1"/>
    <n v="43.1"/>
    <s v="Cloud Engineer"/>
    <n v="21.5"/>
    <n v="-13.8"/>
    <x v="400"/>
    <n v="8.1999999999999993"/>
    <n v="5"/>
    <n v="3"/>
    <s v="Recession"/>
  </r>
  <r>
    <s v="T2391"/>
    <x v="0"/>
    <x v="1"/>
    <x v="5"/>
    <x v="0"/>
    <s v="Aug"/>
    <x v="2"/>
    <x v="1225"/>
    <n v="1.7"/>
    <x v="1"/>
    <n v="1.9"/>
    <x v="19"/>
    <n v="2688"/>
    <x v="0"/>
    <n v="42.8"/>
    <s v="DevOps Engineer"/>
    <n v="-35.1"/>
    <n v="39.6"/>
    <x v="169"/>
    <n v="1.1000000000000001"/>
    <n v="8.6999999999999993"/>
    <n v="9.4"/>
    <s v="Stable"/>
  </r>
  <r>
    <s v="T2392"/>
    <x v="4"/>
    <x v="1"/>
    <x v="4"/>
    <x v="1"/>
    <s v="Dec"/>
    <x v="1"/>
    <x v="2097"/>
    <n v="10.7"/>
    <x v="4"/>
    <n v="9.8000000000000007"/>
    <x v="41"/>
    <n v="1660"/>
    <x v="0"/>
    <n v="42.5"/>
    <s v="Cybersecurity Analyst"/>
    <n v="17.899999999999999"/>
    <n v="51.2"/>
    <x v="28"/>
    <n v="5.8"/>
    <n v="9.4"/>
    <n v="7.4"/>
    <s v="Recession"/>
  </r>
  <r>
    <s v="T2393"/>
    <x v="2"/>
    <x v="0"/>
    <x v="1"/>
    <x v="3"/>
    <s v="Jun"/>
    <x v="1"/>
    <x v="2019"/>
    <n v="1.2"/>
    <x v="0"/>
    <n v="11.5"/>
    <x v="50"/>
    <n v="7240"/>
    <x v="3"/>
    <n v="76.7"/>
    <s v="ML Engineer"/>
    <n v="28.5"/>
    <n v="48"/>
    <x v="257"/>
    <n v="7.7"/>
    <n v="7.7"/>
    <n v="7.2"/>
    <s v="Bull Market"/>
  </r>
  <r>
    <s v="T2394"/>
    <x v="0"/>
    <x v="2"/>
    <x v="1"/>
    <x v="2"/>
    <s v="Jun"/>
    <x v="1"/>
    <x v="2098"/>
    <n v="15.6"/>
    <x v="4"/>
    <n v="4.7"/>
    <x v="50"/>
    <n v="1725"/>
    <x v="1"/>
    <n v="12.5"/>
    <s v="Cloud Engineer"/>
    <n v="-18.3"/>
    <n v="56"/>
    <x v="17"/>
    <n v="7.1"/>
    <n v="9"/>
    <n v="5.5"/>
    <s v="Stable"/>
  </r>
  <r>
    <s v="T2395"/>
    <x v="9"/>
    <x v="0"/>
    <x v="4"/>
    <x v="2"/>
    <s v="Oct"/>
    <x v="0"/>
    <x v="2099"/>
    <n v="17"/>
    <x v="2"/>
    <n v="7.4"/>
    <x v="18"/>
    <n v="9150"/>
    <x v="0"/>
    <n v="53.5"/>
    <s v="Data Scientist"/>
    <n v="-23.8"/>
    <n v="-23.1"/>
    <x v="486"/>
    <n v="4.4000000000000004"/>
    <n v="6.9"/>
    <n v="4.9000000000000004"/>
    <s v="Stable"/>
  </r>
  <r>
    <s v="T2396"/>
    <x v="2"/>
    <x v="1"/>
    <x v="3"/>
    <x v="1"/>
    <s v="Jun"/>
    <x v="1"/>
    <x v="2100"/>
    <n v="8.6999999999999993"/>
    <x v="3"/>
    <n v="11.1"/>
    <x v="5"/>
    <n v="1739"/>
    <x v="0"/>
    <n v="78.5"/>
    <s v="Product Manager"/>
    <n v="-12.2"/>
    <n v="7.1"/>
    <x v="55"/>
    <n v="9.6999999999999993"/>
    <n v="6.4"/>
    <n v="5.5"/>
    <s v="Bull Market"/>
  </r>
  <r>
    <s v="T2397"/>
    <x v="1"/>
    <x v="1"/>
    <x v="5"/>
    <x v="2"/>
    <s v="May"/>
    <x v="0"/>
    <x v="530"/>
    <n v="17.3"/>
    <x v="1"/>
    <n v="5.0999999999999996"/>
    <x v="5"/>
    <n v="1650"/>
    <x v="1"/>
    <n v="27.1"/>
    <s v="Cybersecurity Analyst"/>
    <n v="-30.2"/>
    <n v="15.4"/>
    <x v="318"/>
    <n v="6.4"/>
    <n v="7.7"/>
    <n v="5"/>
    <s v="Stable"/>
  </r>
  <r>
    <s v="T2398"/>
    <x v="8"/>
    <x v="6"/>
    <x v="5"/>
    <x v="3"/>
    <s v="Sep"/>
    <x v="2"/>
    <x v="2101"/>
    <n v="13.8"/>
    <x v="0"/>
    <n v="3.6"/>
    <x v="45"/>
    <n v="3469"/>
    <x v="1"/>
    <n v="53.5"/>
    <s v="Product Manager"/>
    <n v="27.2"/>
    <n v="23.8"/>
    <x v="296"/>
    <n v="3.2"/>
    <n v="7.2"/>
    <n v="5.9"/>
    <s v="Stable"/>
  </r>
  <r>
    <s v="T2399"/>
    <x v="17"/>
    <x v="0"/>
    <x v="5"/>
    <x v="1"/>
    <s v="Jun"/>
    <x v="1"/>
    <x v="2102"/>
    <n v="9.5"/>
    <x v="3"/>
    <n v="5.2"/>
    <x v="78"/>
    <n v="3801"/>
    <x v="0"/>
    <n v="66.400000000000006"/>
    <s v="ML Engineer"/>
    <n v="62.2"/>
    <n v="54.2"/>
    <x v="398"/>
    <n v="4.0999999999999996"/>
    <n v="9.3000000000000007"/>
    <n v="7.8"/>
    <s v="Bull Market"/>
  </r>
  <r>
    <s v="T2400"/>
    <x v="13"/>
    <x v="5"/>
    <x v="3"/>
    <x v="3"/>
    <s v="Jul"/>
    <x v="1"/>
    <x v="2103"/>
    <n v="7.8"/>
    <x v="2"/>
    <n v="12.4"/>
    <x v="5"/>
    <n v="2402"/>
    <x v="0"/>
    <n v="56.7"/>
    <s v="Cybersecurity Analyst"/>
    <n v="0.1"/>
    <n v="45.5"/>
    <x v="231"/>
    <n v="7.4"/>
    <n v="7.5"/>
    <n v="5.8"/>
    <s v="Bull Market"/>
  </r>
  <r>
    <s v="T2401"/>
    <x v="0"/>
    <x v="5"/>
    <x v="1"/>
    <x v="0"/>
    <s v="May"/>
    <x v="2"/>
    <x v="2104"/>
    <n v="8.6999999999999993"/>
    <x v="2"/>
    <n v="2.8"/>
    <x v="72"/>
    <n v="2485"/>
    <x v="1"/>
    <n v="79.7"/>
    <s v="DevOps Engineer"/>
    <n v="17.100000000000001"/>
    <n v="41.7"/>
    <x v="423"/>
    <n v="2.4"/>
    <n v="6.7"/>
    <n v="6.7"/>
    <s v="Stable"/>
  </r>
  <r>
    <s v="T2402"/>
    <x v="2"/>
    <x v="3"/>
    <x v="2"/>
    <x v="2"/>
    <s v="Apr"/>
    <x v="1"/>
    <x v="2105"/>
    <n v="20.6"/>
    <x v="0"/>
    <n v="7.1"/>
    <x v="57"/>
    <n v="1509"/>
    <x v="1"/>
    <n v="77.5"/>
    <s v="ML Engineer"/>
    <n v="19.8"/>
    <n v="57.1"/>
    <x v="133"/>
    <n v="7.7"/>
    <n v="7.1"/>
    <n v="6.4"/>
    <s v="Recession"/>
  </r>
  <r>
    <s v="T2403"/>
    <x v="0"/>
    <x v="2"/>
    <x v="2"/>
    <x v="3"/>
    <s v="Apr"/>
    <x v="1"/>
    <x v="1326"/>
    <n v="7.3"/>
    <x v="2"/>
    <n v="2.9"/>
    <x v="1"/>
    <n v="5229"/>
    <x v="0"/>
    <n v="20.7"/>
    <s v="Frontend Developer"/>
    <n v="-20.9"/>
    <n v="30"/>
    <x v="317"/>
    <n v="2.1"/>
    <n v="9"/>
    <n v="6.6"/>
    <s v="Stable"/>
  </r>
  <r>
    <s v="T2404"/>
    <x v="9"/>
    <x v="0"/>
    <x v="0"/>
    <x v="3"/>
    <s v="Jan"/>
    <x v="2"/>
    <x v="2106"/>
    <n v="6.8"/>
    <x v="2"/>
    <n v="3.6"/>
    <x v="75"/>
    <n v="9715"/>
    <x v="0"/>
    <n v="70.900000000000006"/>
    <s v="ML Engineer"/>
    <n v="31"/>
    <n v="28"/>
    <x v="85"/>
    <n v="3.6"/>
    <n v="9.1"/>
    <n v="6.8"/>
    <s v="Bull Market"/>
  </r>
  <r>
    <s v="T2405"/>
    <x v="2"/>
    <x v="5"/>
    <x v="0"/>
    <x v="1"/>
    <s v="Mar"/>
    <x v="1"/>
    <x v="939"/>
    <n v="1.7"/>
    <x v="1"/>
    <n v="2"/>
    <x v="64"/>
    <n v="1752"/>
    <x v="1"/>
    <n v="46.2"/>
    <s v="ML Engineer"/>
    <n v="-36.9"/>
    <n v="-15.9"/>
    <x v="273"/>
    <n v="1.9"/>
    <n v="6"/>
    <n v="7.1"/>
    <s v="Stable"/>
  </r>
  <r>
    <s v="T2406"/>
    <x v="16"/>
    <x v="2"/>
    <x v="4"/>
    <x v="2"/>
    <s v="May"/>
    <x v="1"/>
    <x v="2107"/>
    <n v="4.3"/>
    <x v="2"/>
    <n v="7.1"/>
    <x v="57"/>
    <n v="1376"/>
    <x v="0"/>
    <n v="34.299999999999997"/>
    <s v="Product Manager"/>
    <n v="3.2"/>
    <n v="8"/>
    <x v="127"/>
    <n v="9.6999999999999993"/>
    <n v="6"/>
    <n v="5"/>
    <s v="Bull Market"/>
  </r>
  <r>
    <s v="T2407"/>
    <x v="1"/>
    <x v="1"/>
    <x v="4"/>
    <x v="3"/>
    <s v="Apr"/>
    <x v="0"/>
    <x v="2108"/>
    <n v="7"/>
    <x v="1"/>
    <n v="6.5"/>
    <x v="5"/>
    <n v="2418"/>
    <x v="0"/>
    <n v="89.6"/>
    <s v="ML Engineer"/>
    <n v="18.2"/>
    <n v="-12.7"/>
    <x v="83"/>
    <n v="7.3"/>
    <n v="6.1"/>
    <n v="5"/>
    <s v="Bull Market"/>
  </r>
  <r>
    <s v="T2408"/>
    <x v="17"/>
    <x v="3"/>
    <x v="0"/>
    <x v="2"/>
    <s v="Feb"/>
    <x v="2"/>
    <x v="2079"/>
    <n v="5.6"/>
    <x v="0"/>
    <n v="8"/>
    <x v="82"/>
    <n v="5615"/>
    <x v="0"/>
    <n v="10.199999999999999"/>
    <s v="Product Manager"/>
    <n v="33.6"/>
    <n v="19.899999999999999"/>
    <x v="218"/>
    <n v="5.7"/>
    <n v="8.8000000000000007"/>
    <n v="5.7"/>
    <s v="Bull Market"/>
  </r>
  <r>
    <s v="T2409"/>
    <x v="1"/>
    <x v="1"/>
    <x v="4"/>
    <x v="1"/>
    <s v="Aug"/>
    <x v="0"/>
    <x v="2109"/>
    <n v="34.200000000000003"/>
    <x v="0"/>
    <n v="3.6"/>
    <x v="33"/>
    <n v="1635"/>
    <x v="2"/>
    <n v="81.5"/>
    <s v="Product Manager"/>
    <n v="56.4"/>
    <n v="-6.8"/>
    <x v="504"/>
    <n v="3.2"/>
    <n v="4"/>
    <n v="2.9"/>
    <s v="Recession"/>
  </r>
  <r>
    <s v="T2410"/>
    <x v="2"/>
    <x v="0"/>
    <x v="4"/>
    <x v="3"/>
    <s v="Nov"/>
    <x v="0"/>
    <x v="2110"/>
    <n v="19.7"/>
    <x v="2"/>
    <n v="9"/>
    <x v="5"/>
    <n v="9161"/>
    <x v="0"/>
    <n v="58"/>
    <s v="Data Scientist"/>
    <n v="8.5"/>
    <n v="-2.6"/>
    <x v="92"/>
    <n v="7.9"/>
    <n v="3.6"/>
    <n v="4.2"/>
    <s v="Recession"/>
  </r>
  <r>
    <s v="T2411"/>
    <x v="8"/>
    <x v="6"/>
    <x v="5"/>
    <x v="2"/>
    <s v="Aug"/>
    <x v="1"/>
    <x v="2111"/>
    <n v="9.9"/>
    <x v="1"/>
    <n v="1"/>
    <x v="72"/>
    <n v="656"/>
    <x v="2"/>
    <n v="12.6"/>
    <s v="DevOps Engineer"/>
    <n v="16.600000000000001"/>
    <n v="7.6"/>
    <x v="336"/>
    <n v="1.6"/>
    <n v="5"/>
    <n v="5.9"/>
    <s v="Recession"/>
  </r>
  <r>
    <s v="T2412"/>
    <x v="8"/>
    <x v="4"/>
    <x v="5"/>
    <x v="3"/>
    <s v="Nov"/>
    <x v="2"/>
    <x v="2112"/>
    <n v="2.2999999999999998"/>
    <x v="0"/>
    <n v="8.5"/>
    <x v="5"/>
    <n v="767"/>
    <x v="0"/>
    <n v="65.900000000000006"/>
    <s v="Cloud Engineer"/>
    <n v="70.400000000000006"/>
    <n v="-4.4000000000000004"/>
    <x v="51"/>
    <n v="8.1"/>
    <n v="5.9"/>
    <n v="4.7"/>
    <s v="Bull Market"/>
  </r>
  <r>
    <s v="T2413"/>
    <x v="16"/>
    <x v="2"/>
    <x v="5"/>
    <x v="0"/>
    <s v="May"/>
    <x v="2"/>
    <x v="2113"/>
    <n v="26"/>
    <x v="3"/>
    <n v="5.7"/>
    <x v="49"/>
    <n v="1964"/>
    <x v="1"/>
    <n v="43.1"/>
    <s v="DevOps Engineer"/>
    <n v="51.8"/>
    <n v="59.6"/>
    <x v="175"/>
    <n v="6.8"/>
    <n v="8.1999999999999993"/>
    <n v="5.0999999999999996"/>
    <s v="Recession"/>
  </r>
  <r>
    <s v="T2414"/>
    <x v="12"/>
    <x v="0"/>
    <x v="4"/>
    <x v="1"/>
    <s v="Nov"/>
    <x v="0"/>
    <x v="2114"/>
    <n v="23.9"/>
    <x v="2"/>
    <n v="14.8"/>
    <x v="26"/>
    <n v="8865"/>
    <x v="0"/>
    <n v="61.2"/>
    <s v="Data Scientist"/>
    <n v="6.9"/>
    <n v="-13.3"/>
    <x v="446"/>
    <n v="9.6"/>
    <n v="5.8"/>
    <n v="3.5"/>
    <s v="Recession"/>
  </r>
  <r>
    <s v="T2415"/>
    <x v="4"/>
    <x v="0"/>
    <x v="2"/>
    <x v="1"/>
    <s v="Oct"/>
    <x v="0"/>
    <x v="2115"/>
    <n v="13.1"/>
    <x v="2"/>
    <n v="1.7"/>
    <x v="38"/>
    <n v="4495"/>
    <x v="1"/>
    <n v="14"/>
    <s v="Data Scientist"/>
    <n v="67"/>
    <n v="57.6"/>
    <x v="305"/>
    <n v="1.5"/>
    <n v="9.1"/>
    <n v="7"/>
    <s v="Recession"/>
  </r>
  <r>
    <s v="T2416"/>
    <x v="2"/>
    <x v="2"/>
    <x v="1"/>
    <x v="2"/>
    <s v="Nov"/>
    <x v="1"/>
    <x v="2116"/>
    <n v="26.4"/>
    <x v="1"/>
    <n v="2.6"/>
    <x v="57"/>
    <n v="1008"/>
    <x v="2"/>
    <n v="34.5"/>
    <s v="Cybersecurity Analyst"/>
    <n v="53.7"/>
    <n v="3.1"/>
    <x v="260"/>
    <n v="3.8"/>
    <n v="4"/>
    <n v="4.0999999999999996"/>
    <s v="Recession"/>
  </r>
  <r>
    <s v="T2417"/>
    <x v="1"/>
    <x v="4"/>
    <x v="5"/>
    <x v="1"/>
    <s v="Feb"/>
    <x v="2"/>
    <x v="1882"/>
    <n v="6.3"/>
    <x v="2"/>
    <n v="11.9"/>
    <x v="5"/>
    <n v="539"/>
    <x v="0"/>
    <n v="20.7"/>
    <s v="ML Engineer"/>
    <n v="-12.6"/>
    <n v="21.4"/>
    <x v="242"/>
    <n v="9.4"/>
    <n v="8"/>
    <n v="5.7"/>
    <s v="Bull Market"/>
  </r>
  <r>
    <s v="T2418"/>
    <x v="1"/>
    <x v="6"/>
    <x v="4"/>
    <x v="2"/>
    <s v="Jun"/>
    <x v="1"/>
    <x v="2117"/>
    <n v="4.5999999999999996"/>
    <x v="2"/>
    <n v="8.6"/>
    <x v="2"/>
    <n v="3936"/>
    <x v="0"/>
    <n v="77"/>
    <s v="Cloud Engineer"/>
    <n v="33.799999999999997"/>
    <n v="13.3"/>
    <x v="263"/>
    <n v="7.9"/>
    <n v="8.1999999999999993"/>
    <n v="7.3"/>
    <s v="Bull Market"/>
  </r>
  <r>
    <s v="T2419"/>
    <x v="1"/>
    <x v="4"/>
    <x v="2"/>
    <x v="3"/>
    <s v="May"/>
    <x v="1"/>
    <x v="2118"/>
    <n v="37.299999999999997"/>
    <x v="0"/>
    <n v="9.3000000000000007"/>
    <x v="5"/>
    <n v="1725"/>
    <x v="2"/>
    <n v="77.400000000000006"/>
    <s v="Frontend Developer"/>
    <n v="70.7"/>
    <n v="58.3"/>
    <x v="263"/>
    <n v="6.1"/>
    <n v="6.6"/>
    <n v="3.9"/>
    <s v="Recession"/>
  </r>
  <r>
    <s v="T2420"/>
    <x v="15"/>
    <x v="2"/>
    <x v="1"/>
    <x v="1"/>
    <s v="Jun"/>
    <x v="0"/>
    <x v="142"/>
    <n v="1.9"/>
    <x v="4"/>
    <n v="11.1"/>
    <x v="20"/>
    <n v="3864"/>
    <x v="0"/>
    <n v="87.1"/>
    <s v="Cloud Engineer"/>
    <n v="26.9"/>
    <n v="15.6"/>
    <x v="108"/>
    <n v="7.3"/>
    <n v="6"/>
    <n v="7.5"/>
    <s v="Bull Market"/>
  </r>
  <r>
    <s v="T2421"/>
    <x v="11"/>
    <x v="6"/>
    <x v="2"/>
    <x v="2"/>
    <s v="Aug"/>
    <x v="1"/>
    <x v="2119"/>
    <n v="24"/>
    <x v="3"/>
    <n v="1.8"/>
    <x v="17"/>
    <n v="1267"/>
    <x v="2"/>
    <n v="49"/>
    <s v="ML Engineer"/>
    <n v="66.2"/>
    <n v="44.9"/>
    <x v="107"/>
    <n v="1.6"/>
    <n v="8.3000000000000007"/>
    <n v="5.2"/>
    <s v="Recession"/>
  </r>
  <r>
    <s v="T2422"/>
    <x v="0"/>
    <x v="2"/>
    <x v="5"/>
    <x v="0"/>
    <s v="Aug"/>
    <x v="1"/>
    <x v="1274"/>
    <n v="3.5"/>
    <x v="0"/>
    <n v="8.1"/>
    <x v="32"/>
    <n v="4360"/>
    <x v="0"/>
    <n v="52.1"/>
    <s v="Cloud Engineer"/>
    <n v="2.6"/>
    <n v="14.6"/>
    <x v="446"/>
    <n v="7.4"/>
    <n v="7.6"/>
    <n v="6.3"/>
    <s v="Stable"/>
  </r>
  <r>
    <s v="T2423"/>
    <x v="12"/>
    <x v="5"/>
    <x v="2"/>
    <x v="3"/>
    <s v="Jul"/>
    <x v="1"/>
    <x v="2120"/>
    <n v="10.1"/>
    <x v="2"/>
    <n v="10.199999999999999"/>
    <x v="5"/>
    <n v="1938"/>
    <x v="0"/>
    <n v="75.2"/>
    <s v="DevOps Engineer"/>
    <n v="10.9"/>
    <n v="-23.7"/>
    <x v="31"/>
    <n v="9.6999999999999993"/>
    <n v="4.2"/>
    <n v="3.6"/>
    <s v="Recession"/>
  </r>
  <r>
    <s v="T2424"/>
    <x v="2"/>
    <x v="3"/>
    <x v="1"/>
    <x v="2"/>
    <s v="Mar"/>
    <x v="2"/>
    <x v="2121"/>
    <n v="31.5"/>
    <x v="3"/>
    <n v="1.5"/>
    <x v="56"/>
    <n v="1107"/>
    <x v="2"/>
    <n v="47.5"/>
    <s v="DevOps Engineer"/>
    <n v="17.899999999999999"/>
    <n v="8.8000000000000007"/>
    <x v="70"/>
    <n v="2.5"/>
    <n v="6.1"/>
    <n v="3.7"/>
    <s v="Recession"/>
  </r>
  <r>
    <s v="T2425"/>
    <x v="17"/>
    <x v="3"/>
    <x v="2"/>
    <x v="3"/>
    <s v="Apr"/>
    <x v="1"/>
    <x v="2122"/>
    <n v="23"/>
    <x v="1"/>
    <n v="4.7"/>
    <x v="5"/>
    <n v="947"/>
    <x v="1"/>
    <n v="15.8"/>
    <s v="Cybersecurity Analyst"/>
    <n v="15.6"/>
    <n v="44.1"/>
    <x v="192"/>
    <n v="5.2"/>
    <n v="8.1999999999999993"/>
    <n v="4.7"/>
    <s v="Recession"/>
  </r>
  <r>
    <s v="T2426"/>
    <x v="14"/>
    <x v="1"/>
    <x v="0"/>
    <x v="0"/>
    <s v="Nov"/>
    <x v="0"/>
    <x v="2123"/>
    <n v="0.9"/>
    <x v="4"/>
    <n v="4.9000000000000004"/>
    <x v="30"/>
    <n v="1693"/>
    <x v="0"/>
    <n v="42.3"/>
    <s v="DevOps Engineer"/>
    <n v="26.7"/>
    <n v="54.9"/>
    <x v="181"/>
    <n v="6.9"/>
    <n v="9.3000000000000007"/>
    <n v="7.4"/>
    <s v="Bull Market"/>
  </r>
  <r>
    <s v="T2427"/>
    <x v="0"/>
    <x v="1"/>
    <x v="1"/>
    <x v="1"/>
    <s v="Dec"/>
    <x v="0"/>
    <x v="2124"/>
    <n v="9.8000000000000007"/>
    <x v="0"/>
    <n v="9"/>
    <x v="11"/>
    <n v="3898"/>
    <x v="0"/>
    <n v="17.100000000000001"/>
    <s v="Data Scientist"/>
    <n v="63.5"/>
    <n v="49.1"/>
    <x v="351"/>
    <n v="6.2"/>
    <n v="7.6"/>
    <n v="8"/>
    <s v="Bull Market"/>
  </r>
  <r>
    <s v="T2428"/>
    <x v="17"/>
    <x v="3"/>
    <x v="4"/>
    <x v="1"/>
    <s v="Nov"/>
    <x v="1"/>
    <x v="2125"/>
    <n v="11.4"/>
    <x v="3"/>
    <n v="8.6"/>
    <x v="5"/>
    <n v="356"/>
    <x v="1"/>
    <n v="20.2"/>
    <s v="Data Scientist"/>
    <n v="-3.3"/>
    <n v="8.5"/>
    <x v="406"/>
    <n v="8"/>
    <n v="6.8"/>
    <n v="5.9"/>
    <s v="Stable"/>
  </r>
  <r>
    <s v="T2429"/>
    <x v="1"/>
    <x v="6"/>
    <x v="2"/>
    <x v="2"/>
    <s v="Feb"/>
    <x v="2"/>
    <x v="2124"/>
    <n v="0.5"/>
    <x v="2"/>
    <n v="10.199999999999999"/>
    <x v="74"/>
    <n v="1646"/>
    <x v="0"/>
    <n v="36"/>
    <s v="ML Engineer"/>
    <n v="86"/>
    <n v="-19.8"/>
    <x v="20"/>
    <n v="9.1999999999999993"/>
    <n v="6.4"/>
    <n v="6"/>
    <s v="Bull Market"/>
  </r>
  <r>
    <s v="T2430"/>
    <x v="0"/>
    <x v="0"/>
    <x v="1"/>
    <x v="0"/>
    <s v="Mar"/>
    <x v="1"/>
    <x v="2126"/>
    <n v="26.1"/>
    <x v="4"/>
    <n v="8.6999999999999993"/>
    <x v="5"/>
    <n v="1283"/>
    <x v="1"/>
    <n v="38.700000000000003"/>
    <s v="ML Engineer"/>
    <n v="40.9"/>
    <n v="45.7"/>
    <x v="47"/>
    <n v="7.3"/>
    <n v="6.6"/>
    <n v="4.8"/>
    <s v="Recession"/>
  </r>
  <r>
    <s v="T2431"/>
    <x v="12"/>
    <x v="0"/>
    <x v="3"/>
    <x v="3"/>
    <s v="Jan"/>
    <x v="0"/>
    <x v="2127"/>
    <n v="8"/>
    <x v="3"/>
    <n v="5.4"/>
    <x v="73"/>
    <n v="9789"/>
    <x v="3"/>
    <n v="20.6"/>
    <s v="Data Scientist"/>
    <n v="85.7"/>
    <n v="19.8"/>
    <x v="318"/>
    <n v="3.3"/>
    <n v="6.6"/>
    <n v="7.2"/>
    <s v="Bull Market"/>
  </r>
  <r>
    <s v="T2432"/>
    <x v="2"/>
    <x v="3"/>
    <x v="3"/>
    <x v="0"/>
    <s v="Dec"/>
    <x v="0"/>
    <x v="230"/>
    <n v="1.7"/>
    <x v="1"/>
    <n v="12.7"/>
    <x v="23"/>
    <n v="624"/>
    <x v="0"/>
    <n v="29.8"/>
    <s v="DevOps Engineer"/>
    <n v="54.1"/>
    <n v="-16.600000000000001"/>
    <x v="229"/>
    <n v="9.4"/>
    <n v="5.4"/>
    <n v="5.3"/>
    <s v="Bull Market"/>
  </r>
  <r>
    <s v="T2433"/>
    <x v="2"/>
    <x v="3"/>
    <x v="0"/>
    <x v="3"/>
    <s v="Dec"/>
    <x v="0"/>
    <x v="2128"/>
    <n v="2.1"/>
    <x v="1"/>
    <n v="12.6"/>
    <x v="25"/>
    <n v="3819"/>
    <x v="0"/>
    <n v="83"/>
    <s v="Product Manager"/>
    <n v="16.600000000000001"/>
    <n v="-21.2"/>
    <x v="249"/>
    <n v="7.4"/>
    <n v="6"/>
    <n v="6.6"/>
    <s v="Stable"/>
  </r>
  <r>
    <s v="T2434"/>
    <x v="3"/>
    <x v="1"/>
    <x v="1"/>
    <x v="2"/>
    <s v="Nov"/>
    <x v="0"/>
    <x v="2129"/>
    <n v="39"/>
    <x v="2"/>
    <n v="5"/>
    <x v="5"/>
    <n v="1188"/>
    <x v="2"/>
    <n v="43.7"/>
    <s v="Data Scientist"/>
    <n v="-29.7"/>
    <n v="12.8"/>
    <x v="128"/>
    <n v="4.8"/>
    <n v="5.7"/>
    <n v="1.5"/>
    <s v="Recession"/>
  </r>
  <r>
    <s v="T2435"/>
    <x v="10"/>
    <x v="3"/>
    <x v="5"/>
    <x v="0"/>
    <s v="Mar"/>
    <x v="0"/>
    <x v="332"/>
    <n v="16"/>
    <x v="4"/>
    <n v="7.2"/>
    <x v="5"/>
    <n v="791"/>
    <x v="1"/>
    <n v="29.1"/>
    <s v="Frontend Developer"/>
    <n v="71.8"/>
    <n v="34"/>
    <x v="240"/>
    <n v="7.9"/>
    <n v="8.1999999999999993"/>
    <n v="4.5"/>
    <s v="Stable"/>
  </r>
  <r>
    <s v="T2436"/>
    <x v="18"/>
    <x v="0"/>
    <x v="4"/>
    <x v="2"/>
    <s v="Oct"/>
    <x v="2"/>
    <x v="1437"/>
    <n v="4.2"/>
    <x v="1"/>
    <n v="12.3"/>
    <x v="28"/>
    <n v="3645"/>
    <x v="1"/>
    <n v="89.6"/>
    <s v="ML Engineer"/>
    <n v="17.899999999999999"/>
    <n v="-5.5"/>
    <x v="97"/>
    <n v="7.3"/>
    <n v="8"/>
    <n v="5.4"/>
    <s v="Stable"/>
  </r>
  <r>
    <s v="T2437"/>
    <x v="2"/>
    <x v="3"/>
    <x v="0"/>
    <x v="1"/>
    <s v="Oct"/>
    <x v="0"/>
    <x v="2130"/>
    <n v="20.399999999999999"/>
    <x v="0"/>
    <n v="9"/>
    <x v="5"/>
    <n v="1999"/>
    <x v="1"/>
    <n v="48.5"/>
    <s v="DevOps Engineer"/>
    <n v="72.7"/>
    <n v="-4"/>
    <x v="465"/>
    <n v="7"/>
    <n v="5.7"/>
    <n v="2.9"/>
    <s v="Recession"/>
  </r>
  <r>
    <s v="T2438"/>
    <x v="1"/>
    <x v="1"/>
    <x v="2"/>
    <x v="2"/>
    <s v="Oct"/>
    <x v="2"/>
    <x v="1523"/>
    <n v="7.7"/>
    <x v="1"/>
    <n v="8.4"/>
    <x v="63"/>
    <n v="2033"/>
    <x v="0"/>
    <n v="68.400000000000006"/>
    <s v="Software Engineer"/>
    <n v="40.1"/>
    <n v="42.3"/>
    <x v="175"/>
    <n v="9.9"/>
    <n v="7.7"/>
    <n v="6.2"/>
    <s v="Bull Market"/>
  </r>
  <r>
    <s v="T2439"/>
    <x v="10"/>
    <x v="3"/>
    <x v="3"/>
    <x v="2"/>
    <s v="Aug"/>
    <x v="0"/>
    <x v="2131"/>
    <n v="4.7"/>
    <x v="1"/>
    <n v="10.6"/>
    <x v="15"/>
    <n v="3452"/>
    <x v="0"/>
    <n v="85.9"/>
    <s v="Cybersecurity Analyst"/>
    <n v="82.1"/>
    <n v="-6.3"/>
    <x v="146"/>
    <n v="6.3"/>
    <n v="5.8"/>
    <n v="5"/>
    <s v="Stable"/>
  </r>
  <r>
    <s v="T2440"/>
    <x v="0"/>
    <x v="5"/>
    <x v="3"/>
    <x v="3"/>
    <s v="Feb"/>
    <x v="2"/>
    <x v="2132"/>
    <n v="8.8000000000000007"/>
    <x v="3"/>
    <n v="14.8"/>
    <x v="5"/>
    <n v="1348"/>
    <x v="0"/>
    <n v="21"/>
    <s v="DevOps Engineer"/>
    <n v="-28.9"/>
    <n v="2.7"/>
    <x v="102"/>
    <n v="9.5"/>
    <n v="6.8"/>
    <n v="5.4"/>
    <s v="Recession"/>
  </r>
  <r>
    <s v="T2441"/>
    <x v="1"/>
    <x v="1"/>
    <x v="2"/>
    <x v="1"/>
    <s v="Sep"/>
    <x v="1"/>
    <x v="2133"/>
    <n v="3"/>
    <x v="1"/>
    <n v="14.8"/>
    <x v="35"/>
    <n v="4277"/>
    <x v="3"/>
    <n v="57.6"/>
    <s v="ML Engineer"/>
    <n v="87.4"/>
    <n v="56.7"/>
    <x v="505"/>
    <n v="9.9"/>
    <n v="10"/>
    <n v="8.3000000000000007"/>
    <s v="Stable"/>
  </r>
  <r>
    <s v="T2442"/>
    <x v="11"/>
    <x v="6"/>
    <x v="2"/>
    <x v="1"/>
    <s v="Jun"/>
    <x v="2"/>
    <x v="2134"/>
    <n v="28.9"/>
    <x v="3"/>
    <n v="3.3"/>
    <x v="14"/>
    <n v="131"/>
    <x v="2"/>
    <n v="75.2"/>
    <s v="Cloud Engineer"/>
    <n v="-1.5"/>
    <n v="-13"/>
    <x v="101"/>
    <n v="3"/>
    <n v="3"/>
    <n v="3.1"/>
    <s v="Recession"/>
  </r>
  <r>
    <s v="T2443"/>
    <x v="5"/>
    <x v="3"/>
    <x v="0"/>
    <x v="2"/>
    <s v="May"/>
    <x v="0"/>
    <x v="1889"/>
    <n v="8.6"/>
    <x v="1"/>
    <n v="2.2000000000000002"/>
    <x v="36"/>
    <n v="2293"/>
    <x v="1"/>
    <n v="10"/>
    <s v="Cloud Engineer"/>
    <n v="44.5"/>
    <n v="49.3"/>
    <x v="353"/>
    <n v="2.1"/>
    <n v="7.2"/>
    <n v="7.9"/>
    <s v="Bull Market"/>
  </r>
  <r>
    <s v="T2444"/>
    <x v="15"/>
    <x v="2"/>
    <x v="5"/>
    <x v="3"/>
    <s v="Jul"/>
    <x v="2"/>
    <x v="2135"/>
    <n v="33.6"/>
    <x v="0"/>
    <n v="10"/>
    <x v="5"/>
    <n v="270"/>
    <x v="2"/>
    <n v="57.4"/>
    <s v="Software Engineer"/>
    <n v="35"/>
    <n v="49.3"/>
    <x v="357"/>
    <n v="9"/>
    <n v="5.8"/>
    <n v="4.0999999999999996"/>
    <s v="Recession"/>
  </r>
  <r>
    <s v="T2445"/>
    <x v="6"/>
    <x v="1"/>
    <x v="0"/>
    <x v="1"/>
    <s v="Apr"/>
    <x v="2"/>
    <x v="2136"/>
    <n v="11.2"/>
    <x v="2"/>
    <n v="10"/>
    <x v="43"/>
    <n v="5263"/>
    <x v="0"/>
    <n v="68.400000000000006"/>
    <s v="ML Engineer"/>
    <n v="39.299999999999997"/>
    <n v="53.6"/>
    <x v="370"/>
    <n v="8.5"/>
    <n v="6.9"/>
    <n v="7.6"/>
    <s v="Stable"/>
  </r>
  <r>
    <s v="T2446"/>
    <x v="0"/>
    <x v="0"/>
    <x v="1"/>
    <x v="2"/>
    <s v="Mar"/>
    <x v="1"/>
    <x v="2137"/>
    <n v="27"/>
    <x v="2"/>
    <n v="9"/>
    <x v="5"/>
    <n v="6051"/>
    <x v="1"/>
    <n v="68.099999999999994"/>
    <s v="Data Scientist"/>
    <n v="3.9"/>
    <n v="15.9"/>
    <x v="167"/>
    <n v="8.3000000000000007"/>
    <n v="6.4"/>
    <n v="4.3"/>
    <s v="Recession"/>
  </r>
  <r>
    <s v="T2447"/>
    <x v="0"/>
    <x v="5"/>
    <x v="3"/>
    <x v="1"/>
    <s v="Dec"/>
    <x v="0"/>
    <x v="2138"/>
    <n v="33.4"/>
    <x v="2"/>
    <n v="12.2"/>
    <x v="5"/>
    <n v="516"/>
    <x v="2"/>
    <n v="81"/>
    <s v="Software Engineer"/>
    <n v="87.6"/>
    <n v="57.7"/>
    <x v="43"/>
    <n v="8.5"/>
    <n v="5.8"/>
    <n v="4.5"/>
    <s v="Recession"/>
  </r>
  <r>
    <s v="T2448"/>
    <x v="4"/>
    <x v="1"/>
    <x v="2"/>
    <x v="2"/>
    <s v="Jan"/>
    <x v="1"/>
    <x v="337"/>
    <n v="2.4"/>
    <x v="0"/>
    <n v="4.2"/>
    <x v="30"/>
    <n v="1176"/>
    <x v="0"/>
    <n v="13.8"/>
    <s v="DevOps Engineer"/>
    <n v="70.900000000000006"/>
    <n v="-15"/>
    <x v="285"/>
    <n v="4.9000000000000004"/>
    <n v="4.4000000000000004"/>
    <n v="5.0999999999999996"/>
    <s v="Bull Market"/>
  </r>
  <r>
    <s v="T2449"/>
    <x v="17"/>
    <x v="3"/>
    <x v="0"/>
    <x v="0"/>
    <s v="Jan"/>
    <x v="0"/>
    <x v="2139"/>
    <n v="4.9000000000000004"/>
    <x v="0"/>
    <n v="6.9"/>
    <x v="67"/>
    <n v="4025"/>
    <x v="0"/>
    <n v="81.900000000000006"/>
    <s v="Cybersecurity Analyst"/>
    <n v="17.8"/>
    <n v="-1.4"/>
    <x v="196"/>
    <n v="8.4"/>
    <n v="7.3"/>
    <n v="5.7"/>
    <s v="Stable"/>
  </r>
  <r>
    <s v="T2450"/>
    <x v="8"/>
    <x v="6"/>
    <x v="1"/>
    <x v="1"/>
    <s v="Mar"/>
    <x v="0"/>
    <x v="461"/>
    <n v="13.1"/>
    <x v="0"/>
    <n v="6"/>
    <x v="78"/>
    <n v="1470"/>
    <x v="1"/>
    <n v="37.799999999999997"/>
    <s v="Product Manager"/>
    <n v="82"/>
    <n v="16.600000000000001"/>
    <x v="102"/>
    <n v="4.7"/>
    <n v="8"/>
    <n v="6.1"/>
    <s v="Recession"/>
  </r>
  <r>
    <s v="T2451"/>
    <x v="5"/>
    <x v="3"/>
    <x v="2"/>
    <x v="1"/>
    <s v="Jun"/>
    <x v="0"/>
    <x v="2140"/>
    <n v="8.9"/>
    <x v="4"/>
    <n v="6.6"/>
    <x v="27"/>
    <n v="5775"/>
    <x v="0"/>
    <n v="29.5"/>
    <s v="ML Engineer"/>
    <n v="33.6"/>
    <n v="-19.8"/>
    <x v="359"/>
    <n v="5.6"/>
    <n v="5.3"/>
    <n v="5.0999999999999996"/>
    <s v="Bull Market"/>
  </r>
  <r>
    <s v="T2452"/>
    <x v="14"/>
    <x v="1"/>
    <x v="4"/>
    <x v="0"/>
    <s v="Dec"/>
    <x v="1"/>
    <x v="2141"/>
    <n v="36.799999999999997"/>
    <x v="3"/>
    <n v="6.6"/>
    <x v="5"/>
    <n v="1762"/>
    <x v="1"/>
    <n v="84.3"/>
    <s v="Product Manager"/>
    <n v="-14.4"/>
    <n v="-6.2"/>
    <x v="222"/>
    <n v="7.6"/>
    <n v="2.6"/>
    <n v="1.6"/>
    <s v="Recession"/>
  </r>
  <r>
    <s v="T2453"/>
    <x v="8"/>
    <x v="4"/>
    <x v="4"/>
    <x v="2"/>
    <s v="Jan"/>
    <x v="2"/>
    <x v="2142"/>
    <n v="39.9"/>
    <x v="0"/>
    <n v="6.6"/>
    <x v="5"/>
    <n v="760"/>
    <x v="2"/>
    <n v="71.3"/>
    <s v="Cybersecurity Analyst"/>
    <n v="47.3"/>
    <n v="30.8"/>
    <x v="106"/>
    <n v="4.3"/>
    <n v="5.8"/>
    <n v="3.4"/>
    <s v="Recession"/>
  </r>
  <r>
    <s v="T2454"/>
    <x v="7"/>
    <x v="4"/>
    <x v="4"/>
    <x v="0"/>
    <s v="Apr"/>
    <x v="2"/>
    <x v="2143"/>
    <n v="4.2"/>
    <x v="4"/>
    <n v="9.3000000000000007"/>
    <x v="48"/>
    <n v="2850"/>
    <x v="0"/>
    <n v="49"/>
    <s v="Software Engineer"/>
    <n v="70.599999999999994"/>
    <n v="-18.5"/>
    <x v="438"/>
    <n v="6.4"/>
    <n v="7.8"/>
    <n v="5.2"/>
    <s v="Bull Market"/>
  </r>
  <r>
    <s v="T2455"/>
    <x v="2"/>
    <x v="5"/>
    <x v="4"/>
    <x v="1"/>
    <s v="Jan"/>
    <x v="0"/>
    <x v="2144"/>
    <n v="14.4"/>
    <x v="2"/>
    <n v="15.1"/>
    <x v="69"/>
    <n v="1961"/>
    <x v="0"/>
    <n v="37.700000000000003"/>
    <s v="Cloud Engineer"/>
    <n v="43.5"/>
    <n v="9.3000000000000007"/>
    <x v="385"/>
    <n v="9.4"/>
    <n v="6.6"/>
    <n v="4.0999999999999996"/>
    <s v="Recession"/>
  </r>
  <r>
    <s v="T2456"/>
    <x v="15"/>
    <x v="2"/>
    <x v="0"/>
    <x v="3"/>
    <s v="Apr"/>
    <x v="1"/>
    <x v="2145"/>
    <n v="15.1"/>
    <x v="4"/>
    <n v="6.6"/>
    <x v="5"/>
    <n v="209"/>
    <x v="1"/>
    <n v="80.5"/>
    <s v="Data Scientist"/>
    <n v="32.200000000000003"/>
    <n v="-3"/>
    <x v="174"/>
    <n v="7.8"/>
    <n v="4.0999999999999996"/>
    <n v="5"/>
    <s v="Stable"/>
  </r>
  <r>
    <s v="T2457"/>
    <x v="17"/>
    <x v="0"/>
    <x v="0"/>
    <x v="3"/>
    <s v="Oct"/>
    <x v="2"/>
    <x v="2146"/>
    <n v="9"/>
    <x v="1"/>
    <n v="8.9"/>
    <x v="30"/>
    <n v="1453"/>
    <x v="0"/>
    <n v="73.099999999999994"/>
    <s v="ML Engineer"/>
    <n v="17"/>
    <n v="30.1"/>
    <x v="165"/>
    <n v="5.4"/>
    <n v="7.1"/>
    <n v="6.4"/>
    <s v="Stable"/>
  </r>
  <r>
    <s v="T2458"/>
    <x v="2"/>
    <x v="1"/>
    <x v="5"/>
    <x v="1"/>
    <s v="Nov"/>
    <x v="1"/>
    <x v="863"/>
    <n v="34.4"/>
    <x v="2"/>
    <n v="7"/>
    <x v="5"/>
    <n v="1483"/>
    <x v="1"/>
    <n v="35.1"/>
    <s v="Product Manager"/>
    <n v="87.8"/>
    <n v="-22.3"/>
    <x v="506"/>
    <n v="6.9"/>
    <n v="3.2"/>
    <n v="1"/>
    <s v="Recession"/>
  </r>
  <r>
    <s v="T2459"/>
    <x v="4"/>
    <x v="1"/>
    <x v="5"/>
    <x v="2"/>
    <s v="Dec"/>
    <x v="1"/>
    <x v="2147"/>
    <n v="7.8"/>
    <x v="4"/>
    <n v="10.1"/>
    <x v="3"/>
    <n v="1815"/>
    <x v="0"/>
    <n v="24.9"/>
    <s v="Frontend Developer"/>
    <n v="65.7"/>
    <n v="6.2"/>
    <x v="67"/>
    <n v="7"/>
    <n v="7"/>
    <n v="5.6"/>
    <s v="Bull Market"/>
  </r>
  <r>
    <s v="T2460"/>
    <x v="16"/>
    <x v="2"/>
    <x v="5"/>
    <x v="1"/>
    <s v="May"/>
    <x v="1"/>
    <x v="1054"/>
    <n v="32.4"/>
    <x v="0"/>
    <n v="1.8"/>
    <x v="43"/>
    <n v="460"/>
    <x v="2"/>
    <n v="76.900000000000006"/>
    <s v="Data Scientist"/>
    <n v="-37.799999999999997"/>
    <n v="-6.2"/>
    <x v="199"/>
    <n v="1.3"/>
    <n v="4.9000000000000004"/>
    <n v="2.7"/>
    <s v="Recession"/>
  </r>
  <r>
    <s v="T2461"/>
    <x v="7"/>
    <x v="4"/>
    <x v="2"/>
    <x v="2"/>
    <s v="Feb"/>
    <x v="2"/>
    <x v="2148"/>
    <n v="29.6"/>
    <x v="4"/>
    <n v="5.8"/>
    <x v="5"/>
    <n v="1737"/>
    <x v="1"/>
    <n v="82.9"/>
    <s v="Cloud Engineer"/>
    <n v="73.2"/>
    <n v="53.4"/>
    <x v="280"/>
    <n v="7.9"/>
    <n v="7.5"/>
    <n v="3.8"/>
    <s v="Recession"/>
  </r>
  <r>
    <s v="T2462"/>
    <x v="14"/>
    <x v="1"/>
    <x v="5"/>
    <x v="1"/>
    <s v="May"/>
    <x v="0"/>
    <x v="468"/>
    <n v="1.7"/>
    <x v="0"/>
    <n v="7.2"/>
    <x v="5"/>
    <n v="1525"/>
    <x v="0"/>
    <n v="54.8"/>
    <s v="Software Engineer"/>
    <n v="67.7"/>
    <n v="-20.2"/>
    <x v="16"/>
    <n v="7.4"/>
    <n v="6.8"/>
    <n v="4.4000000000000004"/>
    <s v="Bull Market"/>
  </r>
  <r>
    <s v="T2463"/>
    <x v="16"/>
    <x v="2"/>
    <x v="1"/>
    <x v="0"/>
    <s v="Nov"/>
    <x v="2"/>
    <x v="779"/>
    <n v="4.0999999999999996"/>
    <x v="2"/>
    <n v="8.1999999999999993"/>
    <x v="23"/>
    <n v="890"/>
    <x v="1"/>
    <n v="46.9"/>
    <s v="Product Manager"/>
    <n v="43.7"/>
    <n v="21"/>
    <x v="50"/>
    <n v="5.4"/>
    <n v="7.3"/>
    <n v="6"/>
    <s v="Bull Market"/>
  </r>
  <r>
    <s v="T2464"/>
    <x v="14"/>
    <x v="1"/>
    <x v="3"/>
    <x v="3"/>
    <s v="May"/>
    <x v="2"/>
    <x v="2149"/>
    <n v="6.3"/>
    <x v="0"/>
    <n v="3.8"/>
    <x v="20"/>
    <n v="4294"/>
    <x v="1"/>
    <n v="25.8"/>
    <s v="Cloud Engineer"/>
    <n v="14.5"/>
    <n v="43.8"/>
    <x v="86"/>
    <n v="3.9"/>
    <n v="9.1999999999999993"/>
    <n v="8.3000000000000007"/>
    <s v="Stable"/>
  </r>
  <r>
    <s v="T2465"/>
    <x v="13"/>
    <x v="5"/>
    <x v="4"/>
    <x v="1"/>
    <s v="Oct"/>
    <x v="0"/>
    <x v="1742"/>
    <n v="1.2"/>
    <x v="2"/>
    <n v="4"/>
    <x v="75"/>
    <n v="2313"/>
    <x v="0"/>
    <n v="45.6"/>
    <s v="Frontend Developer"/>
    <n v="-39.700000000000003"/>
    <n v="-15"/>
    <x v="57"/>
    <n v="6.5"/>
    <n v="6.8"/>
    <n v="6.3"/>
    <s v="Stable"/>
  </r>
  <r>
    <s v="T2466"/>
    <x v="2"/>
    <x v="0"/>
    <x v="1"/>
    <x v="3"/>
    <s v="Sep"/>
    <x v="0"/>
    <x v="731"/>
    <n v="6.9"/>
    <x v="2"/>
    <n v="3.7"/>
    <x v="13"/>
    <n v="6967"/>
    <x v="0"/>
    <n v="38.4"/>
    <s v="Data Scientist"/>
    <n v="47.6"/>
    <n v="26.8"/>
    <x v="208"/>
    <n v="3.8"/>
    <n v="7.5"/>
    <n v="7.2"/>
    <s v="Stable"/>
  </r>
  <r>
    <s v="T2467"/>
    <x v="10"/>
    <x v="3"/>
    <x v="4"/>
    <x v="1"/>
    <s v="Jan"/>
    <x v="2"/>
    <x v="2150"/>
    <n v="31.1"/>
    <x v="2"/>
    <n v="10.7"/>
    <x v="60"/>
    <n v="1583"/>
    <x v="1"/>
    <n v="12"/>
    <s v="Frontend Developer"/>
    <n v="16"/>
    <n v="11.5"/>
    <x v="301"/>
    <n v="6.4"/>
    <n v="5.8"/>
    <n v="4.2"/>
    <s v="Recession"/>
  </r>
  <r>
    <s v="T2468"/>
    <x v="1"/>
    <x v="1"/>
    <x v="1"/>
    <x v="1"/>
    <s v="Aug"/>
    <x v="0"/>
    <x v="2151"/>
    <n v="9"/>
    <x v="4"/>
    <n v="5.8"/>
    <x v="5"/>
    <n v="1092"/>
    <x v="1"/>
    <n v="89.2"/>
    <s v="Data Scientist"/>
    <n v="60.2"/>
    <n v="6.2"/>
    <x v="318"/>
    <n v="7"/>
    <n v="6.3"/>
    <n v="5.8"/>
    <s v="Recession"/>
  </r>
  <r>
    <s v="T2469"/>
    <x v="7"/>
    <x v="4"/>
    <x v="5"/>
    <x v="0"/>
    <s v="Jul"/>
    <x v="2"/>
    <x v="2152"/>
    <n v="39.799999999999997"/>
    <x v="0"/>
    <n v="1.1000000000000001"/>
    <x v="16"/>
    <n v="780"/>
    <x v="2"/>
    <n v="22.3"/>
    <s v="Product Manager"/>
    <n v="79.5"/>
    <n v="13.4"/>
    <x v="170"/>
    <n v="1.6"/>
    <n v="4.2"/>
    <n v="2.1"/>
    <s v="Recession"/>
  </r>
  <r>
    <s v="T2470"/>
    <x v="15"/>
    <x v="2"/>
    <x v="4"/>
    <x v="0"/>
    <s v="Dec"/>
    <x v="0"/>
    <x v="2153"/>
    <n v="2.8"/>
    <x v="0"/>
    <n v="7.1"/>
    <x v="5"/>
    <n v="1015"/>
    <x v="0"/>
    <n v="87.8"/>
    <s v="Cybersecurity Analyst"/>
    <n v="-16.399999999999999"/>
    <n v="37.4"/>
    <x v="219"/>
    <n v="9.6999999999999993"/>
    <n v="9.4"/>
    <n v="6.1"/>
    <s v="Stable"/>
  </r>
  <r>
    <s v="T2471"/>
    <x v="10"/>
    <x v="3"/>
    <x v="5"/>
    <x v="0"/>
    <s v="Oct"/>
    <x v="0"/>
    <x v="2154"/>
    <n v="12"/>
    <x v="4"/>
    <n v="6.4"/>
    <x v="5"/>
    <n v="711"/>
    <x v="1"/>
    <n v="36.200000000000003"/>
    <s v="Cloud Engineer"/>
    <n v="50.4"/>
    <n v="-5.3"/>
    <x v="113"/>
    <n v="5.8"/>
    <n v="6.6"/>
    <n v="5.5"/>
    <s v="Recession"/>
  </r>
  <r>
    <s v="T2472"/>
    <x v="17"/>
    <x v="0"/>
    <x v="2"/>
    <x v="1"/>
    <s v="Oct"/>
    <x v="2"/>
    <x v="2155"/>
    <n v="13.5"/>
    <x v="0"/>
    <n v="3.2"/>
    <x v="18"/>
    <n v="7354"/>
    <x v="0"/>
    <n v="61.2"/>
    <s v="Data Scientist"/>
    <n v="24.9"/>
    <n v="-15.4"/>
    <x v="298"/>
    <n v="4.9000000000000004"/>
    <n v="4.9000000000000004"/>
    <n v="5.0999999999999996"/>
    <s v="Stable"/>
  </r>
  <r>
    <s v="T2473"/>
    <x v="4"/>
    <x v="0"/>
    <x v="5"/>
    <x v="1"/>
    <s v="Aug"/>
    <x v="1"/>
    <x v="1609"/>
    <n v="7.2"/>
    <x v="0"/>
    <n v="1.5"/>
    <x v="80"/>
    <n v="1473"/>
    <x v="2"/>
    <n v="84.2"/>
    <s v="ML Engineer"/>
    <n v="23.8"/>
    <n v="17.7"/>
    <x v="186"/>
    <n v="2"/>
    <n v="7.3"/>
    <n v="7.6"/>
    <s v="Stable"/>
  </r>
  <r>
    <s v="T2474"/>
    <x v="19"/>
    <x v="0"/>
    <x v="3"/>
    <x v="2"/>
    <s v="Jun"/>
    <x v="0"/>
    <x v="816"/>
    <n v="25.8"/>
    <x v="1"/>
    <n v="3.3"/>
    <x v="73"/>
    <n v="7800"/>
    <x v="1"/>
    <n v="74.2"/>
    <s v="ML Engineer"/>
    <n v="39.5"/>
    <n v="33.5"/>
    <x v="464"/>
    <n v="3.1"/>
    <n v="4.3"/>
    <n v="4.8"/>
    <s v="Recession"/>
  </r>
  <r>
    <s v="T2475"/>
    <x v="1"/>
    <x v="6"/>
    <x v="3"/>
    <x v="1"/>
    <s v="May"/>
    <x v="0"/>
    <x v="2156"/>
    <n v="14.3"/>
    <x v="1"/>
    <n v="8.1"/>
    <x v="5"/>
    <n v="5813"/>
    <x v="0"/>
    <n v="45.5"/>
    <s v="Frontend Developer"/>
    <n v="38.799999999999997"/>
    <n v="8.9"/>
    <x v="121"/>
    <n v="9.5"/>
    <n v="4.8"/>
    <n v="5.8"/>
    <s v="Stable"/>
  </r>
  <r>
    <s v="T2476"/>
    <x v="6"/>
    <x v="1"/>
    <x v="1"/>
    <x v="0"/>
    <s v="Nov"/>
    <x v="0"/>
    <x v="2157"/>
    <n v="1.3"/>
    <x v="1"/>
    <n v="1.4"/>
    <x v="19"/>
    <n v="4447"/>
    <x v="1"/>
    <n v="14.6"/>
    <s v="Frontend Developer"/>
    <n v="-10.199999999999999"/>
    <n v="24.8"/>
    <x v="0"/>
    <n v="1.3"/>
    <n v="6.6"/>
    <n v="8.1"/>
    <s v="Bull Market"/>
  </r>
  <r>
    <s v="T2477"/>
    <x v="6"/>
    <x v="1"/>
    <x v="2"/>
    <x v="0"/>
    <s v="Apr"/>
    <x v="1"/>
    <x v="2158"/>
    <n v="1.2"/>
    <x v="0"/>
    <n v="5.9"/>
    <x v="46"/>
    <n v="4596"/>
    <x v="0"/>
    <n v="10.5"/>
    <s v="Data Scientist"/>
    <n v="-39.4"/>
    <n v="4.5"/>
    <x v="316"/>
    <n v="4.5999999999999996"/>
    <n v="6.7"/>
    <n v="6.9"/>
    <s v="Bull Market"/>
  </r>
  <r>
    <s v="T2478"/>
    <x v="2"/>
    <x v="2"/>
    <x v="4"/>
    <x v="3"/>
    <s v="Aug"/>
    <x v="2"/>
    <x v="2159"/>
    <n v="33.4"/>
    <x v="1"/>
    <n v="13.1"/>
    <x v="5"/>
    <n v="1874"/>
    <x v="1"/>
    <n v="76.5"/>
    <s v="Cybersecurity Analyst"/>
    <n v="38.799999999999997"/>
    <n v="40.200000000000003"/>
    <x v="216"/>
    <n v="8.9"/>
    <n v="6.7"/>
    <n v="4.0999999999999996"/>
    <s v="Recession"/>
  </r>
  <r>
    <s v="T2479"/>
    <x v="1"/>
    <x v="6"/>
    <x v="5"/>
    <x v="2"/>
    <s v="Jul"/>
    <x v="1"/>
    <x v="2160"/>
    <n v="8.8000000000000007"/>
    <x v="0"/>
    <n v="3.3"/>
    <x v="58"/>
    <n v="1932"/>
    <x v="1"/>
    <n v="24.6"/>
    <s v="ML Engineer"/>
    <n v="56"/>
    <n v="31.1"/>
    <x v="107"/>
    <n v="2.4"/>
    <n v="5.3"/>
    <n v="7.5"/>
    <s v="Recession"/>
  </r>
  <r>
    <s v="T2480"/>
    <x v="16"/>
    <x v="2"/>
    <x v="0"/>
    <x v="0"/>
    <s v="May"/>
    <x v="2"/>
    <x v="1615"/>
    <n v="9"/>
    <x v="3"/>
    <n v="7.3"/>
    <x v="50"/>
    <n v="1129"/>
    <x v="1"/>
    <n v="74.599999999999994"/>
    <s v="DevOps Engineer"/>
    <n v="88.4"/>
    <n v="-24.3"/>
    <x v="361"/>
    <n v="6.9"/>
    <n v="5.9"/>
    <n v="3.6"/>
    <s v="Bull Market"/>
  </r>
  <r>
    <s v="T2481"/>
    <x v="9"/>
    <x v="0"/>
    <x v="4"/>
    <x v="1"/>
    <s v="Dec"/>
    <x v="1"/>
    <x v="2161"/>
    <n v="1.3"/>
    <x v="3"/>
    <n v="5.6"/>
    <x v="71"/>
    <n v="8842"/>
    <x v="0"/>
    <n v="54.4"/>
    <s v="ML Engineer"/>
    <n v="6.3"/>
    <n v="29.4"/>
    <x v="204"/>
    <n v="4.4000000000000004"/>
    <n v="6.4"/>
    <n v="8"/>
    <s v="Stable"/>
  </r>
  <r>
    <s v="T2482"/>
    <x v="14"/>
    <x v="1"/>
    <x v="3"/>
    <x v="1"/>
    <s v="Apr"/>
    <x v="0"/>
    <x v="2162"/>
    <n v="11.9"/>
    <x v="0"/>
    <n v="10.199999999999999"/>
    <x v="5"/>
    <n v="5673"/>
    <x v="0"/>
    <n v="64.400000000000006"/>
    <s v="Product Manager"/>
    <n v="-29.2"/>
    <n v="38.6"/>
    <x v="171"/>
    <n v="9.5"/>
    <n v="5.9"/>
    <n v="5.8"/>
    <s v="Stable"/>
  </r>
  <r>
    <s v="T2483"/>
    <x v="12"/>
    <x v="5"/>
    <x v="5"/>
    <x v="2"/>
    <s v="May"/>
    <x v="1"/>
    <x v="2163"/>
    <n v="13.1"/>
    <x v="2"/>
    <n v="3.9"/>
    <x v="16"/>
    <n v="4345"/>
    <x v="0"/>
    <n v="49.6"/>
    <s v="Software Engineer"/>
    <n v="-18.7"/>
    <n v="37.700000000000003"/>
    <x v="452"/>
    <n v="6.1"/>
    <n v="6.8"/>
    <n v="6.1"/>
    <s v="Stable"/>
  </r>
  <r>
    <s v="T2484"/>
    <x v="1"/>
    <x v="0"/>
    <x v="5"/>
    <x v="2"/>
    <s v="Jan"/>
    <x v="2"/>
    <x v="2164"/>
    <n v="3.3"/>
    <x v="2"/>
    <n v="10.199999999999999"/>
    <x v="43"/>
    <n v="7726"/>
    <x v="0"/>
    <n v="67.900000000000006"/>
    <s v="ML Engineer"/>
    <n v="22.3"/>
    <n v="4.2"/>
    <x v="72"/>
    <n v="6"/>
    <n v="8.1"/>
    <n v="6"/>
    <s v="Bull Market"/>
  </r>
  <r>
    <s v="T2485"/>
    <x v="4"/>
    <x v="1"/>
    <x v="0"/>
    <x v="0"/>
    <s v="Sep"/>
    <x v="0"/>
    <x v="2165"/>
    <n v="4.5"/>
    <x v="2"/>
    <n v="4.7"/>
    <x v="5"/>
    <n v="3375"/>
    <x v="0"/>
    <n v="38.299999999999997"/>
    <s v="Data Scientist"/>
    <n v="59.7"/>
    <n v="31.2"/>
    <x v="238"/>
    <n v="7"/>
    <n v="8.1999999999999993"/>
    <n v="6.2"/>
    <s v="Bull Market"/>
  </r>
  <r>
    <s v="T2486"/>
    <x v="3"/>
    <x v="1"/>
    <x v="5"/>
    <x v="2"/>
    <s v="Jun"/>
    <x v="2"/>
    <x v="2166"/>
    <n v="29.4"/>
    <x v="1"/>
    <n v="7.8"/>
    <x v="5"/>
    <n v="1290"/>
    <x v="1"/>
    <n v="22.9"/>
    <s v="Frontend Developer"/>
    <n v="71.400000000000006"/>
    <n v="40.200000000000003"/>
    <x v="383"/>
    <n v="7.1"/>
    <n v="6.3"/>
    <n v="3.8"/>
    <s v="Recession"/>
  </r>
  <r>
    <s v="T2487"/>
    <x v="2"/>
    <x v="0"/>
    <x v="1"/>
    <x v="1"/>
    <s v="Aug"/>
    <x v="0"/>
    <x v="2167"/>
    <n v="6.1"/>
    <x v="2"/>
    <n v="10.199999999999999"/>
    <x v="5"/>
    <n v="2145"/>
    <x v="0"/>
    <n v="64.5"/>
    <s v="Data Scientist"/>
    <n v="83.9"/>
    <n v="15.5"/>
    <x v="81"/>
    <n v="9"/>
    <n v="8"/>
    <n v="6.5"/>
    <s v="Bull Market"/>
  </r>
  <r>
    <s v="T2488"/>
    <x v="18"/>
    <x v="0"/>
    <x v="0"/>
    <x v="2"/>
    <s v="Dec"/>
    <x v="0"/>
    <x v="2168"/>
    <n v="39.200000000000003"/>
    <x v="4"/>
    <n v="4.7"/>
    <x v="5"/>
    <n v="9699"/>
    <x v="1"/>
    <n v="16.3"/>
    <s v="Data Scientist"/>
    <n v="-22.8"/>
    <n v="11.8"/>
    <x v="155"/>
    <n v="6.8"/>
    <n v="3.7"/>
    <n v="2"/>
    <s v="Recession"/>
  </r>
  <r>
    <s v="T2489"/>
    <x v="9"/>
    <x v="1"/>
    <x v="0"/>
    <x v="1"/>
    <s v="Jun"/>
    <x v="2"/>
    <x v="2169"/>
    <n v="9"/>
    <x v="3"/>
    <n v="6.3"/>
    <x v="5"/>
    <n v="5395"/>
    <x v="0"/>
    <n v="88.2"/>
    <s v="Cloud Engineer"/>
    <n v="88.4"/>
    <n v="29.8"/>
    <x v="251"/>
    <n v="8.1"/>
    <n v="5.9"/>
    <n v="5.9"/>
    <s v="Stable"/>
  </r>
  <r>
    <s v="T2490"/>
    <x v="17"/>
    <x v="0"/>
    <x v="4"/>
    <x v="1"/>
    <s v="Aug"/>
    <x v="1"/>
    <x v="2170"/>
    <n v="24.1"/>
    <x v="3"/>
    <n v="2.1"/>
    <x v="35"/>
    <n v="3419"/>
    <x v="2"/>
    <n v="19"/>
    <s v="Data Scientist"/>
    <n v="-16.5"/>
    <n v="40.200000000000003"/>
    <x v="287"/>
    <n v="1.7"/>
    <n v="7.2"/>
    <n v="6.1"/>
    <s v="Recession"/>
  </r>
  <r>
    <s v="T2491"/>
    <x v="2"/>
    <x v="1"/>
    <x v="2"/>
    <x v="0"/>
    <s v="Jun"/>
    <x v="2"/>
    <x v="2171"/>
    <n v="12.3"/>
    <x v="4"/>
    <n v="4.7"/>
    <x v="24"/>
    <n v="648"/>
    <x v="1"/>
    <n v="22.7"/>
    <s v="Cybersecurity Analyst"/>
    <n v="79.8"/>
    <n v="-24"/>
    <x v="355"/>
    <n v="3.3"/>
    <n v="5.7"/>
    <n v="5.5"/>
    <s v="Recession"/>
  </r>
  <r>
    <s v="T2492"/>
    <x v="4"/>
    <x v="0"/>
    <x v="2"/>
    <x v="1"/>
    <s v="Oct"/>
    <x v="2"/>
    <x v="2172"/>
    <n v="16.5"/>
    <x v="2"/>
    <n v="6.4"/>
    <x v="5"/>
    <n v="7954"/>
    <x v="0"/>
    <n v="24.8"/>
    <s v="ML Engineer"/>
    <n v="87.1"/>
    <n v="32.700000000000003"/>
    <x v="436"/>
    <n v="7"/>
    <n v="8.3000000000000007"/>
    <n v="4.5999999999999996"/>
    <s v="Stable"/>
  </r>
  <r>
    <s v="T2493"/>
    <x v="7"/>
    <x v="4"/>
    <x v="0"/>
    <x v="2"/>
    <s v="Aug"/>
    <x v="1"/>
    <x v="2173"/>
    <n v="24.5"/>
    <x v="1"/>
    <n v="7.1"/>
    <x v="27"/>
    <n v="1848"/>
    <x v="2"/>
    <n v="72.900000000000006"/>
    <s v="Product Manager"/>
    <n v="25.5"/>
    <n v="15.8"/>
    <x v="260"/>
    <n v="5"/>
    <n v="3.6"/>
    <n v="4.4000000000000004"/>
    <s v="Recession"/>
  </r>
  <r>
    <s v="T2494"/>
    <x v="16"/>
    <x v="2"/>
    <x v="5"/>
    <x v="0"/>
    <s v="Sep"/>
    <x v="2"/>
    <x v="2174"/>
    <n v="9.5"/>
    <x v="3"/>
    <n v="6.1"/>
    <x v="14"/>
    <n v="257"/>
    <x v="1"/>
    <n v="37"/>
    <s v="Data Scientist"/>
    <n v="27.5"/>
    <n v="27.7"/>
    <x v="22"/>
    <n v="4.8"/>
    <n v="9"/>
    <n v="6.2"/>
    <s v="Bull Market"/>
  </r>
  <r>
    <s v="T2495"/>
    <x v="2"/>
    <x v="0"/>
    <x v="1"/>
    <x v="3"/>
    <s v="Oct"/>
    <x v="0"/>
    <x v="2175"/>
    <n v="16.7"/>
    <x v="1"/>
    <n v="6.7"/>
    <x v="3"/>
    <n v="1916"/>
    <x v="1"/>
    <n v="86.8"/>
    <s v="Data Scientist"/>
    <n v="-9.1"/>
    <n v="-12.9"/>
    <x v="507"/>
    <n v="6"/>
    <n v="6.1"/>
    <n v="3.9"/>
    <s v="Stable"/>
  </r>
  <r>
    <s v="T2496"/>
    <x v="11"/>
    <x v="6"/>
    <x v="5"/>
    <x v="0"/>
    <s v="Jan"/>
    <x v="2"/>
    <x v="1255"/>
    <n v="14.4"/>
    <x v="4"/>
    <n v="4.5999999999999996"/>
    <x v="86"/>
    <n v="5473"/>
    <x v="1"/>
    <n v="28.2"/>
    <s v="Software Engineer"/>
    <n v="28.8"/>
    <n v="-2.7"/>
    <x v="40"/>
    <n v="2.8"/>
    <n v="4.4000000000000004"/>
    <n v="4.9000000000000004"/>
    <s v="Stable"/>
  </r>
  <r>
    <s v="T2497"/>
    <x v="14"/>
    <x v="1"/>
    <x v="3"/>
    <x v="1"/>
    <s v="Feb"/>
    <x v="0"/>
    <x v="2176"/>
    <n v="11.9"/>
    <x v="0"/>
    <n v="2"/>
    <x v="66"/>
    <n v="179"/>
    <x v="2"/>
    <n v="68.3"/>
    <s v="Product Manager"/>
    <n v="-23.5"/>
    <n v="56.5"/>
    <x v="258"/>
    <n v="2.5"/>
    <n v="6.9"/>
    <n v="8.5"/>
    <s v="Recession"/>
  </r>
  <r>
    <s v="T2498"/>
    <x v="5"/>
    <x v="3"/>
    <x v="2"/>
    <x v="1"/>
    <s v="Sep"/>
    <x v="0"/>
    <x v="2177"/>
    <n v="8.5"/>
    <x v="2"/>
    <n v="4.4000000000000004"/>
    <x v="76"/>
    <n v="1501"/>
    <x v="1"/>
    <n v="56.7"/>
    <s v="Data Scientist"/>
    <n v="29"/>
    <n v="34.299999999999997"/>
    <x v="54"/>
    <n v="3.6"/>
    <n v="7.5"/>
    <n v="6.6"/>
    <s v="Bull Market"/>
  </r>
  <r>
    <s v="T2499"/>
    <x v="2"/>
    <x v="1"/>
    <x v="2"/>
    <x v="3"/>
    <s v="Oct"/>
    <x v="2"/>
    <x v="2178"/>
    <n v="26.3"/>
    <x v="2"/>
    <n v="3.7"/>
    <x v="67"/>
    <n v="1664"/>
    <x v="2"/>
    <n v="31.9"/>
    <s v="Cloud Engineer"/>
    <n v="-15.2"/>
    <n v="11.4"/>
    <x v="446"/>
    <n v="2.5"/>
    <n v="6.5"/>
    <n v="4.5999999999999996"/>
    <s v="Recession"/>
  </r>
  <r>
    <s v="T2500"/>
    <x v="14"/>
    <x v="1"/>
    <x v="5"/>
    <x v="0"/>
    <s v="Mar"/>
    <x v="0"/>
    <x v="2179"/>
    <n v="33.1"/>
    <x v="1"/>
    <n v="4"/>
    <x v="5"/>
    <n v="1011"/>
    <x v="2"/>
    <n v="50"/>
    <s v="Software Engineer"/>
    <n v="-20"/>
    <n v="-18.899999999999999"/>
    <x v="508"/>
    <n v="2.9"/>
    <n v="2.2000000000000002"/>
    <n v="1.2"/>
    <s v="Recession"/>
  </r>
  <r>
    <s v="T2501"/>
    <x v="9"/>
    <x v="1"/>
    <x v="1"/>
    <x v="1"/>
    <s v="Oct"/>
    <x v="1"/>
    <x v="2180"/>
    <n v="8"/>
    <x v="1"/>
    <n v="4.3"/>
    <x v="75"/>
    <n v="877"/>
    <x v="2"/>
    <n v="74.5"/>
    <s v="Data Scientist"/>
    <n v="-11"/>
    <n v="54.3"/>
    <x v="384"/>
    <n v="3"/>
    <n v="7.4"/>
    <n v="8"/>
    <s v="Recession"/>
  </r>
  <r>
    <s v="T2502"/>
    <x v="12"/>
    <x v="0"/>
    <x v="3"/>
    <x v="1"/>
    <s v="Oct"/>
    <x v="1"/>
    <x v="2181"/>
    <n v="9.9"/>
    <x v="4"/>
    <n v="3.1"/>
    <x v="24"/>
    <n v="7678"/>
    <x v="0"/>
    <n v="28.4"/>
    <s v="ML Engineer"/>
    <n v="84.5"/>
    <n v="9.6999999999999993"/>
    <x v="47"/>
    <n v="3.5"/>
    <n v="5.6"/>
    <n v="5.7"/>
    <s v="Stable"/>
  </r>
  <r>
    <s v="T2503"/>
    <x v="6"/>
    <x v="1"/>
    <x v="5"/>
    <x v="0"/>
    <s v="Jun"/>
    <x v="2"/>
    <x v="2182"/>
    <n v="4.5"/>
    <x v="0"/>
    <n v="2.7"/>
    <x v="47"/>
    <n v="4107"/>
    <x v="1"/>
    <n v="47.5"/>
    <s v="ML Engineer"/>
    <n v="1.2"/>
    <n v="11.3"/>
    <x v="134"/>
    <n v="3.4"/>
    <n v="8.1999999999999993"/>
    <n v="6.8"/>
    <s v="Bull Market"/>
  </r>
  <r>
    <s v="T2504"/>
    <x v="4"/>
    <x v="1"/>
    <x v="2"/>
    <x v="3"/>
    <s v="Jul"/>
    <x v="2"/>
    <x v="2183"/>
    <n v="22.2"/>
    <x v="0"/>
    <n v="6.9"/>
    <x v="5"/>
    <n v="942"/>
    <x v="1"/>
    <n v="18.5"/>
    <s v="Frontend Developer"/>
    <n v="70.599999999999994"/>
    <n v="12.7"/>
    <x v="281"/>
    <n v="7.2"/>
    <n v="4.7"/>
    <n v="5.0999999999999996"/>
    <s v="Recession"/>
  </r>
  <r>
    <s v="T2505"/>
    <x v="0"/>
    <x v="5"/>
    <x v="1"/>
    <x v="2"/>
    <s v="Aug"/>
    <x v="2"/>
    <x v="2184"/>
    <n v="3.5"/>
    <x v="2"/>
    <n v="7.9"/>
    <x v="85"/>
    <n v="5082"/>
    <x v="0"/>
    <n v="34.200000000000003"/>
    <s v="Software Engineer"/>
    <n v="-12.7"/>
    <n v="57.7"/>
    <x v="253"/>
    <n v="7.9"/>
    <n v="6.5"/>
    <n v="8.8000000000000007"/>
    <s v="Bull Market"/>
  </r>
  <r>
    <s v="T2506"/>
    <x v="16"/>
    <x v="2"/>
    <x v="5"/>
    <x v="3"/>
    <s v="Sep"/>
    <x v="1"/>
    <x v="2185"/>
    <n v="13"/>
    <x v="4"/>
    <n v="2.4"/>
    <x v="78"/>
    <n v="873"/>
    <x v="2"/>
    <n v="13.5"/>
    <s v="Data Scientist"/>
    <n v="5.7"/>
    <n v="-13.5"/>
    <x v="366"/>
    <n v="3.1"/>
    <n v="7.4"/>
    <n v="5.7"/>
    <s v="Stable"/>
  </r>
  <r>
    <s v="T2507"/>
    <x v="16"/>
    <x v="2"/>
    <x v="3"/>
    <x v="2"/>
    <s v="May"/>
    <x v="1"/>
    <x v="2186"/>
    <n v="8.8000000000000007"/>
    <x v="3"/>
    <n v="1.9"/>
    <x v="78"/>
    <n v="4978"/>
    <x v="0"/>
    <n v="11.2"/>
    <s v="Data Scientist"/>
    <n v="85.7"/>
    <n v="32.700000000000003"/>
    <x v="392"/>
    <n v="1.7"/>
    <n v="8.5"/>
    <n v="6.8"/>
    <s v="Stable"/>
  </r>
  <r>
    <s v="T2508"/>
    <x v="18"/>
    <x v="0"/>
    <x v="3"/>
    <x v="0"/>
    <s v="Feb"/>
    <x v="1"/>
    <x v="36"/>
    <n v="0.4"/>
    <x v="0"/>
    <n v="2.6"/>
    <x v="66"/>
    <n v="3849"/>
    <x v="1"/>
    <n v="21"/>
    <s v="ML Engineer"/>
    <n v="-23.2"/>
    <n v="7"/>
    <x v="73"/>
    <n v="1.9"/>
    <n v="7.2"/>
    <n v="8.3000000000000007"/>
    <s v="Bull Market"/>
  </r>
  <r>
    <s v="T2509"/>
    <x v="14"/>
    <x v="1"/>
    <x v="4"/>
    <x v="1"/>
    <s v="Oct"/>
    <x v="1"/>
    <x v="12"/>
    <n v="6"/>
    <x v="3"/>
    <n v="7.1"/>
    <x v="41"/>
    <n v="806"/>
    <x v="1"/>
    <n v="33.6"/>
    <s v="ML Engineer"/>
    <n v="47.2"/>
    <n v="49.4"/>
    <x v="317"/>
    <n v="7.6"/>
    <n v="8.4"/>
    <n v="7.2"/>
    <s v="Bull Market"/>
  </r>
  <r>
    <s v="T2510"/>
    <x v="14"/>
    <x v="1"/>
    <x v="1"/>
    <x v="0"/>
    <s v="Aug"/>
    <x v="1"/>
    <x v="443"/>
    <n v="1.9"/>
    <x v="2"/>
    <n v="1.4"/>
    <x v="19"/>
    <n v="4680"/>
    <x v="1"/>
    <n v="19.2"/>
    <s v="Software Engineer"/>
    <n v="-1.6"/>
    <n v="-7.8"/>
    <x v="418"/>
    <n v="1.1000000000000001"/>
    <n v="6.6"/>
    <n v="6.6"/>
    <s v="Bull Market"/>
  </r>
  <r>
    <s v="T2511"/>
    <x v="1"/>
    <x v="4"/>
    <x v="3"/>
    <x v="3"/>
    <s v="Aug"/>
    <x v="2"/>
    <x v="847"/>
    <n v="6.8"/>
    <x v="0"/>
    <n v="3.1"/>
    <x v="66"/>
    <n v="5502"/>
    <x v="0"/>
    <n v="26.5"/>
    <s v="ML Engineer"/>
    <n v="50.5"/>
    <n v="50.5"/>
    <x v="224"/>
    <n v="3.1"/>
    <n v="6.5"/>
    <n v="7.8"/>
    <s v="Bull Market"/>
  </r>
  <r>
    <s v="T2512"/>
    <x v="0"/>
    <x v="2"/>
    <x v="5"/>
    <x v="3"/>
    <s v="Jun"/>
    <x v="0"/>
    <x v="2187"/>
    <n v="3.3"/>
    <x v="3"/>
    <n v="12.7"/>
    <x v="76"/>
    <n v="4175"/>
    <x v="3"/>
    <n v="59.9"/>
    <s v="Cybersecurity Analyst"/>
    <n v="69.099999999999994"/>
    <n v="-1.7"/>
    <x v="15"/>
    <n v="8.6"/>
    <n v="7.7"/>
    <n v="7.5"/>
    <s v="Bull Market"/>
  </r>
  <r>
    <s v="T2513"/>
    <x v="9"/>
    <x v="1"/>
    <x v="4"/>
    <x v="1"/>
    <s v="Sep"/>
    <x v="1"/>
    <x v="2188"/>
    <n v="7.6"/>
    <x v="0"/>
    <n v="4.4000000000000004"/>
    <x v="5"/>
    <n v="4257"/>
    <x v="0"/>
    <n v="20"/>
    <s v="Cybersecurity Analyst"/>
    <n v="87.2"/>
    <n v="57.9"/>
    <x v="365"/>
    <n v="6.1"/>
    <n v="7.3"/>
    <n v="6.5"/>
    <s v="Bull Market"/>
  </r>
  <r>
    <s v="T2514"/>
    <x v="2"/>
    <x v="2"/>
    <x v="3"/>
    <x v="3"/>
    <s v="May"/>
    <x v="0"/>
    <x v="2189"/>
    <n v="30.7"/>
    <x v="3"/>
    <n v="2"/>
    <x v="5"/>
    <n v="770"/>
    <x v="2"/>
    <n v="66.099999999999994"/>
    <s v="Data Scientist"/>
    <n v="47.2"/>
    <n v="44.2"/>
    <x v="122"/>
    <n v="2.2000000000000002"/>
    <n v="4.4000000000000004"/>
    <n v="3.5"/>
    <s v="Recession"/>
  </r>
  <r>
    <s v="T2515"/>
    <x v="9"/>
    <x v="1"/>
    <x v="3"/>
    <x v="1"/>
    <s v="Nov"/>
    <x v="2"/>
    <x v="1979"/>
    <n v="34.200000000000003"/>
    <x v="2"/>
    <n v="4.5"/>
    <x v="5"/>
    <n v="247"/>
    <x v="2"/>
    <n v="28.8"/>
    <s v="DevOps Engineer"/>
    <n v="25.7"/>
    <n v="-1.6"/>
    <x v="431"/>
    <n v="6.8"/>
    <n v="4"/>
    <n v="2.6"/>
    <s v="Recession"/>
  </r>
  <r>
    <s v="T2516"/>
    <x v="0"/>
    <x v="2"/>
    <x v="3"/>
    <x v="1"/>
    <s v="Dec"/>
    <x v="0"/>
    <x v="147"/>
    <n v="4.0999999999999996"/>
    <x v="3"/>
    <n v="1.8"/>
    <x v="1"/>
    <n v="4778"/>
    <x v="0"/>
    <n v="57.1"/>
    <s v="DevOps Engineer"/>
    <n v="-42.9"/>
    <n v="-8.6"/>
    <x v="418"/>
    <n v="2"/>
    <n v="4.7"/>
    <n v="6.1"/>
    <s v="Bull Market"/>
  </r>
  <r>
    <s v="T2517"/>
    <x v="18"/>
    <x v="0"/>
    <x v="2"/>
    <x v="1"/>
    <s v="Dec"/>
    <x v="1"/>
    <x v="2190"/>
    <n v="4.4000000000000004"/>
    <x v="4"/>
    <n v="4"/>
    <x v="81"/>
    <n v="9232"/>
    <x v="3"/>
    <n v="87.7"/>
    <s v="Data Scientist"/>
    <n v="-44.2"/>
    <n v="59.7"/>
    <x v="87"/>
    <n v="2.7"/>
    <n v="7.8"/>
    <n v="8.3000000000000007"/>
    <s v="Bull Market"/>
  </r>
  <r>
    <s v="T2518"/>
    <x v="0"/>
    <x v="2"/>
    <x v="3"/>
    <x v="2"/>
    <s v="Dec"/>
    <x v="2"/>
    <x v="1445"/>
    <n v="3.8"/>
    <x v="0"/>
    <n v="4.7"/>
    <x v="61"/>
    <n v="4766"/>
    <x v="0"/>
    <n v="22.9"/>
    <s v="DevOps Engineer"/>
    <n v="89.9"/>
    <n v="40.9"/>
    <x v="161"/>
    <n v="3.3"/>
    <n v="7.1"/>
    <n v="7.1"/>
    <s v="Stable"/>
  </r>
  <r>
    <s v="T2519"/>
    <x v="10"/>
    <x v="3"/>
    <x v="1"/>
    <x v="2"/>
    <s v="Apr"/>
    <x v="0"/>
    <x v="2191"/>
    <n v="2.6"/>
    <x v="1"/>
    <n v="2.7"/>
    <x v="74"/>
    <n v="4916"/>
    <x v="0"/>
    <n v="56.3"/>
    <s v="Cybersecurity Analyst"/>
    <n v="-5.5"/>
    <n v="3.5"/>
    <x v="374"/>
    <n v="1.8"/>
    <n v="8.6999999999999993"/>
    <n v="6.4"/>
    <s v="Stable"/>
  </r>
  <r>
    <s v="T2520"/>
    <x v="1"/>
    <x v="0"/>
    <x v="4"/>
    <x v="2"/>
    <s v="Sep"/>
    <x v="2"/>
    <x v="2192"/>
    <n v="11.4"/>
    <x v="2"/>
    <n v="3.3"/>
    <x v="8"/>
    <n v="9459"/>
    <x v="3"/>
    <n v="74.400000000000006"/>
    <s v="ML Engineer"/>
    <n v="78"/>
    <n v="47.4"/>
    <x v="77"/>
    <n v="4.2"/>
    <n v="8.6"/>
    <n v="7.2"/>
    <s v="Recession"/>
  </r>
  <r>
    <s v="T2521"/>
    <x v="2"/>
    <x v="3"/>
    <x v="1"/>
    <x v="0"/>
    <s v="May"/>
    <x v="1"/>
    <x v="2193"/>
    <n v="30.5"/>
    <x v="1"/>
    <n v="11.1"/>
    <x v="5"/>
    <n v="1456"/>
    <x v="1"/>
    <n v="85.7"/>
    <s v="DevOps Engineer"/>
    <n v="-37.6"/>
    <n v="-14"/>
    <x v="302"/>
    <n v="9.1"/>
    <n v="4.0999999999999996"/>
    <n v="2.4"/>
    <s v="Recession"/>
  </r>
  <r>
    <s v="T2522"/>
    <x v="17"/>
    <x v="0"/>
    <x v="3"/>
    <x v="3"/>
    <s v="Jul"/>
    <x v="0"/>
    <x v="2194"/>
    <n v="2.1"/>
    <x v="2"/>
    <n v="6.8"/>
    <x v="77"/>
    <n v="2058"/>
    <x v="0"/>
    <n v="51.1"/>
    <s v="ML Engineer"/>
    <n v="-4.9000000000000004"/>
    <n v="43.1"/>
    <x v="164"/>
    <n v="4.5999999999999996"/>
    <n v="9.5"/>
    <n v="8.1"/>
    <s v="Bull Market"/>
  </r>
  <r>
    <s v="T2523"/>
    <x v="15"/>
    <x v="2"/>
    <x v="3"/>
    <x v="1"/>
    <s v="Nov"/>
    <x v="0"/>
    <x v="2195"/>
    <n v="21.5"/>
    <x v="2"/>
    <n v="6.7"/>
    <x v="5"/>
    <n v="1708"/>
    <x v="1"/>
    <n v="78.7"/>
    <s v="Product Manager"/>
    <n v="68.900000000000006"/>
    <n v="39.9"/>
    <x v="228"/>
    <n v="7.2"/>
    <n v="6.9"/>
    <n v="4.3"/>
    <s v="Recession"/>
  </r>
  <r>
    <s v="T2524"/>
    <x v="0"/>
    <x v="5"/>
    <x v="0"/>
    <x v="3"/>
    <s v="May"/>
    <x v="1"/>
    <x v="2196"/>
    <n v="6.5"/>
    <x v="3"/>
    <n v="3.3"/>
    <x v="82"/>
    <n v="4201"/>
    <x v="0"/>
    <n v="45.4"/>
    <s v="ML Engineer"/>
    <n v="15.4"/>
    <n v="45.6"/>
    <x v="81"/>
    <n v="3.8"/>
    <n v="6.5"/>
    <n v="7.3"/>
    <s v="Stable"/>
  </r>
  <r>
    <s v="T2525"/>
    <x v="19"/>
    <x v="0"/>
    <x v="3"/>
    <x v="2"/>
    <s v="Apr"/>
    <x v="0"/>
    <x v="2197"/>
    <n v="11.6"/>
    <x v="3"/>
    <n v="5.7"/>
    <x v="73"/>
    <n v="4559"/>
    <x v="0"/>
    <n v="20.2"/>
    <s v="Data Scientist"/>
    <n v="-42.2"/>
    <n v="-16.100000000000001"/>
    <x v="276"/>
    <n v="4.9000000000000004"/>
    <n v="7.6"/>
    <n v="4.0999999999999996"/>
    <s v="Recession"/>
  </r>
  <r>
    <s v="T2526"/>
    <x v="0"/>
    <x v="2"/>
    <x v="1"/>
    <x v="0"/>
    <s v="Mar"/>
    <x v="2"/>
    <x v="845"/>
    <n v="6.4"/>
    <x v="3"/>
    <n v="10.3"/>
    <x v="5"/>
    <n v="5872"/>
    <x v="3"/>
    <n v="86.9"/>
    <s v="Cybersecurity Analyst"/>
    <n v="60.9"/>
    <n v="18.100000000000001"/>
    <x v="114"/>
    <n v="7.3"/>
    <n v="8.9"/>
    <n v="6.3"/>
    <s v="Stable"/>
  </r>
  <r>
    <s v="T2527"/>
    <x v="18"/>
    <x v="0"/>
    <x v="1"/>
    <x v="1"/>
    <s v="May"/>
    <x v="0"/>
    <x v="2198"/>
    <n v="31.4"/>
    <x v="2"/>
    <n v="1.1000000000000001"/>
    <x v="18"/>
    <n v="6705"/>
    <x v="1"/>
    <n v="42.2"/>
    <s v="Data Scientist"/>
    <n v="-35.9"/>
    <n v="23.8"/>
    <x v="496"/>
    <n v="1.5"/>
    <n v="5.7"/>
    <n v="4.0999999999999996"/>
    <s v="Recession"/>
  </r>
  <r>
    <s v="T2528"/>
    <x v="14"/>
    <x v="1"/>
    <x v="5"/>
    <x v="3"/>
    <s v="Feb"/>
    <x v="0"/>
    <x v="2199"/>
    <n v="21.6"/>
    <x v="3"/>
    <n v="6.8"/>
    <x v="5"/>
    <n v="331"/>
    <x v="2"/>
    <n v="21.9"/>
    <s v="ML Engineer"/>
    <n v="37.6"/>
    <n v="59.9"/>
    <x v="139"/>
    <n v="6.6"/>
    <n v="7.2"/>
    <n v="6.2"/>
    <s v="Recession"/>
  </r>
  <r>
    <s v="T2529"/>
    <x v="11"/>
    <x v="6"/>
    <x v="3"/>
    <x v="1"/>
    <s v="Sep"/>
    <x v="1"/>
    <x v="2200"/>
    <n v="9.6"/>
    <x v="1"/>
    <n v="11.1"/>
    <x v="78"/>
    <n v="4079"/>
    <x v="0"/>
    <n v="25.6"/>
    <s v="Product Manager"/>
    <n v="85.4"/>
    <n v="8"/>
    <x v="122"/>
    <n v="7.1"/>
    <n v="5.9"/>
    <n v="5.7"/>
    <s v="Bull Market"/>
  </r>
  <r>
    <s v="T2530"/>
    <x v="8"/>
    <x v="4"/>
    <x v="5"/>
    <x v="3"/>
    <s v="Jul"/>
    <x v="1"/>
    <x v="2201"/>
    <n v="39.1"/>
    <x v="2"/>
    <n v="4.2"/>
    <x v="48"/>
    <n v="84"/>
    <x v="2"/>
    <n v="87.7"/>
    <s v="Product Manager"/>
    <n v="82"/>
    <n v="47.8"/>
    <x v="158"/>
    <n v="2.9"/>
    <n v="6.9"/>
    <n v="3.9"/>
    <s v="Recession"/>
  </r>
  <r>
    <s v="T2531"/>
    <x v="17"/>
    <x v="0"/>
    <x v="4"/>
    <x v="1"/>
    <s v="Jul"/>
    <x v="2"/>
    <x v="1561"/>
    <n v="5.6"/>
    <x v="1"/>
    <n v="1.9"/>
    <x v="90"/>
    <n v="1933"/>
    <x v="1"/>
    <n v="25"/>
    <s v="Data Scientist"/>
    <n v="64.5"/>
    <n v="57.8"/>
    <x v="44"/>
    <n v="1.3"/>
    <n v="8.3000000000000007"/>
    <n v="8.5"/>
    <s v="Bull Market"/>
  </r>
  <r>
    <s v="T2532"/>
    <x v="0"/>
    <x v="5"/>
    <x v="4"/>
    <x v="1"/>
    <s v="Nov"/>
    <x v="2"/>
    <x v="2202"/>
    <n v="7.3"/>
    <x v="0"/>
    <n v="5.0999999999999996"/>
    <x v="5"/>
    <n v="4110"/>
    <x v="0"/>
    <n v="32.700000000000003"/>
    <s v="Product Manager"/>
    <n v="51.3"/>
    <n v="59.8"/>
    <x v="263"/>
    <n v="7.8"/>
    <n v="10"/>
    <n v="6.5"/>
    <s v="Stable"/>
  </r>
  <r>
    <s v="T2533"/>
    <x v="7"/>
    <x v="4"/>
    <x v="2"/>
    <x v="1"/>
    <s v="Sep"/>
    <x v="2"/>
    <x v="410"/>
    <n v="14.5"/>
    <x v="1"/>
    <n v="1.7"/>
    <x v="54"/>
    <n v="2989"/>
    <x v="1"/>
    <n v="24.8"/>
    <s v="Frontend Developer"/>
    <n v="85.4"/>
    <n v="0.6"/>
    <x v="260"/>
    <n v="1.2"/>
    <n v="5.2"/>
    <n v="6.3"/>
    <s v="Stable"/>
  </r>
  <r>
    <s v="T2534"/>
    <x v="1"/>
    <x v="4"/>
    <x v="4"/>
    <x v="0"/>
    <s v="Feb"/>
    <x v="2"/>
    <x v="2203"/>
    <n v="25.3"/>
    <x v="4"/>
    <n v="14.7"/>
    <x v="5"/>
    <n v="168"/>
    <x v="1"/>
    <n v="33.5"/>
    <s v="Data Scientist"/>
    <n v="48.1"/>
    <n v="21.1"/>
    <x v="3"/>
    <n v="9.6"/>
    <n v="6.9"/>
    <n v="3.3"/>
    <s v="Recession"/>
  </r>
  <r>
    <s v="T2535"/>
    <x v="17"/>
    <x v="0"/>
    <x v="0"/>
    <x v="2"/>
    <s v="Oct"/>
    <x v="1"/>
    <x v="2204"/>
    <n v="22.3"/>
    <x v="3"/>
    <n v="9.1"/>
    <x v="5"/>
    <n v="5627"/>
    <x v="1"/>
    <n v="59.1"/>
    <s v="Data Scientist"/>
    <n v="82.5"/>
    <n v="23.8"/>
    <x v="180"/>
    <n v="6.9"/>
    <n v="4.0999999999999996"/>
    <n v="5"/>
    <s v="Recession"/>
  </r>
  <r>
    <s v="T2536"/>
    <x v="10"/>
    <x v="3"/>
    <x v="3"/>
    <x v="2"/>
    <s v="Dec"/>
    <x v="1"/>
    <x v="2095"/>
    <n v="16.100000000000001"/>
    <x v="2"/>
    <n v="8"/>
    <x v="60"/>
    <n v="1288"/>
    <x v="1"/>
    <n v="22.7"/>
    <s v="Software Engineer"/>
    <n v="-11.5"/>
    <n v="11.3"/>
    <x v="215"/>
    <n v="7.7"/>
    <n v="5.3"/>
    <n v="5.4"/>
    <s v="Stable"/>
  </r>
  <r>
    <s v="T2537"/>
    <x v="9"/>
    <x v="0"/>
    <x v="2"/>
    <x v="1"/>
    <s v="May"/>
    <x v="1"/>
    <x v="2205"/>
    <n v="12.5"/>
    <x v="0"/>
    <n v="3.2"/>
    <x v="72"/>
    <n v="6009"/>
    <x v="1"/>
    <n v="88.1"/>
    <s v="ML Engineer"/>
    <n v="89.3"/>
    <n v="-7.2"/>
    <x v="321"/>
    <n v="4.5999999999999996"/>
    <n v="6.6"/>
    <n v="6.2"/>
    <s v="Stable"/>
  </r>
  <r>
    <s v="T2538"/>
    <x v="11"/>
    <x v="6"/>
    <x v="1"/>
    <x v="2"/>
    <s v="Jul"/>
    <x v="1"/>
    <x v="2206"/>
    <n v="29.4"/>
    <x v="1"/>
    <n v="6.5"/>
    <x v="5"/>
    <n v="913"/>
    <x v="2"/>
    <n v="39.200000000000003"/>
    <s v="Product Manager"/>
    <n v="8.8000000000000007"/>
    <n v="1.3"/>
    <x v="79"/>
    <n v="4.7"/>
    <n v="6"/>
    <n v="2.7"/>
    <s v="Recession"/>
  </r>
  <r>
    <s v="T2539"/>
    <x v="3"/>
    <x v="1"/>
    <x v="4"/>
    <x v="0"/>
    <s v="Aug"/>
    <x v="0"/>
    <x v="1024"/>
    <n v="8"/>
    <x v="0"/>
    <n v="5.3"/>
    <x v="22"/>
    <n v="5725"/>
    <x v="0"/>
    <n v="17.600000000000001"/>
    <s v="ML Engineer"/>
    <n v="-16.899999999999999"/>
    <n v="-21.2"/>
    <x v="509"/>
    <n v="3.1"/>
    <n v="4.8"/>
    <n v="5"/>
    <s v="Bull Market"/>
  </r>
  <r>
    <s v="T2540"/>
    <x v="14"/>
    <x v="1"/>
    <x v="5"/>
    <x v="3"/>
    <s v="Feb"/>
    <x v="2"/>
    <x v="2207"/>
    <n v="13.9"/>
    <x v="1"/>
    <n v="6.7"/>
    <x v="5"/>
    <n v="2493"/>
    <x v="1"/>
    <n v="46.1"/>
    <s v="Data Scientist"/>
    <n v="18.3"/>
    <n v="18.399999999999999"/>
    <x v="118"/>
    <n v="8.4"/>
    <n v="6.1"/>
    <n v="4.7"/>
    <s v="Stable"/>
  </r>
  <r>
    <s v="T2541"/>
    <x v="1"/>
    <x v="4"/>
    <x v="2"/>
    <x v="3"/>
    <s v="Jan"/>
    <x v="1"/>
    <x v="2208"/>
    <n v="10.8"/>
    <x v="2"/>
    <n v="12.7"/>
    <x v="5"/>
    <n v="648"/>
    <x v="0"/>
    <n v="44.5"/>
    <s v="Cloud Engineer"/>
    <n v="-15"/>
    <n v="-8.8000000000000007"/>
    <x v="79"/>
    <n v="9.5"/>
    <n v="5.7"/>
    <n v="4.5"/>
    <s v="Recession"/>
  </r>
  <r>
    <s v="T2542"/>
    <x v="13"/>
    <x v="5"/>
    <x v="2"/>
    <x v="0"/>
    <s v="Jan"/>
    <x v="1"/>
    <x v="705"/>
    <n v="2.4"/>
    <x v="1"/>
    <n v="5.0999999999999996"/>
    <x v="35"/>
    <n v="3794"/>
    <x v="0"/>
    <n v="16.7"/>
    <s v="Cybersecurity Analyst"/>
    <n v="71.7"/>
    <n v="38.799999999999997"/>
    <x v="131"/>
    <n v="4.3"/>
    <n v="7"/>
    <n v="6.3"/>
    <s v="Bull Market"/>
  </r>
  <r>
    <s v="T2543"/>
    <x v="14"/>
    <x v="1"/>
    <x v="3"/>
    <x v="2"/>
    <s v="Jan"/>
    <x v="0"/>
    <x v="2209"/>
    <n v="29.2"/>
    <x v="1"/>
    <n v="12.3"/>
    <x v="5"/>
    <n v="1044"/>
    <x v="1"/>
    <n v="47.4"/>
    <s v="Product Manager"/>
    <n v="-24.8"/>
    <n v="-9"/>
    <x v="299"/>
    <n v="8.8000000000000007"/>
    <n v="4.2"/>
    <n v="3.3"/>
    <s v="Recession"/>
  </r>
  <r>
    <s v="T2544"/>
    <x v="2"/>
    <x v="3"/>
    <x v="4"/>
    <x v="0"/>
    <s v="Jan"/>
    <x v="2"/>
    <x v="2210"/>
    <n v="26.8"/>
    <x v="3"/>
    <n v="1.9"/>
    <x v="73"/>
    <n v="795"/>
    <x v="2"/>
    <n v="41.8"/>
    <s v="Cloud Engineer"/>
    <n v="43.8"/>
    <n v="10.3"/>
    <x v="110"/>
    <n v="1.5"/>
    <n v="6.6"/>
    <n v="5.0999999999999996"/>
    <s v="Recession"/>
  </r>
  <r>
    <s v="T2545"/>
    <x v="6"/>
    <x v="1"/>
    <x v="5"/>
    <x v="3"/>
    <s v="Oct"/>
    <x v="2"/>
    <x v="2211"/>
    <n v="10.199999999999999"/>
    <x v="2"/>
    <n v="2.8"/>
    <x v="83"/>
    <n v="4164"/>
    <x v="1"/>
    <n v="48.3"/>
    <s v="Frontend Developer"/>
    <n v="73.5"/>
    <n v="-13.2"/>
    <x v="32"/>
    <n v="2.8"/>
    <n v="6.3"/>
    <n v="4.9000000000000004"/>
    <s v="Stable"/>
  </r>
  <r>
    <s v="T2546"/>
    <x v="17"/>
    <x v="3"/>
    <x v="2"/>
    <x v="0"/>
    <s v="Jul"/>
    <x v="2"/>
    <x v="848"/>
    <n v="5.9"/>
    <x v="3"/>
    <n v="7.1"/>
    <x v="45"/>
    <n v="4319"/>
    <x v="0"/>
    <n v="14.3"/>
    <s v="Frontend Developer"/>
    <n v="-17.7"/>
    <n v="31.7"/>
    <x v="54"/>
    <n v="4.8"/>
    <n v="5.8"/>
    <n v="6.8"/>
    <s v="Bull Market"/>
  </r>
  <r>
    <s v="T2547"/>
    <x v="13"/>
    <x v="5"/>
    <x v="0"/>
    <x v="2"/>
    <s v="Dec"/>
    <x v="2"/>
    <x v="131"/>
    <n v="1.7"/>
    <x v="2"/>
    <n v="12.8"/>
    <x v="30"/>
    <n v="3730"/>
    <x v="0"/>
    <n v="13.9"/>
    <s v="Cybersecurity Analyst"/>
    <n v="37.700000000000003"/>
    <n v="-8.1999999999999993"/>
    <x v="406"/>
    <n v="8.1999999999999993"/>
    <n v="6.7"/>
    <n v="6.3"/>
    <s v="Bull Market"/>
  </r>
  <r>
    <s v="T2548"/>
    <x v="17"/>
    <x v="0"/>
    <x v="0"/>
    <x v="0"/>
    <s v="Aug"/>
    <x v="2"/>
    <x v="2212"/>
    <n v="13.7"/>
    <x v="0"/>
    <n v="7.2"/>
    <x v="63"/>
    <n v="8104"/>
    <x v="0"/>
    <n v="17.2"/>
    <s v="Data Scientist"/>
    <n v="31.9"/>
    <n v="34.700000000000003"/>
    <x v="187"/>
    <n v="5.0999999999999996"/>
    <n v="7"/>
    <n v="5.7"/>
    <s v="Stable"/>
  </r>
  <r>
    <s v="T2549"/>
    <x v="17"/>
    <x v="0"/>
    <x v="1"/>
    <x v="1"/>
    <s v="May"/>
    <x v="1"/>
    <x v="2213"/>
    <n v="4.9000000000000004"/>
    <x v="4"/>
    <n v="10.1"/>
    <x v="44"/>
    <n v="9360"/>
    <x v="3"/>
    <n v="49.4"/>
    <s v="Data Scientist"/>
    <n v="31.9"/>
    <n v="1"/>
    <x v="273"/>
    <n v="10"/>
    <n v="4.9000000000000004"/>
    <n v="6.5"/>
    <s v="Bull Market"/>
  </r>
  <r>
    <s v="T2550"/>
    <x v="1"/>
    <x v="6"/>
    <x v="5"/>
    <x v="1"/>
    <s v="May"/>
    <x v="2"/>
    <x v="1780"/>
    <n v="0.6"/>
    <x v="2"/>
    <n v="4.2"/>
    <x v="74"/>
    <n v="3267"/>
    <x v="0"/>
    <n v="81.7"/>
    <s v="Frontend Developer"/>
    <n v="13"/>
    <n v="18.100000000000001"/>
    <x v="56"/>
    <n v="6.2"/>
    <n v="6.7"/>
    <n v="8.4"/>
    <s v="Bull Market"/>
  </r>
  <r>
    <s v="T2551"/>
    <x v="2"/>
    <x v="3"/>
    <x v="4"/>
    <x v="3"/>
    <s v="Jun"/>
    <x v="1"/>
    <x v="2214"/>
    <n v="3.4"/>
    <x v="3"/>
    <n v="2.4"/>
    <x v="90"/>
    <n v="1307"/>
    <x v="1"/>
    <n v="12.7"/>
    <s v="ML Engineer"/>
    <n v="-9.6"/>
    <n v="1"/>
    <x v="225"/>
    <n v="1.4"/>
    <n v="6.6"/>
    <n v="8.3000000000000007"/>
    <s v="Bull Market"/>
  </r>
  <r>
    <s v="T2552"/>
    <x v="14"/>
    <x v="1"/>
    <x v="0"/>
    <x v="3"/>
    <s v="May"/>
    <x v="0"/>
    <x v="611"/>
    <n v="3.7"/>
    <x v="1"/>
    <n v="2.8"/>
    <x v="79"/>
    <n v="5897"/>
    <x v="0"/>
    <n v="21.4"/>
    <s v="Frontend Developer"/>
    <n v="4.3"/>
    <n v="15.4"/>
    <x v="81"/>
    <n v="2.8"/>
    <n v="5.9"/>
    <n v="6.9"/>
    <s v="Bull Market"/>
  </r>
  <r>
    <s v="T2553"/>
    <x v="6"/>
    <x v="2"/>
    <x v="0"/>
    <x v="3"/>
    <s v="Jul"/>
    <x v="1"/>
    <x v="2215"/>
    <n v="15.2"/>
    <x v="4"/>
    <n v="9.8000000000000007"/>
    <x v="5"/>
    <n v="1117"/>
    <x v="1"/>
    <n v="80.7"/>
    <s v="Frontend Developer"/>
    <n v="40"/>
    <n v="2.4"/>
    <x v="190"/>
    <n v="9.6"/>
    <n v="4.5"/>
    <n v="4.9000000000000004"/>
    <s v="Recession"/>
  </r>
  <r>
    <s v="T2554"/>
    <x v="9"/>
    <x v="0"/>
    <x v="3"/>
    <x v="2"/>
    <s v="Feb"/>
    <x v="1"/>
    <x v="1024"/>
    <n v="1.6"/>
    <x v="1"/>
    <n v="3.2"/>
    <x v="59"/>
    <n v="2586"/>
    <x v="0"/>
    <n v="86.3"/>
    <s v="Data Scientist"/>
    <n v="64.5"/>
    <n v="-16.5"/>
    <x v="252"/>
    <n v="3.4"/>
    <n v="4.4000000000000004"/>
    <n v="6.1"/>
    <s v="Bull Market"/>
  </r>
  <r>
    <s v="T2555"/>
    <x v="2"/>
    <x v="3"/>
    <x v="0"/>
    <x v="0"/>
    <s v="Mar"/>
    <x v="1"/>
    <x v="2216"/>
    <n v="8.9"/>
    <x v="1"/>
    <n v="6.2"/>
    <x v="82"/>
    <n v="395"/>
    <x v="1"/>
    <n v="10.9"/>
    <s v="ML Engineer"/>
    <n v="73.5"/>
    <n v="32.6"/>
    <x v="225"/>
    <n v="4.7"/>
    <n v="7.1"/>
    <n v="6.2"/>
    <s v="Bull Market"/>
  </r>
  <r>
    <s v="T2556"/>
    <x v="1"/>
    <x v="4"/>
    <x v="4"/>
    <x v="1"/>
    <s v="Nov"/>
    <x v="1"/>
    <x v="2217"/>
    <n v="4.2"/>
    <x v="2"/>
    <n v="5.3"/>
    <x v="81"/>
    <n v="5852"/>
    <x v="0"/>
    <n v="59.7"/>
    <s v="Cybersecurity Analyst"/>
    <n v="63"/>
    <n v="-22.3"/>
    <x v="332"/>
    <n v="4"/>
    <n v="6.2"/>
    <n v="6.5"/>
    <s v="Bull Market"/>
  </r>
  <r>
    <s v="T2557"/>
    <x v="0"/>
    <x v="2"/>
    <x v="0"/>
    <x v="3"/>
    <s v="Jan"/>
    <x v="0"/>
    <x v="1493"/>
    <n v="10.7"/>
    <x v="1"/>
    <n v="3.2"/>
    <x v="32"/>
    <n v="1651"/>
    <x v="1"/>
    <n v="32.1"/>
    <s v="Product Manager"/>
    <n v="-35"/>
    <n v="-12"/>
    <x v="110"/>
    <n v="5.0999999999999996"/>
    <n v="5.8"/>
    <n v="4.9000000000000004"/>
    <s v="Stable"/>
  </r>
  <r>
    <s v="T2558"/>
    <x v="9"/>
    <x v="1"/>
    <x v="4"/>
    <x v="3"/>
    <s v="May"/>
    <x v="2"/>
    <x v="2218"/>
    <n v="6.5"/>
    <x v="0"/>
    <n v="2.8"/>
    <x v="82"/>
    <n v="5642"/>
    <x v="0"/>
    <n v="71.599999999999994"/>
    <s v="Cybersecurity Analyst"/>
    <n v="-15.9"/>
    <n v="6.3"/>
    <x v="122"/>
    <n v="4.2"/>
    <n v="6.8"/>
    <n v="6.1"/>
    <s v="Bull Market"/>
  </r>
  <r>
    <s v="T2559"/>
    <x v="17"/>
    <x v="3"/>
    <x v="5"/>
    <x v="3"/>
    <s v="Jul"/>
    <x v="1"/>
    <x v="2219"/>
    <n v="36.200000000000003"/>
    <x v="1"/>
    <n v="13"/>
    <x v="5"/>
    <n v="1212"/>
    <x v="2"/>
    <n v="24.7"/>
    <s v="Product Manager"/>
    <n v="56.4"/>
    <n v="37"/>
    <x v="428"/>
    <n v="10"/>
    <n v="7.1"/>
    <n v="2.9"/>
    <s v="Recession"/>
  </r>
  <r>
    <s v="T2560"/>
    <x v="9"/>
    <x v="0"/>
    <x v="4"/>
    <x v="1"/>
    <s v="Sep"/>
    <x v="1"/>
    <x v="2220"/>
    <n v="6.4"/>
    <x v="3"/>
    <n v="5.4"/>
    <x v="43"/>
    <n v="3600"/>
    <x v="0"/>
    <n v="75.7"/>
    <s v="Data Scientist"/>
    <n v="-21.6"/>
    <n v="55"/>
    <x v="211"/>
    <n v="7.6"/>
    <n v="8.4"/>
    <n v="6.9"/>
    <s v="Bull Market"/>
  </r>
  <r>
    <s v="T2561"/>
    <x v="17"/>
    <x v="0"/>
    <x v="0"/>
    <x v="3"/>
    <s v="Oct"/>
    <x v="1"/>
    <x v="1024"/>
    <n v="3.7"/>
    <x v="3"/>
    <n v="12.6"/>
    <x v="29"/>
    <n v="1541"/>
    <x v="0"/>
    <n v="60.8"/>
    <s v="ML Engineer"/>
    <n v="36.700000000000003"/>
    <n v="51.6"/>
    <x v="194"/>
    <n v="7.5"/>
    <n v="7.4"/>
    <n v="8.5"/>
    <s v="Bull Market"/>
  </r>
  <r>
    <s v="T2562"/>
    <x v="17"/>
    <x v="3"/>
    <x v="2"/>
    <x v="0"/>
    <s v="Nov"/>
    <x v="0"/>
    <x v="2221"/>
    <n v="37.4"/>
    <x v="0"/>
    <n v="1.5"/>
    <x v="5"/>
    <n v="1848"/>
    <x v="2"/>
    <n v="76.3"/>
    <s v="ML Engineer"/>
    <n v="0.8"/>
    <n v="-4.4000000000000004"/>
    <x v="73"/>
    <n v="1.5"/>
    <n v="5.5"/>
    <n v="1.5"/>
    <s v="Recession"/>
  </r>
  <r>
    <s v="T2563"/>
    <x v="12"/>
    <x v="0"/>
    <x v="5"/>
    <x v="1"/>
    <s v="Nov"/>
    <x v="0"/>
    <x v="2222"/>
    <n v="12.4"/>
    <x v="1"/>
    <n v="2.8"/>
    <x v="40"/>
    <n v="6258"/>
    <x v="0"/>
    <n v="73.8"/>
    <s v="Data Scientist"/>
    <n v="76.400000000000006"/>
    <n v="2.7"/>
    <x v="167"/>
    <n v="2.4"/>
    <n v="4.8"/>
    <n v="6.7"/>
    <s v="Stable"/>
  </r>
  <r>
    <s v="T2564"/>
    <x v="8"/>
    <x v="6"/>
    <x v="5"/>
    <x v="3"/>
    <s v="Jul"/>
    <x v="2"/>
    <x v="2223"/>
    <n v="6.5"/>
    <x v="1"/>
    <n v="6.2"/>
    <x v="9"/>
    <n v="5805"/>
    <x v="0"/>
    <n v="89.6"/>
    <s v="Product Manager"/>
    <n v="29.4"/>
    <n v="23.9"/>
    <x v="510"/>
    <n v="8.5"/>
    <n v="7.5"/>
    <n v="5.5"/>
    <s v="Bull Market"/>
  </r>
  <r>
    <s v="T2565"/>
    <x v="5"/>
    <x v="3"/>
    <x v="1"/>
    <x v="0"/>
    <s v="Oct"/>
    <x v="2"/>
    <x v="2224"/>
    <n v="3.9"/>
    <x v="1"/>
    <n v="9.1999999999999993"/>
    <x v="48"/>
    <n v="4203"/>
    <x v="0"/>
    <n v="73.900000000000006"/>
    <s v="Frontend Developer"/>
    <n v="30.9"/>
    <n v="-8"/>
    <x v="273"/>
    <n v="7.1"/>
    <n v="4.5"/>
    <n v="4.5999999999999996"/>
    <s v="Bull Market"/>
  </r>
  <r>
    <s v="T2566"/>
    <x v="10"/>
    <x v="3"/>
    <x v="5"/>
    <x v="2"/>
    <s v="Aug"/>
    <x v="2"/>
    <x v="2225"/>
    <n v="23.3"/>
    <x v="3"/>
    <n v="6.3"/>
    <x v="5"/>
    <n v="1400"/>
    <x v="2"/>
    <n v="67.3"/>
    <s v="Frontend Developer"/>
    <n v="48"/>
    <n v="22.8"/>
    <x v="288"/>
    <n v="7.3"/>
    <n v="4.7"/>
    <n v="3.8"/>
    <s v="Recession"/>
  </r>
  <r>
    <s v="T2567"/>
    <x v="2"/>
    <x v="0"/>
    <x v="1"/>
    <x v="3"/>
    <s v="Apr"/>
    <x v="2"/>
    <x v="2226"/>
    <n v="4.2"/>
    <x v="2"/>
    <n v="5.5"/>
    <x v="16"/>
    <n v="1633"/>
    <x v="1"/>
    <n v="58"/>
    <s v="Data Scientist"/>
    <n v="37.5"/>
    <n v="0.7"/>
    <x v="413"/>
    <n v="5.3"/>
    <n v="5.9"/>
    <n v="6.7"/>
    <s v="Stable"/>
  </r>
  <r>
    <s v="T2568"/>
    <x v="1"/>
    <x v="6"/>
    <x v="4"/>
    <x v="2"/>
    <s v="Dec"/>
    <x v="1"/>
    <x v="2227"/>
    <n v="16.8"/>
    <x v="4"/>
    <n v="1.9"/>
    <x v="54"/>
    <n v="4678"/>
    <x v="1"/>
    <n v="42.5"/>
    <s v="ML Engineer"/>
    <n v="8.5"/>
    <n v="37.799999999999997"/>
    <x v="311"/>
    <n v="1.9"/>
    <n v="6.1"/>
    <n v="6.6"/>
    <s v="Stable"/>
  </r>
  <r>
    <s v="T2569"/>
    <x v="0"/>
    <x v="5"/>
    <x v="1"/>
    <x v="3"/>
    <s v="Dec"/>
    <x v="2"/>
    <x v="2228"/>
    <n v="25.2"/>
    <x v="4"/>
    <n v="4.5"/>
    <x v="5"/>
    <n v="1467"/>
    <x v="2"/>
    <n v="87.7"/>
    <s v="DevOps Engineer"/>
    <n v="-33.5"/>
    <n v="31.8"/>
    <x v="173"/>
    <n v="4.8"/>
    <n v="5.7"/>
    <n v="3.4"/>
    <s v="Recession"/>
  </r>
  <r>
    <s v="T2570"/>
    <x v="16"/>
    <x v="2"/>
    <x v="3"/>
    <x v="1"/>
    <s v="Mar"/>
    <x v="0"/>
    <x v="2229"/>
    <n v="32.1"/>
    <x v="4"/>
    <n v="4.8"/>
    <x v="5"/>
    <n v="627"/>
    <x v="2"/>
    <n v="79.8"/>
    <s v="Software Engineer"/>
    <n v="80.2"/>
    <n v="-18.100000000000001"/>
    <x v="511"/>
    <n v="5.0999999999999996"/>
    <n v="5.6"/>
    <n v="1.4"/>
    <s v="Recession"/>
  </r>
  <r>
    <s v="T2571"/>
    <x v="0"/>
    <x v="2"/>
    <x v="2"/>
    <x v="3"/>
    <s v="Feb"/>
    <x v="1"/>
    <x v="2230"/>
    <n v="12.3"/>
    <x v="2"/>
    <n v="5.9"/>
    <x v="5"/>
    <n v="2846"/>
    <x v="0"/>
    <n v="66.400000000000006"/>
    <s v="Data Scientist"/>
    <n v="-25.9"/>
    <n v="-18"/>
    <x v="380"/>
    <n v="9.6999999999999993"/>
    <n v="4.5"/>
    <n v="3.9"/>
    <s v="Stable"/>
  </r>
  <r>
    <s v="T2572"/>
    <x v="2"/>
    <x v="3"/>
    <x v="4"/>
    <x v="3"/>
    <s v="Jul"/>
    <x v="1"/>
    <x v="2231"/>
    <n v="18.5"/>
    <x v="1"/>
    <n v="5.3"/>
    <x v="5"/>
    <n v="1926"/>
    <x v="1"/>
    <n v="61.5"/>
    <s v="DevOps Engineer"/>
    <n v="15.3"/>
    <n v="43.9"/>
    <x v="512"/>
    <n v="8.1"/>
    <n v="5.3"/>
    <n v="5.9"/>
    <s v="Recession"/>
  </r>
  <r>
    <s v="T2573"/>
    <x v="4"/>
    <x v="0"/>
    <x v="3"/>
    <x v="3"/>
    <s v="Feb"/>
    <x v="0"/>
    <x v="2232"/>
    <n v="12.5"/>
    <x v="1"/>
    <n v="4.8"/>
    <x v="5"/>
    <n v="9441"/>
    <x v="0"/>
    <n v="59.3"/>
    <s v="Data Scientist"/>
    <n v="-40"/>
    <n v="-6.4"/>
    <x v="349"/>
    <n v="6.3"/>
    <n v="4.4000000000000004"/>
    <n v="5.0999999999999996"/>
    <s v="Stable"/>
  </r>
  <r>
    <s v="T2574"/>
    <x v="15"/>
    <x v="2"/>
    <x v="0"/>
    <x v="1"/>
    <s v="Mar"/>
    <x v="2"/>
    <x v="2233"/>
    <n v="26.9"/>
    <x v="3"/>
    <n v="5.8"/>
    <x v="5"/>
    <n v="156"/>
    <x v="2"/>
    <n v="17.100000000000001"/>
    <s v="Software Engineer"/>
    <n v="62.6"/>
    <n v="19.2"/>
    <x v="174"/>
    <n v="8.1999999999999993"/>
    <n v="5.0999999999999996"/>
    <n v="3.7"/>
    <s v="Recession"/>
  </r>
  <r>
    <s v="T2575"/>
    <x v="9"/>
    <x v="1"/>
    <x v="4"/>
    <x v="0"/>
    <s v="Oct"/>
    <x v="0"/>
    <x v="2234"/>
    <n v="4.3"/>
    <x v="2"/>
    <n v="4.2"/>
    <x v="89"/>
    <n v="4653"/>
    <x v="0"/>
    <n v="11.7"/>
    <s v="DevOps Engineer"/>
    <n v="5.7"/>
    <n v="41.2"/>
    <x v="304"/>
    <n v="3.3"/>
    <n v="6.7"/>
    <n v="8.1999999999999993"/>
    <s v="Stable"/>
  </r>
  <r>
    <s v="T2576"/>
    <x v="0"/>
    <x v="5"/>
    <x v="3"/>
    <x v="3"/>
    <s v="Aug"/>
    <x v="1"/>
    <x v="2235"/>
    <n v="4.5999999999999996"/>
    <x v="0"/>
    <n v="6.4"/>
    <x v="63"/>
    <n v="5700"/>
    <x v="0"/>
    <n v="50.7"/>
    <s v="DevOps Engineer"/>
    <n v="-43.8"/>
    <n v="9.3000000000000007"/>
    <x v="274"/>
    <n v="3.9"/>
    <n v="8"/>
    <n v="6.2"/>
    <s v="Bull Market"/>
  </r>
  <r>
    <s v="T2577"/>
    <x v="2"/>
    <x v="0"/>
    <x v="4"/>
    <x v="1"/>
    <s v="Dec"/>
    <x v="2"/>
    <x v="2236"/>
    <n v="12.1"/>
    <x v="0"/>
    <n v="11.8"/>
    <x v="5"/>
    <n v="8864"/>
    <x v="0"/>
    <n v="36.799999999999997"/>
    <s v="Data Scientist"/>
    <n v="-8.5"/>
    <n v="-3.2"/>
    <x v="441"/>
    <n v="7.3"/>
    <n v="7.9"/>
    <n v="4.7"/>
    <s v="Stable"/>
  </r>
  <r>
    <s v="T2578"/>
    <x v="13"/>
    <x v="5"/>
    <x v="4"/>
    <x v="3"/>
    <s v="Aug"/>
    <x v="2"/>
    <x v="439"/>
    <n v="7"/>
    <x v="2"/>
    <n v="6.8"/>
    <x v="5"/>
    <n v="4850"/>
    <x v="0"/>
    <n v="22.4"/>
    <s v="Software Engineer"/>
    <n v="6.5"/>
    <n v="-14.6"/>
    <x v="461"/>
    <n v="9.6999999999999993"/>
    <n v="7"/>
    <n v="4.2"/>
    <s v="Bull Market"/>
  </r>
  <r>
    <s v="T2579"/>
    <x v="4"/>
    <x v="0"/>
    <x v="0"/>
    <x v="2"/>
    <s v="Feb"/>
    <x v="1"/>
    <x v="1862"/>
    <n v="17.2"/>
    <x v="3"/>
    <n v="8.4"/>
    <x v="16"/>
    <n v="3042"/>
    <x v="1"/>
    <n v="87.1"/>
    <s v="Data Scientist"/>
    <n v="-43.7"/>
    <n v="-16.5"/>
    <x v="269"/>
    <n v="6.1"/>
    <n v="5.8"/>
    <n v="3.3"/>
    <s v="Recession"/>
  </r>
  <r>
    <s v="T2580"/>
    <x v="2"/>
    <x v="3"/>
    <x v="3"/>
    <x v="2"/>
    <s v="Apr"/>
    <x v="2"/>
    <x v="2237"/>
    <n v="15.4"/>
    <x v="1"/>
    <n v="5.2"/>
    <x v="7"/>
    <n v="4741"/>
    <x v="1"/>
    <n v="64.900000000000006"/>
    <s v="Software Engineer"/>
    <n v="35.4"/>
    <n v="-22.8"/>
    <x v="160"/>
    <n v="4"/>
    <n v="5.2"/>
    <n v="3.5"/>
    <s v="Stable"/>
  </r>
  <r>
    <s v="T2581"/>
    <x v="2"/>
    <x v="0"/>
    <x v="1"/>
    <x v="1"/>
    <s v="Aug"/>
    <x v="2"/>
    <x v="200"/>
    <n v="1"/>
    <x v="1"/>
    <n v="13.9"/>
    <x v="25"/>
    <n v="6288"/>
    <x v="3"/>
    <n v="22.1"/>
    <s v="ML Engineer"/>
    <n v="47.1"/>
    <n v="25.7"/>
    <x v="452"/>
    <n v="8.6"/>
    <n v="7.6"/>
    <n v="8.4"/>
    <s v="Stable"/>
  </r>
  <r>
    <s v="T2582"/>
    <x v="0"/>
    <x v="0"/>
    <x v="3"/>
    <x v="3"/>
    <s v="Dec"/>
    <x v="1"/>
    <x v="2238"/>
    <n v="10.4"/>
    <x v="4"/>
    <n v="3.9"/>
    <x v="31"/>
    <n v="2050"/>
    <x v="0"/>
    <n v="73.599999999999994"/>
    <s v="Data Scientist"/>
    <n v="-7.4"/>
    <n v="44.2"/>
    <x v="370"/>
    <n v="5.7"/>
    <n v="6"/>
    <n v="7"/>
    <s v="Stable"/>
  </r>
  <r>
    <s v="T2583"/>
    <x v="9"/>
    <x v="1"/>
    <x v="1"/>
    <x v="2"/>
    <s v="Aug"/>
    <x v="1"/>
    <x v="2239"/>
    <n v="8.4"/>
    <x v="0"/>
    <n v="13.2"/>
    <x v="10"/>
    <n v="1397"/>
    <x v="0"/>
    <n v="49.5"/>
    <s v="Frontend Developer"/>
    <n v="-24.1"/>
    <n v="8.5"/>
    <x v="337"/>
    <n v="9.8000000000000007"/>
    <n v="7.6"/>
    <n v="5.6"/>
    <s v="Stable"/>
  </r>
  <r>
    <s v="T2584"/>
    <x v="0"/>
    <x v="5"/>
    <x v="5"/>
    <x v="3"/>
    <s v="Jul"/>
    <x v="1"/>
    <x v="559"/>
    <n v="7.2"/>
    <x v="4"/>
    <n v="3.5"/>
    <x v="70"/>
    <n v="2412"/>
    <x v="1"/>
    <n v="17.3"/>
    <s v="Frontend Developer"/>
    <n v="-9.6999999999999993"/>
    <n v="36.299999999999997"/>
    <x v="100"/>
    <n v="2.5"/>
    <n v="7.5"/>
    <n v="7.4"/>
    <s v="Stable"/>
  </r>
  <r>
    <s v="T2585"/>
    <x v="8"/>
    <x v="6"/>
    <x v="1"/>
    <x v="3"/>
    <s v="Apr"/>
    <x v="1"/>
    <x v="311"/>
    <n v="0.5"/>
    <x v="3"/>
    <n v="11.5"/>
    <x v="75"/>
    <n v="2863"/>
    <x v="0"/>
    <n v="64.5"/>
    <s v="Software Engineer"/>
    <n v="40.1"/>
    <n v="-16.399999999999999"/>
    <x v="6"/>
    <n v="7.4"/>
    <n v="6.1"/>
    <n v="6.5"/>
    <s v="Bull Market"/>
  </r>
  <r>
    <s v="T2586"/>
    <x v="14"/>
    <x v="1"/>
    <x v="1"/>
    <x v="1"/>
    <s v="May"/>
    <x v="0"/>
    <x v="1359"/>
    <n v="1.8"/>
    <x v="4"/>
    <n v="4.5999999999999996"/>
    <x v="22"/>
    <n v="1571"/>
    <x v="1"/>
    <n v="57"/>
    <s v="DevOps Engineer"/>
    <n v="64.599999999999994"/>
    <n v="57.3"/>
    <x v="464"/>
    <n v="3.6"/>
    <n v="9.6"/>
    <n v="7.8"/>
    <s v="Bull Market"/>
  </r>
  <r>
    <s v="T2587"/>
    <x v="14"/>
    <x v="1"/>
    <x v="3"/>
    <x v="1"/>
    <s v="Jul"/>
    <x v="1"/>
    <x v="2240"/>
    <n v="10.199999999999999"/>
    <x v="2"/>
    <n v="6.4"/>
    <x v="25"/>
    <n v="1094"/>
    <x v="1"/>
    <n v="50.9"/>
    <s v="Software Engineer"/>
    <n v="64.7"/>
    <n v="-14.7"/>
    <x v="93"/>
    <n v="4"/>
    <n v="4.8"/>
    <n v="4.5"/>
    <s v="Recession"/>
  </r>
  <r>
    <s v="T2588"/>
    <x v="0"/>
    <x v="1"/>
    <x v="5"/>
    <x v="1"/>
    <s v="Oct"/>
    <x v="1"/>
    <x v="2241"/>
    <n v="32.1"/>
    <x v="3"/>
    <n v="5.8"/>
    <x v="5"/>
    <n v="1569"/>
    <x v="1"/>
    <n v="79.5"/>
    <s v="ML Engineer"/>
    <n v="6.1"/>
    <n v="-12.1"/>
    <x v="213"/>
    <n v="8.1999999999999993"/>
    <n v="5.2"/>
    <n v="2.1"/>
    <s v="Recession"/>
  </r>
  <r>
    <s v="T2589"/>
    <x v="11"/>
    <x v="6"/>
    <x v="5"/>
    <x v="0"/>
    <s v="Oct"/>
    <x v="2"/>
    <x v="2242"/>
    <n v="2.2999999999999998"/>
    <x v="1"/>
    <n v="5.4"/>
    <x v="33"/>
    <n v="4319"/>
    <x v="0"/>
    <n v="19"/>
    <s v="Software Engineer"/>
    <n v="26.8"/>
    <n v="58.8"/>
    <x v="462"/>
    <n v="5.0999999999999996"/>
    <n v="7.2"/>
    <n v="7.3"/>
    <s v="Stable"/>
  </r>
  <r>
    <s v="T2590"/>
    <x v="17"/>
    <x v="0"/>
    <x v="1"/>
    <x v="2"/>
    <s v="Feb"/>
    <x v="1"/>
    <x v="2243"/>
    <n v="5"/>
    <x v="0"/>
    <n v="6"/>
    <x v="9"/>
    <n v="3799"/>
    <x v="0"/>
    <n v="22.8"/>
    <s v="Data Scientist"/>
    <n v="58.2"/>
    <n v="-1"/>
    <x v="111"/>
    <n v="9.5"/>
    <n v="7.5"/>
    <n v="5.4"/>
    <s v="Bull Market"/>
  </r>
  <r>
    <s v="T2591"/>
    <x v="10"/>
    <x v="3"/>
    <x v="1"/>
    <x v="2"/>
    <s v="Oct"/>
    <x v="1"/>
    <x v="1783"/>
    <n v="8.1"/>
    <x v="1"/>
    <n v="5.6"/>
    <x v="88"/>
    <n v="999"/>
    <x v="1"/>
    <n v="82.4"/>
    <s v="Product Manager"/>
    <n v="43"/>
    <n v="45.2"/>
    <x v="351"/>
    <n v="3.8"/>
    <n v="6.4"/>
    <n v="7"/>
    <s v="Stable"/>
  </r>
  <r>
    <s v="T2592"/>
    <x v="2"/>
    <x v="0"/>
    <x v="3"/>
    <x v="2"/>
    <s v="Feb"/>
    <x v="0"/>
    <x v="357"/>
    <n v="26.8"/>
    <x v="1"/>
    <n v="14.1"/>
    <x v="5"/>
    <n v="5404"/>
    <x v="1"/>
    <n v="37.9"/>
    <s v="Data Scientist"/>
    <n v="69.599999999999994"/>
    <n v="33.4"/>
    <x v="211"/>
    <n v="9.5"/>
    <n v="6.5"/>
    <n v="4.7"/>
    <s v="Recession"/>
  </r>
  <r>
    <s v="T2593"/>
    <x v="3"/>
    <x v="1"/>
    <x v="3"/>
    <x v="1"/>
    <s v="Jun"/>
    <x v="2"/>
    <x v="2244"/>
    <n v="4.3"/>
    <x v="1"/>
    <n v="5.7"/>
    <x v="56"/>
    <n v="4526"/>
    <x v="0"/>
    <n v="60.6"/>
    <s v="Cybersecurity Analyst"/>
    <n v="-1.5"/>
    <n v="8.1"/>
    <x v="26"/>
    <n v="4.8"/>
    <n v="7.9"/>
    <n v="7.3"/>
    <s v="Bull Market"/>
  </r>
  <r>
    <s v="T2594"/>
    <x v="9"/>
    <x v="0"/>
    <x v="1"/>
    <x v="0"/>
    <s v="Nov"/>
    <x v="2"/>
    <x v="2245"/>
    <n v="14.4"/>
    <x v="1"/>
    <n v="10.1"/>
    <x v="48"/>
    <n v="6801"/>
    <x v="0"/>
    <n v="86.3"/>
    <s v="ML Engineer"/>
    <n v="38.4"/>
    <n v="58.4"/>
    <x v="250"/>
    <n v="9.4"/>
    <n v="9.4"/>
    <n v="6.3"/>
    <s v="Stable"/>
  </r>
  <r>
    <s v="T2595"/>
    <x v="1"/>
    <x v="4"/>
    <x v="3"/>
    <x v="1"/>
    <s v="Aug"/>
    <x v="1"/>
    <x v="2246"/>
    <n v="13.7"/>
    <x v="2"/>
    <n v="13.8"/>
    <x v="5"/>
    <n v="1592"/>
    <x v="1"/>
    <n v="78.3"/>
    <s v="Frontend Developer"/>
    <n v="-13.1"/>
    <n v="39.5"/>
    <x v="467"/>
    <n v="8.1"/>
    <n v="7.5"/>
    <n v="5.0999999999999996"/>
    <s v="Stable"/>
  </r>
  <r>
    <s v="T2596"/>
    <x v="9"/>
    <x v="1"/>
    <x v="2"/>
    <x v="3"/>
    <s v="Oct"/>
    <x v="2"/>
    <x v="2247"/>
    <n v="31.1"/>
    <x v="3"/>
    <n v="3.7"/>
    <x v="5"/>
    <n v="1432"/>
    <x v="2"/>
    <n v="67.900000000000006"/>
    <s v="Frontend Developer"/>
    <n v="1.5"/>
    <n v="27.2"/>
    <x v="401"/>
    <n v="4.5"/>
    <n v="4.3"/>
    <n v="3.7"/>
    <s v="Recession"/>
  </r>
  <r>
    <s v="T2597"/>
    <x v="12"/>
    <x v="0"/>
    <x v="4"/>
    <x v="1"/>
    <s v="May"/>
    <x v="0"/>
    <x v="2248"/>
    <n v="2.5"/>
    <x v="2"/>
    <n v="4.8"/>
    <x v="78"/>
    <n v="2947"/>
    <x v="0"/>
    <n v="80.2"/>
    <s v="Data Scientist"/>
    <n v="-41.4"/>
    <n v="-16.5"/>
    <x v="222"/>
    <n v="5.6"/>
    <n v="6.7"/>
    <n v="5.6"/>
    <s v="Stable"/>
  </r>
  <r>
    <s v="T2598"/>
    <x v="17"/>
    <x v="0"/>
    <x v="0"/>
    <x v="2"/>
    <s v="Jan"/>
    <x v="2"/>
    <x v="2249"/>
    <n v="8.1"/>
    <x v="2"/>
    <n v="6.3"/>
    <x v="75"/>
    <n v="5865"/>
    <x v="0"/>
    <n v="65.400000000000006"/>
    <s v="ML Engineer"/>
    <n v="-19.100000000000001"/>
    <n v="-17.399999999999999"/>
    <x v="247"/>
    <n v="7"/>
    <n v="4.0999999999999996"/>
    <n v="4.7"/>
    <s v="Bull Market"/>
  </r>
  <r>
    <s v="T2599"/>
    <x v="2"/>
    <x v="3"/>
    <x v="2"/>
    <x v="2"/>
    <s v="Sep"/>
    <x v="0"/>
    <x v="2250"/>
    <n v="29.7"/>
    <x v="3"/>
    <n v="12.6"/>
    <x v="5"/>
    <n v="1797"/>
    <x v="1"/>
    <n v="23.8"/>
    <s v="Product Manager"/>
    <n v="71.7"/>
    <n v="0.9"/>
    <x v="431"/>
    <n v="8.9"/>
    <n v="6.5"/>
    <n v="3.5"/>
    <s v="Recession"/>
  </r>
  <r>
    <s v="T2600"/>
    <x v="1"/>
    <x v="1"/>
    <x v="3"/>
    <x v="3"/>
    <s v="Jan"/>
    <x v="1"/>
    <x v="2251"/>
    <n v="8.4"/>
    <x v="4"/>
    <n v="1.8"/>
    <x v="77"/>
    <n v="1914"/>
    <x v="1"/>
    <n v="10.1"/>
    <s v="DevOps Engineer"/>
    <n v="57.6"/>
    <n v="55.1"/>
    <x v="10"/>
    <n v="2.2999999999999998"/>
    <n v="9.9"/>
    <n v="9.1"/>
    <s v="Stable"/>
  </r>
  <r>
    <s v="T2601"/>
    <x v="19"/>
    <x v="0"/>
    <x v="0"/>
    <x v="3"/>
    <s v="May"/>
    <x v="1"/>
    <x v="2252"/>
    <n v="17.899999999999999"/>
    <x v="4"/>
    <n v="2.2999999999999998"/>
    <x v="41"/>
    <n v="3157"/>
    <x v="1"/>
    <n v="25.4"/>
    <s v="ML Engineer"/>
    <n v="-29.6"/>
    <n v="57.1"/>
    <x v="107"/>
    <n v="2.7"/>
    <n v="5.8"/>
    <n v="5.9"/>
    <s v="Recession"/>
  </r>
  <r>
    <s v="T2602"/>
    <x v="9"/>
    <x v="0"/>
    <x v="0"/>
    <x v="2"/>
    <s v="Feb"/>
    <x v="2"/>
    <x v="2253"/>
    <n v="8.9"/>
    <x v="3"/>
    <n v="4.4000000000000004"/>
    <x v="62"/>
    <n v="3481"/>
    <x v="0"/>
    <n v="77.900000000000006"/>
    <s v="ML Engineer"/>
    <n v="-26.5"/>
    <n v="4.8"/>
    <x v="116"/>
    <n v="2.8"/>
    <n v="7.4"/>
    <n v="6.6"/>
    <s v="Stable"/>
  </r>
  <r>
    <s v="T2603"/>
    <x v="7"/>
    <x v="4"/>
    <x v="0"/>
    <x v="3"/>
    <s v="Jul"/>
    <x v="0"/>
    <x v="2254"/>
    <n v="14.1"/>
    <x v="4"/>
    <n v="4.4000000000000004"/>
    <x v="7"/>
    <n v="558"/>
    <x v="2"/>
    <n v="78.3"/>
    <s v="Cybersecurity Analyst"/>
    <n v="43.5"/>
    <n v="50.4"/>
    <x v="357"/>
    <n v="3.5"/>
    <n v="8.4"/>
    <n v="7.1"/>
    <s v="Stable"/>
  </r>
  <r>
    <s v="T2604"/>
    <x v="2"/>
    <x v="0"/>
    <x v="3"/>
    <x v="3"/>
    <s v="Oct"/>
    <x v="2"/>
    <x v="2255"/>
    <n v="11.4"/>
    <x v="4"/>
    <n v="12.8"/>
    <x v="5"/>
    <n v="2876"/>
    <x v="1"/>
    <n v="16.100000000000001"/>
    <s v="Data Scientist"/>
    <n v="-41.3"/>
    <n v="48.9"/>
    <x v="304"/>
    <n v="7.8"/>
    <n v="8.9"/>
    <n v="6.5"/>
    <s v="Recession"/>
  </r>
  <r>
    <s v="T2605"/>
    <x v="11"/>
    <x v="6"/>
    <x v="0"/>
    <x v="0"/>
    <s v="Sep"/>
    <x v="1"/>
    <x v="2256"/>
    <n v="13.6"/>
    <x v="2"/>
    <n v="3.4"/>
    <x v="47"/>
    <n v="2706"/>
    <x v="1"/>
    <n v="51.9"/>
    <s v="Software Engineer"/>
    <n v="54.4"/>
    <n v="-16.100000000000001"/>
    <x v="254"/>
    <n v="2.4"/>
    <n v="3.9"/>
    <n v="4.5999999999999996"/>
    <s v="Stable"/>
  </r>
  <r>
    <s v="T2606"/>
    <x v="11"/>
    <x v="6"/>
    <x v="1"/>
    <x v="1"/>
    <s v="Feb"/>
    <x v="0"/>
    <x v="2257"/>
    <n v="38.4"/>
    <x v="3"/>
    <n v="10.199999999999999"/>
    <x v="5"/>
    <n v="1065"/>
    <x v="2"/>
    <n v="70.400000000000006"/>
    <s v="ML Engineer"/>
    <n v="-14"/>
    <n v="42.5"/>
    <x v="131"/>
    <n v="7.5"/>
    <n v="4.5"/>
    <n v="3.1"/>
    <s v="Recession"/>
  </r>
  <r>
    <s v="T2607"/>
    <x v="14"/>
    <x v="1"/>
    <x v="2"/>
    <x v="3"/>
    <s v="Jul"/>
    <x v="1"/>
    <x v="2258"/>
    <n v="3.8"/>
    <x v="2"/>
    <n v="12.2"/>
    <x v="5"/>
    <n v="5847"/>
    <x v="3"/>
    <n v="72.8"/>
    <s v="ML Engineer"/>
    <n v="-29.1"/>
    <n v="7.1"/>
    <x v="434"/>
    <n v="8.1999999999999993"/>
    <n v="8.1999999999999993"/>
    <n v="5.3"/>
    <s v="Bull Market"/>
  </r>
  <r>
    <s v="T2608"/>
    <x v="2"/>
    <x v="2"/>
    <x v="5"/>
    <x v="2"/>
    <s v="Aug"/>
    <x v="2"/>
    <x v="2259"/>
    <n v="9.8000000000000007"/>
    <x v="4"/>
    <n v="14.9"/>
    <x v="11"/>
    <n v="2942"/>
    <x v="0"/>
    <n v="30.3"/>
    <s v="Cybersecurity Analyst"/>
    <n v="63.5"/>
    <n v="27.4"/>
    <x v="429"/>
    <n v="9.8000000000000007"/>
    <n v="7.2"/>
    <n v="5.7"/>
    <s v="Bull Market"/>
  </r>
  <r>
    <s v="T2609"/>
    <x v="15"/>
    <x v="2"/>
    <x v="1"/>
    <x v="2"/>
    <s v="Aug"/>
    <x v="0"/>
    <x v="2260"/>
    <n v="4.0999999999999996"/>
    <x v="2"/>
    <n v="7.3"/>
    <x v="51"/>
    <n v="2494"/>
    <x v="0"/>
    <n v="79.8"/>
    <s v="Software Engineer"/>
    <n v="46.5"/>
    <n v="-10.7"/>
    <x v="321"/>
    <n v="4.7"/>
    <n v="7.7"/>
    <n v="5.9"/>
    <s v="Stable"/>
  </r>
  <r>
    <s v="T2610"/>
    <x v="1"/>
    <x v="0"/>
    <x v="2"/>
    <x v="3"/>
    <s v="Feb"/>
    <x v="2"/>
    <x v="2261"/>
    <n v="9.6999999999999993"/>
    <x v="1"/>
    <n v="3.5"/>
    <x v="71"/>
    <n v="3209"/>
    <x v="1"/>
    <n v="40.299999999999997"/>
    <s v="ML Engineer"/>
    <n v="-38.299999999999997"/>
    <n v="-16.899999999999999"/>
    <x v="170"/>
    <n v="3"/>
    <n v="6.8"/>
    <n v="6"/>
    <s v="Recession"/>
  </r>
  <r>
    <s v="T2611"/>
    <x v="17"/>
    <x v="0"/>
    <x v="4"/>
    <x v="3"/>
    <s v="Jun"/>
    <x v="0"/>
    <x v="1648"/>
    <n v="7"/>
    <x v="4"/>
    <n v="7"/>
    <x v="86"/>
    <n v="6890"/>
    <x v="3"/>
    <n v="15.5"/>
    <s v="ML Engineer"/>
    <n v="38.299999999999997"/>
    <n v="43.1"/>
    <x v="33"/>
    <n v="5.7"/>
    <n v="6.2"/>
    <n v="7.2"/>
    <s v="Bull Market"/>
  </r>
  <r>
    <s v="T2612"/>
    <x v="0"/>
    <x v="1"/>
    <x v="1"/>
    <x v="2"/>
    <s v="Aug"/>
    <x v="0"/>
    <x v="476"/>
    <n v="9.4"/>
    <x v="4"/>
    <n v="12.8"/>
    <x v="5"/>
    <n v="528"/>
    <x v="1"/>
    <n v="68.3"/>
    <s v="Data Scientist"/>
    <n v="-19.5"/>
    <n v="56.5"/>
    <x v="494"/>
    <n v="8.1999999999999993"/>
    <n v="9.3000000000000007"/>
    <n v="6.6"/>
    <s v="Bull Market"/>
  </r>
  <r>
    <s v="T2613"/>
    <x v="3"/>
    <x v="1"/>
    <x v="4"/>
    <x v="1"/>
    <s v="Jul"/>
    <x v="1"/>
    <x v="1741"/>
    <n v="2.9"/>
    <x v="3"/>
    <n v="12.5"/>
    <x v="64"/>
    <n v="1065"/>
    <x v="0"/>
    <n v="51.8"/>
    <s v="Software Engineer"/>
    <n v="-5.6"/>
    <n v="28.6"/>
    <x v="248"/>
    <n v="8.3000000000000007"/>
    <n v="8.9"/>
    <n v="8.6"/>
    <s v="Bull Market"/>
  </r>
  <r>
    <s v="T2614"/>
    <x v="9"/>
    <x v="1"/>
    <x v="5"/>
    <x v="0"/>
    <s v="May"/>
    <x v="1"/>
    <x v="2262"/>
    <n v="5.0999999999999996"/>
    <x v="2"/>
    <n v="11.7"/>
    <x v="10"/>
    <n v="2912"/>
    <x v="0"/>
    <n v="73"/>
    <s v="ML Engineer"/>
    <n v="-8.6999999999999993"/>
    <n v="3.1"/>
    <x v="186"/>
    <n v="8"/>
    <n v="5.9"/>
    <n v="6.1"/>
    <s v="Bull Market"/>
  </r>
  <r>
    <s v="T2615"/>
    <x v="0"/>
    <x v="1"/>
    <x v="0"/>
    <x v="0"/>
    <s v="Dec"/>
    <x v="1"/>
    <x v="687"/>
    <n v="24.1"/>
    <x v="4"/>
    <n v="9.3000000000000007"/>
    <x v="5"/>
    <n v="328"/>
    <x v="1"/>
    <n v="69.7"/>
    <s v="ML Engineer"/>
    <n v="-4.7"/>
    <n v="27.1"/>
    <x v="357"/>
    <n v="9.9"/>
    <n v="4.5999999999999996"/>
    <n v="4.8"/>
    <s v="Recession"/>
  </r>
  <r>
    <s v="T2616"/>
    <x v="1"/>
    <x v="1"/>
    <x v="1"/>
    <x v="0"/>
    <s v="Sep"/>
    <x v="0"/>
    <x v="615"/>
    <n v="7.3"/>
    <x v="1"/>
    <n v="4.7"/>
    <x v="29"/>
    <n v="5744"/>
    <x v="0"/>
    <n v="20.6"/>
    <s v="Data Scientist"/>
    <n v="56.2"/>
    <n v="12.5"/>
    <x v="77"/>
    <n v="7"/>
    <n v="8.6999999999999993"/>
    <n v="7.3"/>
    <s v="Bull Market"/>
  </r>
  <r>
    <s v="T2617"/>
    <x v="13"/>
    <x v="5"/>
    <x v="1"/>
    <x v="3"/>
    <s v="Dec"/>
    <x v="1"/>
    <x v="2263"/>
    <n v="20.6"/>
    <x v="1"/>
    <n v="1.7"/>
    <x v="11"/>
    <n v="1016"/>
    <x v="2"/>
    <n v="62.4"/>
    <s v="Product Manager"/>
    <n v="27"/>
    <n v="31.1"/>
    <x v="356"/>
    <n v="2.4"/>
    <n v="6.8"/>
    <n v="5.9"/>
    <s v="Recession"/>
  </r>
  <r>
    <s v="T2618"/>
    <x v="2"/>
    <x v="1"/>
    <x v="1"/>
    <x v="2"/>
    <s v="Sep"/>
    <x v="1"/>
    <x v="2264"/>
    <n v="9.1999999999999993"/>
    <x v="3"/>
    <n v="6.4"/>
    <x v="31"/>
    <n v="775"/>
    <x v="1"/>
    <n v="89.3"/>
    <s v="Cloud Engineer"/>
    <n v="70.5"/>
    <n v="16.5"/>
    <x v="188"/>
    <n v="6"/>
    <n v="4.9000000000000004"/>
    <n v="5.8"/>
    <s v="Recession"/>
  </r>
  <r>
    <s v="T2619"/>
    <x v="17"/>
    <x v="0"/>
    <x v="1"/>
    <x v="2"/>
    <s v="Feb"/>
    <x v="1"/>
    <x v="2265"/>
    <n v="15.6"/>
    <x v="2"/>
    <n v="1.8"/>
    <x v="58"/>
    <n v="3842"/>
    <x v="1"/>
    <n v="85.2"/>
    <s v="ML Engineer"/>
    <n v="-40.200000000000003"/>
    <n v="-7.3"/>
    <x v="312"/>
    <n v="2.9"/>
    <n v="7.4"/>
    <n v="4.8"/>
    <s v="Stable"/>
  </r>
  <r>
    <s v="T2620"/>
    <x v="3"/>
    <x v="1"/>
    <x v="5"/>
    <x v="0"/>
    <s v="Sep"/>
    <x v="0"/>
    <x v="2266"/>
    <n v="26.8"/>
    <x v="4"/>
    <n v="7.4"/>
    <x v="5"/>
    <n v="1687"/>
    <x v="2"/>
    <n v="76.599999999999994"/>
    <s v="Frontend Developer"/>
    <n v="64.900000000000006"/>
    <n v="-14.9"/>
    <x v="511"/>
    <n v="5"/>
    <n v="3.8"/>
    <n v="3.5"/>
    <s v="Recession"/>
  </r>
  <r>
    <s v="T2621"/>
    <x v="2"/>
    <x v="5"/>
    <x v="0"/>
    <x v="1"/>
    <s v="Jul"/>
    <x v="2"/>
    <x v="2267"/>
    <n v="9.8000000000000007"/>
    <x v="4"/>
    <n v="8.1999999999999993"/>
    <x v="5"/>
    <n v="928"/>
    <x v="1"/>
    <n v="70.900000000000006"/>
    <s v="Frontend Developer"/>
    <n v="47.4"/>
    <n v="37.6"/>
    <x v="434"/>
    <n v="5.2"/>
    <n v="7"/>
    <n v="6.1"/>
    <s v="Stable"/>
  </r>
  <r>
    <s v="T2622"/>
    <x v="1"/>
    <x v="0"/>
    <x v="0"/>
    <x v="0"/>
    <s v="Jun"/>
    <x v="2"/>
    <x v="2268"/>
    <n v="29.6"/>
    <x v="2"/>
    <n v="11.3"/>
    <x v="5"/>
    <n v="2868"/>
    <x v="1"/>
    <n v="69.599999999999994"/>
    <s v="Data Scientist"/>
    <n v="-9.5"/>
    <n v="-11.6"/>
    <x v="471"/>
    <n v="7.3"/>
    <n v="3.5"/>
    <n v="2.5"/>
    <s v="Recession"/>
  </r>
  <r>
    <s v="T2623"/>
    <x v="0"/>
    <x v="5"/>
    <x v="2"/>
    <x v="2"/>
    <s v="Oct"/>
    <x v="2"/>
    <x v="2269"/>
    <n v="13.7"/>
    <x v="3"/>
    <n v="10.9"/>
    <x v="9"/>
    <n v="5238"/>
    <x v="0"/>
    <n v="26.9"/>
    <s v="Frontend Developer"/>
    <n v="-13"/>
    <n v="52.8"/>
    <x v="270"/>
    <n v="9.5"/>
    <n v="8.9"/>
    <n v="5.4"/>
    <s v="Stable"/>
  </r>
  <r>
    <s v="T2624"/>
    <x v="14"/>
    <x v="1"/>
    <x v="1"/>
    <x v="2"/>
    <s v="Aug"/>
    <x v="0"/>
    <x v="2270"/>
    <n v="31.7"/>
    <x v="4"/>
    <n v="9"/>
    <x v="5"/>
    <n v="530"/>
    <x v="2"/>
    <n v="15"/>
    <s v="Data Scientist"/>
    <n v="58.5"/>
    <n v="49.5"/>
    <x v="423"/>
    <n v="7.8"/>
    <n v="5.8"/>
    <n v="4.7"/>
    <s v="Recession"/>
  </r>
  <r>
    <s v="T2625"/>
    <x v="2"/>
    <x v="2"/>
    <x v="4"/>
    <x v="3"/>
    <s v="Dec"/>
    <x v="2"/>
    <x v="2271"/>
    <n v="13"/>
    <x v="0"/>
    <n v="11"/>
    <x v="5"/>
    <n v="1557"/>
    <x v="1"/>
    <n v="65.5"/>
    <s v="Software Engineer"/>
    <n v="43.7"/>
    <n v="47.7"/>
    <x v="77"/>
    <n v="7"/>
    <n v="6"/>
    <n v="6.1"/>
    <s v="Recession"/>
  </r>
  <r>
    <s v="T2626"/>
    <x v="3"/>
    <x v="1"/>
    <x v="5"/>
    <x v="2"/>
    <s v="Jan"/>
    <x v="1"/>
    <x v="2272"/>
    <n v="14.9"/>
    <x v="1"/>
    <n v="16.2"/>
    <x v="5"/>
    <n v="820"/>
    <x v="0"/>
    <n v="26.1"/>
    <s v="Cloud Engineer"/>
    <n v="68.599999999999994"/>
    <n v="34.4"/>
    <x v="51"/>
    <n v="9.6"/>
    <n v="7.6"/>
    <n v="4.9000000000000004"/>
    <s v="Stable"/>
  </r>
  <r>
    <s v="T2627"/>
    <x v="12"/>
    <x v="5"/>
    <x v="2"/>
    <x v="2"/>
    <s v="Jul"/>
    <x v="1"/>
    <x v="568"/>
    <n v="13.9"/>
    <x v="0"/>
    <n v="7.5"/>
    <x v="43"/>
    <n v="5389"/>
    <x v="0"/>
    <n v="67.900000000000006"/>
    <s v="DevOps Engineer"/>
    <n v="8.5"/>
    <n v="59.3"/>
    <x v="91"/>
    <n v="6.4"/>
    <n v="9.5"/>
    <n v="6.3"/>
    <s v="Stable"/>
  </r>
  <r>
    <s v="T2628"/>
    <x v="4"/>
    <x v="1"/>
    <x v="2"/>
    <x v="1"/>
    <s v="Dec"/>
    <x v="0"/>
    <x v="2273"/>
    <n v="18.600000000000001"/>
    <x v="3"/>
    <n v="2.6"/>
    <x v="28"/>
    <n v="333"/>
    <x v="2"/>
    <n v="27"/>
    <s v="DevOps Engineer"/>
    <n v="6.8"/>
    <n v="4.3"/>
    <x v="316"/>
    <n v="4.2"/>
    <n v="5"/>
    <n v="4.4000000000000004"/>
    <s v="Recession"/>
  </r>
  <r>
    <s v="T2629"/>
    <x v="0"/>
    <x v="1"/>
    <x v="2"/>
    <x v="3"/>
    <s v="Aug"/>
    <x v="2"/>
    <x v="2274"/>
    <n v="10.1"/>
    <x v="4"/>
    <n v="7"/>
    <x v="23"/>
    <n v="5962"/>
    <x v="0"/>
    <n v="22.6"/>
    <s v="ML Engineer"/>
    <n v="-2"/>
    <n v="7.4"/>
    <x v="303"/>
    <n v="5.3"/>
    <n v="5.2"/>
    <n v="5.9"/>
    <s v="Stable"/>
  </r>
  <r>
    <s v="T2630"/>
    <x v="6"/>
    <x v="2"/>
    <x v="1"/>
    <x v="1"/>
    <s v="Mar"/>
    <x v="2"/>
    <x v="2275"/>
    <n v="15.8"/>
    <x v="0"/>
    <n v="5.0999999999999996"/>
    <x v="50"/>
    <n v="1931"/>
    <x v="1"/>
    <n v="79.099999999999994"/>
    <s v="Cloud Engineer"/>
    <n v="65.8"/>
    <n v="58.8"/>
    <x v="251"/>
    <n v="6.6"/>
    <n v="6.7"/>
    <n v="6.4"/>
    <s v="Recession"/>
  </r>
  <r>
    <s v="T2631"/>
    <x v="2"/>
    <x v="3"/>
    <x v="2"/>
    <x v="2"/>
    <s v="Feb"/>
    <x v="2"/>
    <x v="2276"/>
    <n v="7.9"/>
    <x v="2"/>
    <n v="4.9000000000000004"/>
    <x v="76"/>
    <n v="345"/>
    <x v="1"/>
    <n v="72.900000000000006"/>
    <s v="Cloud Engineer"/>
    <n v="55.5"/>
    <n v="47.2"/>
    <x v="5"/>
    <n v="3.7"/>
    <n v="8.1999999999999993"/>
    <n v="8"/>
    <s v="Stable"/>
  </r>
  <r>
    <s v="T2632"/>
    <x v="4"/>
    <x v="0"/>
    <x v="0"/>
    <x v="1"/>
    <s v="Dec"/>
    <x v="2"/>
    <x v="924"/>
    <n v="7.6"/>
    <x v="4"/>
    <n v="5.7"/>
    <x v="32"/>
    <n v="9704"/>
    <x v="3"/>
    <n v="51.8"/>
    <s v="Data Scientist"/>
    <n v="3.4"/>
    <n v="35.1"/>
    <x v="200"/>
    <n v="3.4"/>
    <n v="8.9"/>
    <n v="8"/>
    <s v="Bull Market"/>
  </r>
  <r>
    <s v="T2633"/>
    <x v="0"/>
    <x v="0"/>
    <x v="4"/>
    <x v="1"/>
    <s v="Sep"/>
    <x v="0"/>
    <x v="2277"/>
    <n v="16.8"/>
    <x v="3"/>
    <n v="5.9"/>
    <x v="84"/>
    <n v="4577"/>
    <x v="0"/>
    <n v="55.1"/>
    <s v="ML Engineer"/>
    <n v="60.8"/>
    <n v="48"/>
    <x v="200"/>
    <n v="4.2"/>
    <n v="8.8000000000000007"/>
    <n v="6"/>
    <s v="Stable"/>
  </r>
  <r>
    <s v="T2634"/>
    <x v="2"/>
    <x v="1"/>
    <x v="0"/>
    <x v="2"/>
    <s v="Apr"/>
    <x v="1"/>
    <x v="2278"/>
    <n v="5.8"/>
    <x v="1"/>
    <n v="5"/>
    <x v="5"/>
    <n v="1226"/>
    <x v="0"/>
    <n v="24.8"/>
    <s v="Software Engineer"/>
    <n v="-30.2"/>
    <n v="44.1"/>
    <x v="169"/>
    <n v="6.2"/>
    <n v="6.7"/>
    <n v="6.2"/>
    <s v="Stable"/>
  </r>
  <r>
    <s v="T2635"/>
    <x v="17"/>
    <x v="3"/>
    <x v="1"/>
    <x v="1"/>
    <s v="Dec"/>
    <x v="2"/>
    <x v="2279"/>
    <n v="7.6"/>
    <x v="1"/>
    <n v="4.5999999999999996"/>
    <x v="31"/>
    <n v="5738"/>
    <x v="0"/>
    <n v="58.9"/>
    <s v="Software Engineer"/>
    <n v="49.5"/>
    <n v="-8"/>
    <x v="34"/>
    <n v="5.4"/>
    <n v="8"/>
    <n v="5.9"/>
    <s v="Bull Market"/>
  </r>
  <r>
    <s v="T2636"/>
    <x v="6"/>
    <x v="2"/>
    <x v="3"/>
    <x v="2"/>
    <s v="May"/>
    <x v="1"/>
    <x v="2280"/>
    <n v="1.6"/>
    <x v="2"/>
    <n v="8.6999999999999993"/>
    <x v="5"/>
    <n v="3978"/>
    <x v="0"/>
    <n v="43.1"/>
    <s v="Frontend Developer"/>
    <n v="-30"/>
    <n v="9.1999999999999993"/>
    <x v="66"/>
    <n v="8.9"/>
    <n v="7.4"/>
    <n v="7"/>
    <s v="Bull Market"/>
  </r>
  <r>
    <s v="T2637"/>
    <x v="5"/>
    <x v="3"/>
    <x v="5"/>
    <x v="1"/>
    <s v="Feb"/>
    <x v="2"/>
    <x v="2281"/>
    <n v="23.3"/>
    <x v="1"/>
    <n v="8.8000000000000007"/>
    <x v="5"/>
    <n v="885"/>
    <x v="2"/>
    <n v="67.099999999999994"/>
    <s v="Software Engineer"/>
    <n v="-43.9"/>
    <n v="23.2"/>
    <x v="121"/>
    <n v="5.9"/>
    <n v="4.7"/>
    <n v="5.3"/>
    <s v="Recession"/>
  </r>
  <r>
    <s v="T2638"/>
    <x v="12"/>
    <x v="0"/>
    <x v="4"/>
    <x v="3"/>
    <s v="Dec"/>
    <x v="0"/>
    <x v="2282"/>
    <n v="5.7"/>
    <x v="3"/>
    <n v="9.5"/>
    <x v="70"/>
    <n v="8874"/>
    <x v="3"/>
    <n v="20.7"/>
    <s v="Data Scientist"/>
    <n v="3.8"/>
    <n v="23.5"/>
    <x v="309"/>
    <n v="6.3"/>
    <n v="5.8"/>
    <n v="7.6"/>
    <s v="Stable"/>
  </r>
  <r>
    <s v="T2639"/>
    <x v="6"/>
    <x v="2"/>
    <x v="0"/>
    <x v="1"/>
    <s v="Apr"/>
    <x v="1"/>
    <x v="2283"/>
    <n v="12.5"/>
    <x v="4"/>
    <n v="5.7"/>
    <x v="33"/>
    <n v="314"/>
    <x v="1"/>
    <n v="89.6"/>
    <s v="Frontend Developer"/>
    <n v="31.4"/>
    <n v="23.5"/>
    <x v="235"/>
    <n v="4.3"/>
    <n v="6.1"/>
    <n v="5"/>
    <s v="Recession"/>
  </r>
  <r>
    <s v="T2640"/>
    <x v="6"/>
    <x v="1"/>
    <x v="5"/>
    <x v="2"/>
    <s v="Aug"/>
    <x v="0"/>
    <x v="2284"/>
    <n v="5.9"/>
    <x v="1"/>
    <n v="10.5"/>
    <x v="24"/>
    <n v="2077"/>
    <x v="1"/>
    <n v="16.2"/>
    <s v="Product Manager"/>
    <n v="73.8"/>
    <n v="32.700000000000003"/>
    <x v="7"/>
    <n v="6.3"/>
    <n v="7.5"/>
    <n v="6.7"/>
    <s v="Bull Market"/>
  </r>
  <r>
    <s v="T2641"/>
    <x v="8"/>
    <x v="6"/>
    <x v="0"/>
    <x v="3"/>
    <s v="Jun"/>
    <x v="2"/>
    <x v="666"/>
    <n v="4.4000000000000004"/>
    <x v="1"/>
    <n v="3.1"/>
    <x v="86"/>
    <n v="5864"/>
    <x v="0"/>
    <n v="33.1"/>
    <s v="Cybersecurity Analyst"/>
    <n v="50.1"/>
    <n v="33.700000000000003"/>
    <x v="187"/>
    <n v="4.2"/>
    <n v="9.1999999999999993"/>
    <n v="6.3"/>
    <s v="Bull Market"/>
  </r>
  <r>
    <s v="T2642"/>
    <x v="0"/>
    <x v="2"/>
    <x v="1"/>
    <x v="1"/>
    <s v="Jul"/>
    <x v="1"/>
    <x v="270"/>
    <n v="32.299999999999997"/>
    <x v="4"/>
    <n v="2.4"/>
    <x v="10"/>
    <n v="1576"/>
    <x v="2"/>
    <n v="73.900000000000006"/>
    <s v="Data Scientist"/>
    <n v="46.4"/>
    <n v="40.299999999999997"/>
    <x v="248"/>
    <n v="1.8"/>
    <n v="7.2"/>
    <n v="4.2"/>
    <s v="Recession"/>
  </r>
  <r>
    <s v="T2643"/>
    <x v="14"/>
    <x v="1"/>
    <x v="4"/>
    <x v="0"/>
    <s v="Feb"/>
    <x v="1"/>
    <x v="2285"/>
    <n v="1"/>
    <x v="4"/>
    <n v="7.7"/>
    <x v="5"/>
    <n v="4359"/>
    <x v="0"/>
    <n v="64.400000000000006"/>
    <s v="Data Scientist"/>
    <n v="35.799999999999997"/>
    <n v="-21.4"/>
    <x v="480"/>
    <n v="7.7"/>
    <n v="5.4"/>
    <n v="6.1"/>
    <s v="Stable"/>
  </r>
  <r>
    <s v="T2644"/>
    <x v="2"/>
    <x v="3"/>
    <x v="4"/>
    <x v="3"/>
    <s v="Aug"/>
    <x v="2"/>
    <x v="2286"/>
    <n v="22.5"/>
    <x v="2"/>
    <n v="8.4"/>
    <x v="5"/>
    <n v="1813"/>
    <x v="1"/>
    <n v="89.5"/>
    <s v="ML Engineer"/>
    <n v="31.9"/>
    <n v="-4.4000000000000004"/>
    <x v="340"/>
    <n v="8.5"/>
    <n v="6.4"/>
    <n v="3.1"/>
    <s v="Recession"/>
  </r>
  <r>
    <s v="T2645"/>
    <x v="2"/>
    <x v="5"/>
    <x v="0"/>
    <x v="1"/>
    <s v="Aug"/>
    <x v="0"/>
    <x v="2287"/>
    <n v="3.2"/>
    <x v="4"/>
    <n v="6.2"/>
    <x v="18"/>
    <n v="1018"/>
    <x v="0"/>
    <n v="19.399999999999999"/>
    <s v="ML Engineer"/>
    <n v="-14.7"/>
    <n v="-20.399999999999999"/>
    <x v="72"/>
    <n v="6.5"/>
    <n v="4.4000000000000004"/>
    <n v="6"/>
    <s v="Stable"/>
  </r>
  <r>
    <s v="T2646"/>
    <x v="14"/>
    <x v="1"/>
    <x v="3"/>
    <x v="0"/>
    <s v="Dec"/>
    <x v="1"/>
    <x v="2288"/>
    <n v="4.9000000000000004"/>
    <x v="1"/>
    <n v="12.2"/>
    <x v="64"/>
    <n v="5134"/>
    <x v="3"/>
    <n v="84.9"/>
    <s v="Data Scientist"/>
    <n v="25.8"/>
    <n v="35.700000000000003"/>
    <x v="2"/>
    <n v="9"/>
    <n v="8.3000000000000007"/>
    <n v="6.9"/>
    <s v="Bull Market"/>
  </r>
  <r>
    <s v="T2647"/>
    <x v="2"/>
    <x v="5"/>
    <x v="2"/>
    <x v="2"/>
    <s v="Aug"/>
    <x v="1"/>
    <x v="973"/>
    <n v="8.9"/>
    <x v="0"/>
    <n v="7.4"/>
    <x v="23"/>
    <n v="4416"/>
    <x v="3"/>
    <n v="38.9"/>
    <s v="ML Engineer"/>
    <n v="34.299999999999997"/>
    <n v="58.6"/>
    <x v="420"/>
    <n v="9.3000000000000007"/>
    <n v="8.6999999999999993"/>
    <n v="7.7"/>
    <s v="Bull Market"/>
  </r>
  <r>
    <s v="T2648"/>
    <x v="9"/>
    <x v="1"/>
    <x v="4"/>
    <x v="3"/>
    <s v="Mar"/>
    <x v="0"/>
    <x v="2289"/>
    <n v="7.8"/>
    <x v="2"/>
    <n v="4.0999999999999996"/>
    <x v="24"/>
    <n v="2573"/>
    <x v="1"/>
    <n v="56.9"/>
    <s v="Product Manager"/>
    <n v="70.400000000000006"/>
    <n v="-14.6"/>
    <x v="176"/>
    <n v="3.4"/>
    <n v="7.4"/>
    <n v="4.8"/>
    <s v="Stable"/>
  </r>
  <r>
    <s v="T2649"/>
    <x v="7"/>
    <x v="4"/>
    <x v="5"/>
    <x v="0"/>
    <s v="Jun"/>
    <x v="2"/>
    <x v="2290"/>
    <n v="31.7"/>
    <x v="3"/>
    <n v="5.9"/>
    <x v="5"/>
    <n v="1499"/>
    <x v="2"/>
    <n v="29.3"/>
    <s v="DevOps Engineer"/>
    <n v="-28.1"/>
    <n v="-9.6"/>
    <x v="63"/>
    <n v="7.8"/>
    <n v="3.2"/>
    <n v="1.8"/>
    <s v="Recession"/>
  </r>
  <r>
    <s v="T2650"/>
    <x v="0"/>
    <x v="0"/>
    <x v="5"/>
    <x v="2"/>
    <s v="Oct"/>
    <x v="2"/>
    <x v="2291"/>
    <n v="32.4"/>
    <x v="0"/>
    <n v="7.7"/>
    <x v="5"/>
    <n v="4594"/>
    <x v="1"/>
    <n v="47.1"/>
    <s v="ML Engineer"/>
    <n v="87.9"/>
    <n v="15.4"/>
    <x v="114"/>
    <n v="5.8"/>
    <n v="5.6"/>
    <n v="2.6"/>
    <s v="Recession"/>
  </r>
  <r>
    <s v="T2651"/>
    <x v="0"/>
    <x v="2"/>
    <x v="4"/>
    <x v="0"/>
    <s v="Jun"/>
    <x v="2"/>
    <x v="2292"/>
    <n v="7.7"/>
    <x v="4"/>
    <n v="3.1"/>
    <x v="45"/>
    <n v="2993"/>
    <x v="0"/>
    <n v="34.200000000000003"/>
    <s v="Software Engineer"/>
    <n v="52.8"/>
    <n v="45.7"/>
    <x v="61"/>
    <n v="3.6"/>
    <n v="9.1"/>
    <n v="8"/>
    <s v="Bull Market"/>
  </r>
  <r>
    <s v="T2652"/>
    <x v="0"/>
    <x v="5"/>
    <x v="4"/>
    <x v="0"/>
    <s v="Jun"/>
    <x v="1"/>
    <x v="471"/>
    <n v="2.8"/>
    <x v="3"/>
    <n v="9.5"/>
    <x v="5"/>
    <n v="3593"/>
    <x v="0"/>
    <n v="83.6"/>
    <s v="Data Scientist"/>
    <n v="15.9"/>
    <n v="55.6"/>
    <x v="414"/>
    <n v="9.6"/>
    <n v="6.7"/>
    <n v="7.4"/>
    <s v="Bull Market"/>
  </r>
  <r>
    <s v="T2653"/>
    <x v="12"/>
    <x v="5"/>
    <x v="0"/>
    <x v="1"/>
    <s v="Feb"/>
    <x v="1"/>
    <x v="2293"/>
    <n v="11.4"/>
    <x v="2"/>
    <n v="10"/>
    <x v="5"/>
    <n v="4449"/>
    <x v="0"/>
    <n v="13.8"/>
    <s v="Frontend Developer"/>
    <n v="-42.6"/>
    <n v="-12.3"/>
    <x v="3"/>
    <n v="9.8000000000000007"/>
    <n v="6.7"/>
    <n v="4.5"/>
    <s v="Stable"/>
  </r>
  <r>
    <s v="T2654"/>
    <x v="9"/>
    <x v="1"/>
    <x v="4"/>
    <x v="1"/>
    <s v="Mar"/>
    <x v="2"/>
    <x v="2294"/>
    <n v="38.4"/>
    <x v="2"/>
    <n v="2.8"/>
    <x v="5"/>
    <n v="1945"/>
    <x v="2"/>
    <n v="74.5"/>
    <s v="Cybersecurity Analyst"/>
    <n v="77.5"/>
    <n v="14.7"/>
    <x v="406"/>
    <n v="4.3"/>
    <n v="5.8"/>
    <n v="2"/>
    <s v="Recession"/>
  </r>
  <r>
    <s v="T2655"/>
    <x v="18"/>
    <x v="0"/>
    <x v="2"/>
    <x v="2"/>
    <s v="Jun"/>
    <x v="1"/>
    <x v="2295"/>
    <n v="21.3"/>
    <x v="3"/>
    <n v="14.4"/>
    <x v="27"/>
    <n v="1068"/>
    <x v="0"/>
    <n v="10.8"/>
    <s v="ML Engineer"/>
    <n v="68.3"/>
    <n v="28.6"/>
    <x v="146"/>
    <n v="9.5"/>
    <n v="7.1"/>
    <n v="4.3"/>
    <s v="Recession"/>
  </r>
  <r>
    <s v="T2656"/>
    <x v="12"/>
    <x v="0"/>
    <x v="5"/>
    <x v="0"/>
    <s v="Feb"/>
    <x v="2"/>
    <x v="738"/>
    <n v="8.3000000000000007"/>
    <x v="0"/>
    <n v="11.3"/>
    <x v="5"/>
    <n v="4792"/>
    <x v="0"/>
    <n v="83.1"/>
    <s v="ML Engineer"/>
    <n v="76.2"/>
    <n v="-0.5"/>
    <x v="21"/>
    <n v="7.6"/>
    <n v="7.5"/>
    <n v="5"/>
    <s v="Stable"/>
  </r>
  <r>
    <s v="T2657"/>
    <x v="13"/>
    <x v="5"/>
    <x v="4"/>
    <x v="3"/>
    <s v="Mar"/>
    <x v="2"/>
    <x v="2296"/>
    <n v="9.8000000000000007"/>
    <x v="0"/>
    <n v="2.5"/>
    <x v="34"/>
    <n v="2020"/>
    <x v="1"/>
    <n v="28.9"/>
    <s v="Cloud Engineer"/>
    <n v="-26.2"/>
    <n v="15.8"/>
    <x v="447"/>
    <n v="2"/>
    <n v="4.9000000000000004"/>
    <n v="7.5"/>
    <s v="Stable"/>
  </r>
  <r>
    <s v="T2658"/>
    <x v="8"/>
    <x v="4"/>
    <x v="5"/>
    <x v="1"/>
    <s v="Aug"/>
    <x v="1"/>
    <x v="2297"/>
    <n v="1.6"/>
    <x v="4"/>
    <n v="1.6"/>
    <x v="1"/>
    <n v="799"/>
    <x v="1"/>
    <n v="83.2"/>
    <s v="Frontend Developer"/>
    <n v="-12.4"/>
    <n v="30.5"/>
    <x v="190"/>
    <n v="2"/>
    <n v="8.8000000000000007"/>
    <n v="8.6"/>
    <s v="Stable"/>
  </r>
  <r>
    <s v="T2659"/>
    <x v="2"/>
    <x v="3"/>
    <x v="5"/>
    <x v="3"/>
    <s v="Jun"/>
    <x v="0"/>
    <x v="2000"/>
    <n v="3.7"/>
    <x v="3"/>
    <n v="6.7"/>
    <x v="34"/>
    <n v="4986"/>
    <x v="0"/>
    <n v="35.200000000000003"/>
    <s v="DevOps Engineer"/>
    <n v="-7.4"/>
    <n v="-24.7"/>
    <x v="273"/>
    <n v="5.7"/>
    <n v="4.3"/>
    <n v="5.9"/>
    <s v="Bull Market"/>
  </r>
  <r>
    <s v="T2660"/>
    <x v="19"/>
    <x v="0"/>
    <x v="2"/>
    <x v="1"/>
    <s v="Dec"/>
    <x v="1"/>
    <x v="2298"/>
    <n v="13.5"/>
    <x v="3"/>
    <n v="3.8"/>
    <x v="43"/>
    <n v="3518"/>
    <x v="0"/>
    <n v="64.8"/>
    <s v="ML Engineer"/>
    <n v="-11.9"/>
    <n v="53.2"/>
    <x v="360"/>
    <n v="3.8"/>
    <n v="6.4"/>
    <n v="7.2"/>
    <s v="Stable"/>
  </r>
  <r>
    <s v="T2661"/>
    <x v="4"/>
    <x v="0"/>
    <x v="1"/>
    <x v="0"/>
    <s v="Feb"/>
    <x v="1"/>
    <x v="2299"/>
    <n v="37"/>
    <x v="4"/>
    <n v="0.7"/>
    <x v="3"/>
    <n v="7454"/>
    <x v="1"/>
    <n v="37.5"/>
    <s v="ML Engineer"/>
    <n v="-1.4"/>
    <n v="26.6"/>
    <x v="42"/>
    <n v="1.1000000000000001"/>
    <n v="4.2"/>
    <n v="3.5"/>
    <s v="Recession"/>
  </r>
  <r>
    <s v="T2662"/>
    <x v="1"/>
    <x v="1"/>
    <x v="3"/>
    <x v="3"/>
    <s v="Mar"/>
    <x v="2"/>
    <x v="742"/>
    <n v="0"/>
    <x v="2"/>
    <n v="10.199999999999999"/>
    <x v="5"/>
    <n v="1533"/>
    <x v="0"/>
    <n v="75"/>
    <s v="ML Engineer"/>
    <n v="4.0999999999999996"/>
    <n v="9.1999999999999993"/>
    <x v="496"/>
    <n v="6.9"/>
    <n v="6.7"/>
    <n v="6.4"/>
    <s v="Bull Market"/>
  </r>
  <r>
    <s v="T2663"/>
    <x v="11"/>
    <x v="6"/>
    <x v="5"/>
    <x v="3"/>
    <s v="Oct"/>
    <x v="2"/>
    <x v="2300"/>
    <n v="11.2"/>
    <x v="3"/>
    <n v="7.6"/>
    <x v="24"/>
    <n v="3147"/>
    <x v="0"/>
    <n v="44.5"/>
    <s v="ML Engineer"/>
    <n v="31.8"/>
    <n v="33.9"/>
    <x v="100"/>
    <n v="5.6"/>
    <n v="9.1"/>
    <n v="6.3"/>
    <s v="Stable"/>
  </r>
  <r>
    <s v="T2664"/>
    <x v="11"/>
    <x v="6"/>
    <x v="1"/>
    <x v="3"/>
    <s v="Jan"/>
    <x v="2"/>
    <x v="2301"/>
    <n v="15.3"/>
    <x v="3"/>
    <n v="10.9"/>
    <x v="5"/>
    <n v="392"/>
    <x v="1"/>
    <n v="24.4"/>
    <s v="Product Manager"/>
    <n v="-21.3"/>
    <n v="52.5"/>
    <x v="158"/>
    <n v="6.5"/>
    <n v="8.8000000000000007"/>
    <n v="5.7"/>
    <s v="Stable"/>
  </r>
  <r>
    <s v="T2665"/>
    <x v="15"/>
    <x v="2"/>
    <x v="5"/>
    <x v="2"/>
    <s v="Oct"/>
    <x v="2"/>
    <x v="2302"/>
    <n v="5.9"/>
    <x v="3"/>
    <n v="5.6"/>
    <x v="38"/>
    <n v="2633"/>
    <x v="0"/>
    <n v="41.4"/>
    <s v="Software Engineer"/>
    <n v="51"/>
    <n v="-19.2"/>
    <x v="498"/>
    <n v="4.0999999999999996"/>
    <n v="7.1"/>
    <n v="5.5"/>
    <s v="Bull Market"/>
  </r>
  <r>
    <s v="T2666"/>
    <x v="2"/>
    <x v="5"/>
    <x v="1"/>
    <x v="3"/>
    <s v="Nov"/>
    <x v="1"/>
    <x v="2303"/>
    <n v="18.3"/>
    <x v="0"/>
    <n v="2.2000000000000002"/>
    <x v="73"/>
    <n v="1466"/>
    <x v="1"/>
    <n v="28.6"/>
    <s v="Product Manager"/>
    <n v="79.8"/>
    <n v="15.1"/>
    <x v="207"/>
    <n v="2.4"/>
    <n v="6.2"/>
    <n v="5.5"/>
    <s v="Recession"/>
  </r>
  <r>
    <s v="T2667"/>
    <x v="16"/>
    <x v="2"/>
    <x v="5"/>
    <x v="3"/>
    <s v="Sep"/>
    <x v="0"/>
    <x v="2304"/>
    <n v="19.600000000000001"/>
    <x v="0"/>
    <n v="6.2"/>
    <x v="31"/>
    <n v="1007"/>
    <x v="1"/>
    <n v="20.6"/>
    <s v="Data Scientist"/>
    <n v="37.700000000000003"/>
    <n v="-20.399999999999999"/>
    <x v="465"/>
    <n v="3.9"/>
    <n v="4.4000000000000004"/>
    <n v="4"/>
    <s v="Recession"/>
  </r>
  <r>
    <s v="T2668"/>
    <x v="15"/>
    <x v="2"/>
    <x v="3"/>
    <x v="2"/>
    <s v="Apr"/>
    <x v="0"/>
    <x v="2305"/>
    <n v="4.5999999999999996"/>
    <x v="4"/>
    <n v="13.8"/>
    <x v="5"/>
    <n v="5467"/>
    <x v="0"/>
    <n v="83.4"/>
    <s v="Data Scientist"/>
    <n v="12.6"/>
    <n v="-21.8"/>
    <x v="145"/>
    <n v="9.1999999999999993"/>
    <n v="5.5"/>
    <n v="5.0999999999999996"/>
    <s v="Bull Market"/>
  </r>
  <r>
    <s v="T2669"/>
    <x v="1"/>
    <x v="0"/>
    <x v="3"/>
    <x v="3"/>
    <s v="Oct"/>
    <x v="2"/>
    <x v="2306"/>
    <n v="10.4"/>
    <x v="1"/>
    <n v="8.1999999999999993"/>
    <x v="5"/>
    <n v="4591"/>
    <x v="0"/>
    <n v="24.3"/>
    <s v="Data Scientist"/>
    <n v="32"/>
    <n v="50.5"/>
    <x v="178"/>
    <n v="8.6999999999999993"/>
    <n v="7.1"/>
    <n v="6"/>
    <s v="Recession"/>
  </r>
  <r>
    <s v="T2670"/>
    <x v="0"/>
    <x v="2"/>
    <x v="1"/>
    <x v="0"/>
    <s v="Jul"/>
    <x v="0"/>
    <x v="230"/>
    <n v="5.7"/>
    <x v="3"/>
    <n v="5.6"/>
    <x v="76"/>
    <n v="1959"/>
    <x v="0"/>
    <n v="80.599999999999994"/>
    <s v="Product Manager"/>
    <n v="62"/>
    <n v="30.1"/>
    <x v="75"/>
    <n v="3.8"/>
    <n v="9.3000000000000007"/>
    <n v="8"/>
    <s v="Bull Market"/>
  </r>
  <r>
    <s v="T2671"/>
    <x v="2"/>
    <x v="5"/>
    <x v="4"/>
    <x v="1"/>
    <s v="Dec"/>
    <x v="2"/>
    <x v="2307"/>
    <n v="36.1"/>
    <x v="0"/>
    <n v="7.1"/>
    <x v="49"/>
    <n v="343"/>
    <x v="2"/>
    <n v="50.9"/>
    <s v="Cybersecurity Analyst"/>
    <n v="21.8"/>
    <n v="58.8"/>
    <x v="164"/>
    <n v="4.8"/>
    <n v="7"/>
    <n v="4.9000000000000004"/>
    <s v="Recession"/>
  </r>
  <r>
    <s v="T2672"/>
    <x v="4"/>
    <x v="1"/>
    <x v="3"/>
    <x v="3"/>
    <s v="Mar"/>
    <x v="1"/>
    <x v="2308"/>
    <n v="31.7"/>
    <x v="2"/>
    <n v="2.7"/>
    <x v="5"/>
    <n v="484"/>
    <x v="2"/>
    <n v="53.4"/>
    <s v="Cybersecurity Analyst"/>
    <n v="30.3"/>
    <n v="56.8"/>
    <x v="280"/>
    <n v="1.9"/>
    <n v="7.3"/>
    <n v="3.7"/>
    <s v="Recession"/>
  </r>
  <r>
    <s v="T2673"/>
    <x v="0"/>
    <x v="2"/>
    <x v="5"/>
    <x v="3"/>
    <s v="Mar"/>
    <x v="0"/>
    <x v="2309"/>
    <n v="5.4"/>
    <x v="0"/>
    <n v="3.5"/>
    <x v="79"/>
    <n v="3531"/>
    <x v="1"/>
    <n v="45.4"/>
    <s v="Software Engineer"/>
    <n v="-26.5"/>
    <n v="7.7"/>
    <x v="215"/>
    <n v="2.8"/>
    <n v="7.3"/>
    <n v="7.4"/>
    <s v="Bull Market"/>
  </r>
  <r>
    <s v="T2674"/>
    <x v="9"/>
    <x v="1"/>
    <x v="1"/>
    <x v="0"/>
    <s v="Aug"/>
    <x v="2"/>
    <x v="2310"/>
    <n v="3.6"/>
    <x v="2"/>
    <n v="9.3000000000000007"/>
    <x v="33"/>
    <n v="3902"/>
    <x v="0"/>
    <n v="87.4"/>
    <s v="Software Engineer"/>
    <n v="-29.5"/>
    <n v="-20.9"/>
    <x v="116"/>
    <n v="7.4"/>
    <n v="4.7"/>
    <n v="5.6"/>
    <s v="Bull Market"/>
  </r>
  <r>
    <s v="T2675"/>
    <x v="17"/>
    <x v="0"/>
    <x v="2"/>
    <x v="0"/>
    <s v="Mar"/>
    <x v="1"/>
    <x v="2311"/>
    <n v="25.1"/>
    <x v="3"/>
    <n v="1.8"/>
    <x v="17"/>
    <n v="7668"/>
    <x v="1"/>
    <n v="18.2"/>
    <s v="Data Scientist"/>
    <n v="70.099999999999994"/>
    <n v="57.4"/>
    <x v="304"/>
    <n v="2.1"/>
    <n v="7.8"/>
    <n v="5.4"/>
    <s v="Recession"/>
  </r>
  <r>
    <s v="T2676"/>
    <x v="2"/>
    <x v="2"/>
    <x v="4"/>
    <x v="1"/>
    <s v="Jul"/>
    <x v="0"/>
    <x v="2312"/>
    <n v="13.4"/>
    <x v="1"/>
    <n v="2.2000000000000002"/>
    <x v="46"/>
    <n v="901"/>
    <x v="2"/>
    <n v="12.8"/>
    <s v="Software Engineer"/>
    <n v="40.200000000000003"/>
    <n v="20.399999999999999"/>
    <x v="271"/>
    <n v="1.8"/>
    <n v="8.5"/>
    <n v="6.3"/>
    <s v="Recession"/>
  </r>
  <r>
    <s v="T2677"/>
    <x v="18"/>
    <x v="0"/>
    <x v="2"/>
    <x v="2"/>
    <s v="Apr"/>
    <x v="0"/>
    <x v="1295"/>
    <n v="0.7"/>
    <x v="3"/>
    <n v="6.9"/>
    <x v="27"/>
    <n v="8152"/>
    <x v="3"/>
    <n v="23.9"/>
    <s v="Data Scientist"/>
    <n v="-13.5"/>
    <n v="24.6"/>
    <x v="331"/>
    <n v="5.9"/>
    <n v="9.1"/>
    <n v="6.4"/>
    <s v="Bull Market"/>
  </r>
  <r>
    <s v="T2678"/>
    <x v="17"/>
    <x v="0"/>
    <x v="5"/>
    <x v="0"/>
    <s v="Jan"/>
    <x v="0"/>
    <x v="2313"/>
    <n v="18.3"/>
    <x v="4"/>
    <n v="9.6999999999999993"/>
    <x v="5"/>
    <n v="1408"/>
    <x v="1"/>
    <n v="31.2"/>
    <s v="Data Scientist"/>
    <n v="69.7"/>
    <n v="17.8"/>
    <x v="1"/>
    <n v="8.5"/>
    <n v="5.5"/>
    <n v="5.4"/>
    <s v="Recession"/>
  </r>
  <r>
    <s v="T2679"/>
    <x v="8"/>
    <x v="6"/>
    <x v="1"/>
    <x v="2"/>
    <s v="Jan"/>
    <x v="2"/>
    <x v="2314"/>
    <n v="38"/>
    <x v="0"/>
    <n v="4.4000000000000004"/>
    <x v="5"/>
    <n v="1516"/>
    <x v="2"/>
    <n v="42.9"/>
    <s v="Software Engineer"/>
    <n v="82.4"/>
    <n v="57.1"/>
    <x v="238"/>
    <n v="4.7"/>
    <n v="7.1"/>
    <n v="3.6"/>
    <s v="Recession"/>
  </r>
  <r>
    <s v="T2680"/>
    <x v="4"/>
    <x v="1"/>
    <x v="0"/>
    <x v="2"/>
    <s v="Jun"/>
    <x v="1"/>
    <x v="1707"/>
    <n v="36"/>
    <x v="1"/>
    <n v="4.2"/>
    <x v="48"/>
    <n v="574"/>
    <x v="2"/>
    <n v="78.3"/>
    <s v="Cloud Engineer"/>
    <n v="-40.299999999999997"/>
    <n v="-23.5"/>
    <x v="343"/>
    <n v="5.9"/>
    <n v="3.2"/>
    <n v="2.1"/>
    <s v="Recession"/>
  </r>
  <r>
    <s v="T2681"/>
    <x v="17"/>
    <x v="3"/>
    <x v="3"/>
    <x v="1"/>
    <s v="May"/>
    <x v="1"/>
    <x v="2315"/>
    <n v="22.2"/>
    <x v="1"/>
    <n v="7.5"/>
    <x v="5"/>
    <n v="1982"/>
    <x v="1"/>
    <n v="57.9"/>
    <s v="Software Engineer"/>
    <n v="-11.9"/>
    <n v="0.6"/>
    <x v="271"/>
    <n v="8.6"/>
    <n v="5.0999999999999996"/>
    <n v="3.6"/>
    <s v="Recession"/>
  </r>
  <r>
    <s v="T2682"/>
    <x v="2"/>
    <x v="1"/>
    <x v="3"/>
    <x v="2"/>
    <s v="Jan"/>
    <x v="1"/>
    <x v="596"/>
    <n v="17.3"/>
    <x v="2"/>
    <n v="5.2"/>
    <x v="84"/>
    <n v="1793"/>
    <x v="1"/>
    <n v="53"/>
    <s v="Software Engineer"/>
    <n v="46.7"/>
    <n v="-23.6"/>
    <x v="330"/>
    <n v="5.7"/>
    <n v="3.2"/>
    <n v="2.7"/>
    <s v="Stable"/>
  </r>
  <r>
    <s v="T2683"/>
    <x v="2"/>
    <x v="2"/>
    <x v="2"/>
    <x v="0"/>
    <s v="Jun"/>
    <x v="0"/>
    <x v="2316"/>
    <n v="19.600000000000001"/>
    <x v="0"/>
    <n v="2.5"/>
    <x v="66"/>
    <n v="1346"/>
    <x v="1"/>
    <n v="66.099999999999994"/>
    <s v="DevOps Engineer"/>
    <n v="22.8"/>
    <n v="40.4"/>
    <x v="83"/>
    <n v="1.7"/>
    <n v="8.4"/>
    <n v="6.8"/>
    <s v="Recession"/>
  </r>
  <r>
    <s v="T2684"/>
    <x v="1"/>
    <x v="4"/>
    <x v="4"/>
    <x v="0"/>
    <s v="Feb"/>
    <x v="1"/>
    <x v="2317"/>
    <n v="9.4"/>
    <x v="3"/>
    <n v="6"/>
    <x v="85"/>
    <n v="605"/>
    <x v="1"/>
    <n v="22.6"/>
    <s v="Data Scientist"/>
    <n v="76.2"/>
    <n v="8.8000000000000007"/>
    <x v="9"/>
    <n v="3.6"/>
    <n v="6.2"/>
    <n v="7"/>
    <s v="Recession"/>
  </r>
  <r>
    <s v="T2685"/>
    <x v="2"/>
    <x v="1"/>
    <x v="3"/>
    <x v="1"/>
    <s v="Aug"/>
    <x v="1"/>
    <x v="2318"/>
    <n v="14.5"/>
    <x v="1"/>
    <n v="4.8"/>
    <x v="60"/>
    <n v="5332"/>
    <x v="1"/>
    <n v="59.2"/>
    <s v="DevOps Engineer"/>
    <n v="-23.4"/>
    <n v="-24.8"/>
    <x v="243"/>
    <n v="6.5"/>
    <n v="4.9000000000000004"/>
    <n v="3.3"/>
    <s v="Stable"/>
  </r>
  <r>
    <s v="T2686"/>
    <x v="9"/>
    <x v="1"/>
    <x v="2"/>
    <x v="1"/>
    <s v="Sep"/>
    <x v="2"/>
    <x v="547"/>
    <n v="1.2"/>
    <x v="1"/>
    <n v="6.2"/>
    <x v="54"/>
    <n v="378"/>
    <x v="1"/>
    <n v="83.9"/>
    <s v="Software Engineer"/>
    <n v="-37.1"/>
    <n v="0.4"/>
    <x v="325"/>
    <n v="4.0999999999999996"/>
    <n v="6.1"/>
    <n v="6.8"/>
    <s v="Bull Market"/>
  </r>
  <r>
    <s v="T2687"/>
    <x v="1"/>
    <x v="1"/>
    <x v="3"/>
    <x v="1"/>
    <s v="Oct"/>
    <x v="1"/>
    <x v="889"/>
    <n v="11.3"/>
    <x v="4"/>
    <n v="3.6"/>
    <x v="74"/>
    <n v="58"/>
    <x v="1"/>
    <n v="59.5"/>
    <s v="ML Engineer"/>
    <n v="69.400000000000006"/>
    <n v="46"/>
    <x v="513"/>
    <n v="2.4"/>
    <n v="8.1999999999999993"/>
    <n v="8.1"/>
    <s v="Recession"/>
  </r>
  <r>
    <s v="T2688"/>
    <x v="13"/>
    <x v="5"/>
    <x v="5"/>
    <x v="1"/>
    <s v="Aug"/>
    <x v="1"/>
    <x v="2112"/>
    <n v="8.3000000000000007"/>
    <x v="4"/>
    <n v="6.4"/>
    <x v="10"/>
    <n v="3793"/>
    <x v="0"/>
    <n v="34.1"/>
    <s v="Cloud Engineer"/>
    <n v="-45"/>
    <n v="49.3"/>
    <x v="495"/>
    <n v="7"/>
    <n v="8.4"/>
    <n v="7.4"/>
    <s v="Stable"/>
  </r>
  <r>
    <s v="T2689"/>
    <x v="18"/>
    <x v="0"/>
    <x v="0"/>
    <x v="1"/>
    <s v="Jan"/>
    <x v="0"/>
    <x v="553"/>
    <n v="6.5"/>
    <x v="0"/>
    <n v="3.6"/>
    <x v="16"/>
    <n v="9543"/>
    <x v="3"/>
    <n v="49.5"/>
    <s v="Data Scientist"/>
    <n v="70.099999999999994"/>
    <n v="35.200000000000003"/>
    <x v="280"/>
    <n v="4.2"/>
    <n v="7.8"/>
    <n v="5.9"/>
    <s v="Bull Market"/>
  </r>
  <r>
    <s v="T2690"/>
    <x v="8"/>
    <x v="6"/>
    <x v="0"/>
    <x v="2"/>
    <s v="Apr"/>
    <x v="2"/>
    <x v="2319"/>
    <n v="39.9"/>
    <x v="3"/>
    <n v="11.9"/>
    <x v="5"/>
    <n v="1645"/>
    <x v="2"/>
    <n v="45.9"/>
    <s v="Data Scientist"/>
    <n v="25.7"/>
    <n v="58.2"/>
    <x v="200"/>
    <n v="9.1"/>
    <n v="4.0999999999999996"/>
    <n v="3.3"/>
    <s v="Recession"/>
  </r>
  <r>
    <s v="T2691"/>
    <x v="18"/>
    <x v="0"/>
    <x v="1"/>
    <x v="0"/>
    <s v="Aug"/>
    <x v="2"/>
    <x v="2320"/>
    <n v="29.9"/>
    <x v="3"/>
    <n v="1.8"/>
    <x v="5"/>
    <n v="1303"/>
    <x v="2"/>
    <n v="76.2"/>
    <s v="Data Scientist"/>
    <n v="29.4"/>
    <n v="49.2"/>
    <x v="395"/>
    <n v="2.9"/>
    <n v="6.9"/>
    <n v="5.2"/>
    <s v="Recession"/>
  </r>
  <r>
    <s v="T2692"/>
    <x v="3"/>
    <x v="1"/>
    <x v="2"/>
    <x v="0"/>
    <s v="Jun"/>
    <x v="2"/>
    <x v="2321"/>
    <n v="39.299999999999997"/>
    <x v="3"/>
    <n v="7.1"/>
    <x v="5"/>
    <n v="381"/>
    <x v="2"/>
    <n v="88.4"/>
    <s v="Product Manager"/>
    <n v="5.4"/>
    <n v="42.4"/>
    <x v="29"/>
    <n v="4.8"/>
    <n v="5.7"/>
    <n v="2.6"/>
    <s v="Recession"/>
  </r>
  <r>
    <s v="T2693"/>
    <x v="0"/>
    <x v="5"/>
    <x v="0"/>
    <x v="1"/>
    <s v="Feb"/>
    <x v="1"/>
    <x v="2100"/>
    <n v="7.3"/>
    <x v="4"/>
    <n v="3.4"/>
    <x v="58"/>
    <n v="227"/>
    <x v="1"/>
    <n v="77.5"/>
    <s v="Data Scientist"/>
    <n v="45.4"/>
    <n v="42.7"/>
    <x v="9"/>
    <n v="2.8"/>
    <n v="9.1"/>
    <n v="7.2"/>
    <s v="Bull Market"/>
  </r>
  <r>
    <s v="T2694"/>
    <x v="6"/>
    <x v="2"/>
    <x v="3"/>
    <x v="2"/>
    <s v="Dec"/>
    <x v="0"/>
    <x v="1018"/>
    <n v="5.5"/>
    <x v="0"/>
    <n v="3.6"/>
    <x v="85"/>
    <n v="3166"/>
    <x v="1"/>
    <n v="52.7"/>
    <s v="Cloud Engineer"/>
    <n v="60.2"/>
    <n v="-21.4"/>
    <x v="84"/>
    <n v="2.2999999999999998"/>
    <n v="7.6"/>
    <n v="6.5"/>
    <s v="Bull Market"/>
  </r>
  <r>
    <s v="T2695"/>
    <x v="10"/>
    <x v="3"/>
    <x v="0"/>
    <x v="2"/>
    <s v="May"/>
    <x v="1"/>
    <x v="2322"/>
    <n v="28.8"/>
    <x v="0"/>
    <n v="1.4"/>
    <x v="7"/>
    <n v="1151"/>
    <x v="2"/>
    <n v="36.299999999999997"/>
    <s v="Cloud Engineer"/>
    <n v="-9"/>
    <n v="59.6"/>
    <x v="98"/>
    <n v="2.2000000000000002"/>
    <n v="6.4"/>
    <n v="5"/>
    <s v="Recession"/>
  </r>
  <r>
    <s v="T2696"/>
    <x v="1"/>
    <x v="0"/>
    <x v="3"/>
    <x v="2"/>
    <s v="Jun"/>
    <x v="1"/>
    <x v="2323"/>
    <n v="7.4"/>
    <x v="0"/>
    <n v="3.3"/>
    <x v="6"/>
    <n v="8667"/>
    <x v="0"/>
    <n v="70.8"/>
    <s v="ML Engineer"/>
    <n v="38.6"/>
    <n v="-17.7"/>
    <x v="101"/>
    <n v="2.6"/>
    <n v="7.6"/>
    <n v="6"/>
    <s v="Bull Market"/>
  </r>
  <r>
    <s v="T2697"/>
    <x v="0"/>
    <x v="0"/>
    <x v="2"/>
    <x v="3"/>
    <s v="May"/>
    <x v="2"/>
    <x v="2324"/>
    <n v="35.9"/>
    <x v="3"/>
    <n v="5"/>
    <x v="9"/>
    <n v="4059"/>
    <x v="2"/>
    <n v="23.1"/>
    <s v="Data Scientist"/>
    <n v="3.4"/>
    <n v="19.7"/>
    <x v="109"/>
    <n v="3.6"/>
    <n v="6"/>
    <n v="3.4"/>
    <s v="Recession"/>
  </r>
  <r>
    <s v="T2698"/>
    <x v="10"/>
    <x v="3"/>
    <x v="0"/>
    <x v="2"/>
    <s v="Dec"/>
    <x v="0"/>
    <x v="2325"/>
    <n v="31.5"/>
    <x v="3"/>
    <n v="7.4"/>
    <x v="5"/>
    <n v="1844"/>
    <x v="1"/>
    <n v="44.2"/>
    <s v="Software Engineer"/>
    <n v="83.2"/>
    <n v="-16.399999999999999"/>
    <x v="346"/>
    <n v="9.6999999999999993"/>
    <n v="5.9"/>
    <n v="2.4"/>
    <s v="Recession"/>
  </r>
  <r>
    <s v="T2699"/>
    <x v="6"/>
    <x v="1"/>
    <x v="5"/>
    <x v="1"/>
    <s v="Jan"/>
    <x v="1"/>
    <x v="2326"/>
    <n v="16.100000000000001"/>
    <x v="1"/>
    <n v="4.9000000000000004"/>
    <x v="7"/>
    <n v="2951"/>
    <x v="1"/>
    <n v="83.7"/>
    <s v="Cybersecurity Analyst"/>
    <n v="74.099999999999994"/>
    <n v="-20"/>
    <x v="71"/>
    <n v="5.7"/>
    <n v="3.8"/>
    <n v="4.5999999999999996"/>
    <s v="Stable"/>
  </r>
  <r>
    <s v="T2700"/>
    <x v="0"/>
    <x v="5"/>
    <x v="4"/>
    <x v="3"/>
    <s v="Mar"/>
    <x v="1"/>
    <x v="2327"/>
    <n v="36.4"/>
    <x v="1"/>
    <n v="8.9"/>
    <x v="5"/>
    <n v="1904"/>
    <x v="1"/>
    <n v="72.099999999999994"/>
    <s v="Data Scientist"/>
    <n v="73"/>
    <n v="-20.399999999999999"/>
    <x v="514"/>
    <n v="8.3000000000000007"/>
    <n v="5"/>
    <n v="1.4"/>
    <s v="Recession"/>
  </r>
  <r>
    <s v="T2701"/>
    <x v="2"/>
    <x v="2"/>
    <x v="1"/>
    <x v="0"/>
    <s v="Aug"/>
    <x v="1"/>
    <x v="2328"/>
    <n v="7.3"/>
    <x v="2"/>
    <n v="0.8"/>
    <x v="71"/>
    <n v="4667"/>
    <x v="1"/>
    <n v="21.8"/>
    <s v="Cybersecurity Analyst"/>
    <n v="-22.3"/>
    <n v="11.3"/>
    <x v="196"/>
    <n v="1.2"/>
    <n v="6.6"/>
    <n v="7.8"/>
    <s v="Stable"/>
  </r>
  <r>
    <s v="T2702"/>
    <x v="1"/>
    <x v="1"/>
    <x v="2"/>
    <x v="3"/>
    <s v="Oct"/>
    <x v="1"/>
    <x v="2018"/>
    <n v="6.3"/>
    <x v="1"/>
    <n v="6.2"/>
    <x v="16"/>
    <n v="3373"/>
    <x v="0"/>
    <n v="20.3"/>
    <s v="ML Engineer"/>
    <n v="-22.7"/>
    <n v="47"/>
    <x v="463"/>
    <n v="8.5"/>
    <n v="8.3000000000000007"/>
    <n v="6.8"/>
    <s v="Bull Market"/>
  </r>
  <r>
    <s v="T2703"/>
    <x v="2"/>
    <x v="1"/>
    <x v="2"/>
    <x v="3"/>
    <s v="Feb"/>
    <x v="2"/>
    <x v="2329"/>
    <n v="4.2"/>
    <x v="1"/>
    <n v="5.7"/>
    <x v="5"/>
    <n v="4990"/>
    <x v="3"/>
    <n v="88.8"/>
    <s v="DevOps Engineer"/>
    <n v="2.2999999999999998"/>
    <n v="23.5"/>
    <x v="104"/>
    <n v="9.1999999999999993"/>
    <n v="5.6"/>
    <n v="5.7"/>
    <s v="Bull Market"/>
  </r>
  <r>
    <s v="T2704"/>
    <x v="1"/>
    <x v="4"/>
    <x v="0"/>
    <x v="2"/>
    <s v="Sep"/>
    <x v="2"/>
    <x v="2330"/>
    <n v="5"/>
    <x v="3"/>
    <n v="2.5"/>
    <x v="74"/>
    <n v="1798"/>
    <x v="0"/>
    <n v="86.4"/>
    <s v="Data Scientist"/>
    <n v="10"/>
    <n v="-19.3"/>
    <x v="369"/>
    <n v="2.9"/>
    <n v="4.3"/>
    <n v="6.8"/>
    <s v="Bull Market"/>
  </r>
  <r>
    <s v="T2705"/>
    <x v="13"/>
    <x v="5"/>
    <x v="2"/>
    <x v="1"/>
    <s v="Nov"/>
    <x v="0"/>
    <x v="2331"/>
    <n v="16"/>
    <x v="1"/>
    <n v="6.1"/>
    <x v="49"/>
    <n v="4432"/>
    <x v="1"/>
    <n v="64.900000000000006"/>
    <s v="Frontend Developer"/>
    <n v="38.5"/>
    <n v="14.9"/>
    <x v="319"/>
    <n v="6.4"/>
    <n v="6.1"/>
    <n v="4.3"/>
    <s v="Stable"/>
  </r>
  <r>
    <s v="T2706"/>
    <x v="0"/>
    <x v="0"/>
    <x v="2"/>
    <x v="0"/>
    <s v="Jan"/>
    <x v="1"/>
    <x v="946"/>
    <n v="11.5"/>
    <x v="2"/>
    <n v="12.5"/>
    <x v="11"/>
    <n v="3045"/>
    <x v="0"/>
    <n v="23.5"/>
    <s v="Data Scientist"/>
    <n v="58.5"/>
    <n v="-20.399999999999999"/>
    <x v="471"/>
    <n v="9.9"/>
    <n v="6.8"/>
    <n v="4.5"/>
    <s v="Stable"/>
  </r>
  <r>
    <s v="T2707"/>
    <x v="9"/>
    <x v="1"/>
    <x v="4"/>
    <x v="3"/>
    <s v="Jan"/>
    <x v="1"/>
    <x v="788"/>
    <n v="8.4"/>
    <x v="4"/>
    <n v="12.6"/>
    <x v="9"/>
    <n v="1827"/>
    <x v="0"/>
    <n v="82.8"/>
    <s v="Product Manager"/>
    <n v="14.2"/>
    <n v="-13.3"/>
    <x v="134"/>
    <n v="9.6999999999999993"/>
    <n v="4.3"/>
    <n v="4.0999999999999996"/>
    <s v="Bull Market"/>
  </r>
  <r>
    <s v="T2708"/>
    <x v="1"/>
    <x v="1"/>
    <x v="2"/>
    <x v="1"/>
    <s v="Nov"/>
    <x v="0"/>
    <x v="1178"/>
    <n v="9.5"/>
    <x v="4"/>
    <n v="13"/>
    <x v="5"/>
    <n v="4192"/>
    <x v="0"/>
    <n v="25.5"/>
    <s v="Frontend Developer"/>
    <n v="28.3"/>
    <n v="28.5"/>
    <x v="386"/>
    <n v="8.8000000000000007"/>
    <n v="6.5"/>
    <n v="5.3"/>
    <s v="Stable"/>
  </r>
  <r>
    <s v="T2709"/>
    <x v="1"/>
    <x v="4"/>
    <x v="0"/>
    <x v="3"/>
    <s v="Jul"/>
    <x v="2"/>
    <x v="2332"/>
    <n v="30.6"/>
    <x v="0"/>
    <n v="7.2"/>
    <x v="5"/>
    <n v="660"/>
    <x v="1"/>
    <n v="13.8"/>
    <s v="Software Engineer"/>
    <n v="74.400000000000006"/>
    <n v="2.5"/>
    <x v="30"/>
    <n v="5.0999999999999996"/>
    <n v="5.3"/>
    <n v="3.9"/>
    <s v="Recession"/>
  </r>
  <r>
    <s v="T2710"/>
    <x v="9"/>
    <x v="0"/>
    <x v="1"/>
    <x v="0"/>
    <s v="Feb"/>
    <x v="0"/>
    <x v="2333"/>
    <n v="25"/>
    <x v="2"/>
    <n v="3.7"/>
    <x v="5"/>
    <n v="1210"/>
    <x v="2"/>
    <n v="20.3"/>
    <s v="Data Scientist"/>
    <n v="30.5"/>
    <n v="16.5"/>
    <x v="391"/>
    <n v="3.5"/>
    <n v="3.8"/>
    <n v="4.8"/>
    <s v="Recession"/>
  </r>
  <r>
    <s v="T2711"/>
    <x v="7"/>
    <x v="4"/>
    <x v="4"/>
    <x v="1"/>
    <s v="Jun"/>
    <x v="1"/>
    <x v="1255"/>
    <n v="9.1999999999999993"/>
    <x v="0"/>
    <n v="11.2"/>
    <x v="20"/>
    <n v="5124"/>
    <x v="0"/>
    <n v="21.1"/>
    <s v="Data Scientist"/>
    <n v="19.100000000000001"/>
    <n v="34.6"/>
    <x v="107"/>
    <n v="6.7"/>
    <n v="8.8000000000000007"/>
    <n v="7.4"/>
    <s v="Stable"/>
  </r>
  <r>
    <s v="T2712"/>
    <x v="17"/>
    <x v="3"/>
    <x v="2"/>
    <x v="1"/>
    <s v="May"/>
    <x v="2"/>
    <x v="2334"/>
    <n v="2"/>
    <x v="4"/>
    <n v="1.4"/>
    <x v="40"/>
    <n v="3662"/>
    <x v="1"/>
    <n v="72.2"/>
    <s v="Software Engineer"/>
    <n v="51"/>
    <n v="-21.2"/>
    <x v="346"/>
    <n v="1"/>
    <n v="5"/>
    <n v="7.3"/>
    <s v="Bull Market"/>
  </r>
  <r>
    <s v="T2713"/>
    <x v="1"/>
    <x v="0"/>
    <x v="5"/>
    <x v="1"/>
    <s v="May"/>
    <x v="2"/>
    <x v="2335"/>
    <n v="5.6"/>
    <x v="3"/>
    <n v="3.9"/>
    <x v="66"/>
    <n v="2129"/>
    <x v="0"/>
    <n v="10.199999999999999"/>
    <s v="ML Engineer"/>
    <n v="51.7"/>
    <n v="-12.1"/>
    <x v="361"/>
    <n v="2.4"/>
    <n v="4.5999999999999996"/>
    <n v="6.8"/>
    <s v="Stable"/>
  </r>
  <r>
    <s v="T2714"/>
    <x v="15"/>
    <x v="2"/>
    <x v="2"/>
    <x v="3"/>
    <s v="Jul"/>
    <x v="0"/>
    <x v="2336"/>
    <n v="19.399999999999999"/>
    <x v="0"/>
    <n v="3.4"/>
    <x v="24"/>
    <n v="1708"/>
    <x v="2"/>
    <n v="76.599999999999994"/>
    <s v="Cloud Engineer"/>
    <n v="61.5"/>
    <n v="33.799999999999997"/>
    <x v="153"/>
    <n v="3.5"/>
    <n v="8.4"/>
    <n v="6.4"/>
    <s v="Recession"/>
  </r>
  <r>
    <s v="T2715"/>
    <x v="5"/>
    <x v="3"/>
    <x v="1"/>
    <x v="0"/>
    <s v="Apr"/>
    <x v="0"/>
    <x v="413"/>
    <n v="38"/>
    <x v="0"/>
    <n v="9.8000000000000007"/>
    <x v="5"/>
    <n v="1351"/>
    <x v="2"/>
    <n v="83.5"/>
    <s v="Product Manager"/>
    <n v="-17.8"/>
    <n v="30.7"/>
    <x v="229"/>
    <n v="7.3"/>
    <n v="5.8"/>
    <n v="2.6"/>
    <s v="Recession"/>
  </r>
  <r>
    <s v="T2716"/>
    <x v="2"/>
    <x v="3"/>
    <x v="2"/>
    <x v="2"/>
    <s v="Mar"/>
    <x v="0"/>
    <x v="2337"/>
    <n v="15.8"/>
    <x v="0"/>
    <n v="2.2999999999999998"/>
    <x v="65"/>
    <n v="5211"/>
    <x v="0"/>
    <n v="56.5"/>
    <s v="Product Manager"/>
    <n v="12.3"/>
    <n v="54"/>
    <x v="244"/>
    <n v="2.6"/>
    <n v="7"/>
    <n v="6.8"/>
    <s v="Stable"/>
  </r>
  <r>
    <s v="T2717"/>
    <x v="3"/>
    <x v="1"/>
    <x v="0"/>
    <x v="1"/>
    <s v="Feb"/>
    <x v="1"/>
    <x v="2338"/>
    <n v="1.7"/>
    <x v="1"/>
    <n v="2.2000000000000002"/>
    <x v="21"/>
    <n v="3357"/>
    <x v="1"/>
    <n v="21.9"/>
    <s v="Frontend Developer"/>
    <n v="27.3"/>
    <n v="38.200000000000003"/>
    <x v="282"/>
    <n v="2.6"/>
    <n v="6.7"/>
    <n v="8.4"/>
    <s v="Stable"/>
  </r>
  <r>
    <s v="T2718"/>
    <x v="13"/>
    <x v="5"/>
    <x v="3"/>
    <x v="2"/>
    <s v="Dec"/>
    <x v="2"/>
    <x v="2339"/>
    <n v="34.799999999999997"/>
    <x v="3"/>
    <n v="2"/>
    <x v="69"/>
    <n v="1100"/>
    <x v="2"/>
    <n v="39.200000000000003"/>
    <s v="DevOps Engineer"/>
    <n v="41.5"/>
    <n v="-5.8"/>
    <x v="330"/>
    <n v="1.6"/>
    <n v="4.7"/>
    <n v="2.7"/>
    <s v="Recession"/>
  </r>
  <r>
    <s v="T2719"/>
    <x v="2"/>
    <x v="2"/>
    <x v="0"/>
    <x v="2"/>
    <s v="Jul"/>
    <x v="1"/>
    <x v="2140"/>
    <n v="9"/>
    <x v="4"/>
    <n v="4"/>
    <x v="1"/>
    <n v="2794"/>
    <x v="1"/>
    <n v="15.5"/>
    <s v="Software Engineer"/>
    <n v="45.5"/>
    <n v="15.3"/>
    <x v="4"/>
    <n v="5.9"/>
    <n v="6"/>
    <n v="6.2"/>
    <s v="Bull Market"/>
  </r>
  <r>
    <s v="T2720"/>
    <x v="10"/>
    <x v="3"/>
    <x v="2"/>
    <x v="2"/>
    <s v="Oct"/>
    <x v="2"/>
    <x v="2340"/>
    <n v="22.4"/>
    <x v="1"/>
    <n v="2.2999999999999998"/>
    <x v="10"/>
    <n v="1008"/>
    <x v="2"/>
    <n v="86.2"/>
    <s v="Cloud Engineer"/>
    <n v="42.5"/>
    <n v="14"/>
    <x v="60"/>
    <n v="3.1"/>
    <n v="4.0999999999999996"/>
    <n v="4.2"/>
    <s v="Recession"/>
  </r>
  <r>
    <s v="T2721"/>
    <x v="9"/>
    <x v="1"/>
    <x v="3"/>
    <x v="0"/>
    <s v="Oct"/>
    <x v="0"/>
    <x v="2341"/>
    <n v="13.1"/>
    <x v="3"/>
    <n v="8.8000000000000007"/>
    <x v="57"/>
    <n v="878"/>
    <x v="1"/>
    <n v="75.5"/>
    <s v="Cloud Engineer"/>
    <n v="-14.6"/>
    <n v="6.2"/>
    <x v="58"/>
    <n v="8.5"/>
    <n v="4.3"/>
    <n v="4"/>
    <s v="Recession"/>
  </r>
  <r>
    <s v="T2722"/>
    <x v="7"/>
    <x v="4"/>
    <x v="5"/>
    <x v="0"/>
    <s v="May"/>
    <x v="0"/>
    <x v="2342"/>
    <n v="13.7"/>
    <x v="3"/>
    <n v="6.7"/>
    <x v="23"/>
    <n v="3320"/>
    <x v="1"/>
    <n v="58.2"/>
    <s v="Cybersecurity Analyst"/>
    <n v="54.5"/>
    <n v="-21.8"/>
    <x v="31"/>
    <n v="8.1"/>
    <n v="3.8"/>
    <n v="4.9000000000000004"/>
    <s v="Stable"/>
  </r>
  <r>
    <s v="T2723"/>
    <x v="1"/>
    <x v="6"/>
    <x v="1"/>
    <x v="2"/>
    <s v="Oct"/>
    <x v="1"/>
    <x v="1485"/>
    <n v="7.6"/>
    <x v="3"/>
    <n v="13.7"/>
    <x v="84"/>
    <n v="3814"/>
    <x v="0"/>
    <n v="14"/>
    <s v="Cloud Engineer"/>
    <n v="1.1000000000000001"/>
    <n v="20.8"/>
    <x v="188"/>
    <n v="8.6"/>
    <n v="5.3"/>
    <n v="5.2"/>
    <s v="Stable"/>
  </r>
  <r>
    <s v="T2724"/>
    <x v="2"/>
    <x v="1"/>
    <x v="4"/>
    <x v="1"/>
    <s v="Feb"/>
    <x v="0"/>
    <x v="2343"/>
    <n v="31.4"/>
    <x v="2"/>
    <n v="1.2"/>
    <x v="52"/>
    <n v="1839"/>
    <x v="2"/>
    <n v="71.2"/>
    <s v="Cybersecurity Analyst"/>
    <n v="2"/>
    <n v="53.2"/>
    <x v="282"/>
    <n v="1"/>
    <n v="6.7"/>
    <n v="5.8"/>
    <s v="Recession"/>
  </r>
  <r>
    <s v="T2725"/>
    <x v="14"/>
    <x v="1"/>
    <x v="4"/>
    <x v="3"/>
    <s v="Feb"/>
    <x v="2"/>
    <x v="2344"/>
    <n v="10.199999999999999"/>
    <x v="1"/>
    <n v="5.2"/>
    <x v="34"/>
    <n v="1433"/>
    <x v="1"/>
    <n v="82.2"/>
    <s v="Cybersecurity Analyst"/>
    <n v="-3.7"/>
    <n v="25.4"/>
    <x v="17"/>
    <n v="3.7"/>
    <n v="7.6"/>
    <n v="6.6"/>
    <s v="Stable"/>
  </r>
  <r>
    <s v="T2726"/>
    <x v="12"/>
    <x v="0"/>
    <x v="2"/>
    <x v="1"/>
    <s v="Dec"/>
    <x v="2"/>
    <x v="2048"/>
    <n v="17.399999999999999"/>
    <x v="3"/>
    <n v="5.7"/>
    <x v="23"/>
    <n v="6432"/>
    <x v="0"/>
    <n v="74.400000000000006"/>
    <s v="ML Engineer"/>
    <n v="13.7"/>
    <n v="-18.5"/>
    <x v="273"/>
    <n v="9.4"/>
    <n v="5.7"/>
    <n v="4.4000000000000004"/>
    <s v="Stable"/>
  </r>
  <r>
    <s v="T2727"/>
    <x v="12"/>
    <x v="0"/>
    <x v="4"/>
    <x v="0"/>
    <s v="Dec"/>
    <x v="1"/>
    <x v="2345"/>
    <n v="12.8"/>
    <x v="0"/>
    <n v="9.8000000000000007"/>
    <x v="14"/>
    <n v="3155"/>
    <x v="0"/>
    <n v="78.400000000000006"/>
    <s v="ML Engineer"/>
    <n v="-7.2"/>
    <n v="9.1999999999999993"/>
    <x v="299"/>
    <n v="9.5"/>
    <n v="6.6"/>
    <n v="4.5999999999999996"/>
    <s v="Stable"/>
  </r>
  <r>
    <s v="T2728"/>
    <x v="2"/>
    <x v="1"/>
    <x v="0"/>
    <x v="1"/>
    <s v="Oct"/>
    <x v="1"/>
    <x v="2346"/>
    <n v="6.1"/>
    <x v="0"/>
    <n v="2.8"/>
    <x v="77"/>
    <n v="3727"/>
    <x v="1"/>
    <n v="77.3"/>
    <s v="Software Engineer"/>
    <n v="52.4"/>
    <n v="12.9"/>
    <x v="316"/>
    <n v="1.8"/>
    <n v="7.5"/>
    <n v="7.9"/>
    <s v="Stable"/>
  </r>
  <r>
    <s v="T2729"/>
    <x v="0"/>
    <x v="0"/>
    <x v="1"/>
    <x v="0"/>
    <s v="Jul"/>
    <x v="1"/>
    <x v="2347"/>
    <n v="7.4"/>
    <x v="1"/>
    <n v="6.9"/>
    <x v="26"/>
    <n v="4278"/>
    <x v="1"/>
    <n v="16.399999999999999"/>
    <s v="ML Engineer"/>
    <n v="60"/>
    <n v="37.799999999999997"/>
    <x v="284"/>
    <n v="5.6"/>
    <n v="6"/>
    <n v="6.1"/>
    <s v="Stable"/>
  </r>
  <r>
    <s v="T2730"/>
    <x v="0"/>
    <x v="1"/>
    <x v="2"/>
    <x v="1"/>
    <s v="Jul"/>
    <x v="1"/>
    <x v="2348"/>
    <n v="10.9"/>
    <x v="3"/>
    <n v="4"/>
    <x v="83"/>
    <n v="3904"/>
    <x v="1"/>
    <n v="58.6"/>
    <s v="DevOps Engineer"/>
    <n v="72.900000000000006"/>
    <n v="24.8"/>
    <x v="392"/>
    <n v="2.5"/>
    <n v="7.6"/>
    <n v="5.9"/>
    <s v="Stable"/>
  </r>
  <r>
    <s v="T2731"/>
    <x v="11"/>
    <x v="6"/>
    <x v="3"/>
    <x v="2"/>
    <s v="Jul"/>
    <x v="0"/>
    <x v="2349"/>
    <n v="16.5"/>
    <x v="2"/>
    <n v="9.1999999999999993"/>
    <x v="25"/>
    <n v="65"/>
    <x v="1"/>
    <n v="73"/>
    <s v="ML Engineer"/>
    <n v="8.1"/>
    <n v="-14.1"/>
    <x v="116"/>
    <n v="5.4"/>
    <n v="6.3"/>
    <n v="5.8"/>
    <s v="Recession"/>
  </r>
  <r>
    <s v="T2732"/>
    <x v="1"/>
    <x v="0"/>
    <x v="3"/>
    <x v="3"/>
    <s v="Jul"/>
    <x v="2"/>
    <x v="2350"/>
    <n v="14"/>
    <x v="1"/>
    <n v="14.6"/>
    <x v="5"/>
    <n v="5595"/>
    <x v="3"/>
    <n v="44.8"/>
    <s v="Data Scientist"/>
    <n v="44.2"/>
    <n v="26.8"/>
    <x v="282"/>
    <n v="9.1999999999999993"/>
    <n v="6.2"/>
    <n v="4.9000000000000004"/>
    <s v="Stable"/>
  </r>
  <r>
    <s v="T2733"/>
    <x v="2"/>
    <x v="5"/>
    <x v="2"/>
    <x v="0"/>
    <s v="Sep"/>
    <x v="1"/>
    <x v="1081"/>
    <n v="2.8"/>
    <x v="4"/>
    <n v="14.3"/>
    <x v="5"/>
    <n v="2838"/>
    <x v="0"/>
    <n v="75.3"/>
    <s v="Frontend Developer"/>
    <n v="87.8"/>
    <n v="25"/>
    <x v="253"/>
    <n v="9.6999999999999993"/>
    <n v="7.1"/>
    <n v="5.9"/>
    <s v="Bull Market"/>
  </r>
  <r>
    <s v="T2734"/>
    <x v="18"/>
    <x v="0"/>
    <x v="4"/>
    <x v="1"/>
    <s v="Jun"/>
    <x v="2"/>
    <x v="2351"/>
    <n v="6.8"/>
    <x v="3"/>
    <n v="6"/>
    <x v="5"/>
    <n v="6130"/>
    <x v="3"/>
    <n v="55.2"/>
    <s v="ML Engineer"/>
    <n v="83.7"/>
    <n v="52.7"/>
    <x v="515"/>
    <n v="6.6"/>
    <n v="6.7"/>
    <n v="6.7"/>
    <s v="Stable"/>
  </r>
  <r>
    <s v="T2735"/>
    <x v="2"/>
    <x v="1"/>
    <x v="0"/>
    <x v="3"/>
    <s v="Feb"/>
    <x v="1"/>
    <x v="2352"/>
    <n v="5.8"/>
    <x v="4"/>
    <n v="1.9"/>
    <x v="19"/>
    <n v="5441"/>
    <x v="0"/>
    <n v="60"/>
    <s v="Software Engineer"/>
    <n v="43.5"/>
    <n v="-8.9"/>
    <x v="330"/>
    <n v="1.3"/>
    <n v="6.7"/>
    <n v="6.4"/>
    <s v="Bull Market"/>
  </r>
  <r>
    <s v="T2736"/>
    <x v="2"/>
    <x v="0"/>
    <x v="4"/>
    <x v="3"/>
    <s v="Oct"/>
    <x v="1"/>
    <x v="529"/>
    <n v="7.1"/>
    <x v="2"/>
    <n v="1.8"/>
    <x v="38"/>
    <n v="9315"/>
    <x v="0"/>
    <n v="83.3"/>
    <s v="Data Scientist"/>
    <n v="17.100000000000001"/>
    <n v="4.4000000000000004"/>
    <x v="239"/>
    <n v="1.5"/>
    <n v="5.6"/>
    <n v="6.4"/>
    <s v="Bull Market"/>
  </r>
  <r>
    <s v="T2737"/>
    <x v="2"/>
    <x v="5"/>
    <x v="4"/>
    <x v="3"/>
    <s v="Dec"/>
    <x v="1"/>
    <x v="2353"/>
    <n v="9.5"/>
    <x v="1"/>
    <n v="14.2"/>
    <x v="15"/>
    <n v="3929"/>
    <x v="0"/>
    <n v="13.3"/>
    <s v="Cloud Engineer"/>
    <n v="15.9"/>
    <n v="-2"/>
    <x v="40"/>
    <n v="8.6"/>
    <n v="6.1"/>
    <n v="6.2"/>
    <s v="Stable"/>
  </r>
  <r>
    <s v="T2738"/>
    <x v="4"/>
    <x v="0"/>
    <x v="3"/>
    <x v="1"/>
    <s v="Feb"/>
    <x v="1"/>
    <x v="2354"/>
    <n v="15.2"/>
    <x v="1"/>
    <n v="8.6"/>
    <x v="44"/>
    <n v="3500"/>
    <x v="1"/>
    <n v="73.5"/>
    <s v="ML Engineer"/>
    <n v="34.1"/>
    <n v="33.700000000000003"/>
    <x v="428"/>
    <n v="5.8"/>
    <n v="7.2"/>
    <n v="6.5"/>
    <s v="Stable"/>
  </r>
  <r>
    <s v="T2739"/>
    <x v="1"/>
    <x v="1"/>
    <x v="3"/>
    <x v="1"/>
    <s v="Jun"/>
    <x v="0"/>
    <x v="1423"/>
    <n v="5.3"/>
    <x v="1"/>
    <n v="2.2999999999999998"/>
    <x v="89"/>
    <n v="1214"/>
    <x v="1"/>
    <n v="71.400000000000006"/>
    <s v="Data Scientist"/>
    <n v="56.6"/>
    <n v="23.2"/>
    <x v="367"/>
    <n v="2"/>
    <n v="8.5"/>
    <n v="7.2"/>
    <s v="Bull Market"/>
  </r>
  <r>
    <s v="T2740"/>
    <x v="2"/>
    <x v="5"/>
    <x v="2"/>
    <x v="0"/>
    <s v="Apr"/>
    <x v="1"/>
    <x v="2355"/>
    <n v="6.5"/>
    <x v="1"/>
    <n v="1.8"/>
    <x v="55"/>
    <n v="3091"/>
    <x v="1"/>
    <n v="26.1"/>
    <s v="Cybersecurity Analyst"/>
    <n v="37.6"/>
    <n v="41.2"/>
    <x v="434"/>
    <n v="1.1000000000000001"/>
    <n v="9.1"/>
    <n v="7.9"/>
    <s v="Bull Market"/>
  </r>
  <r>
    <s v="T2741"/>
    <x v="2"/>
    <x v="1"/>
    <x v="3"/>
    <x v="2"/>
    <s v="Feb"/>
    <x v="0"/>
    <x v="2356"/>
    <n v="17.8"/>
    <x v="1"/>
    <n v="8.6"/>
    <x v="5"/>
    <n v="3289"/>
    <x v="1"/>
    <n v="32.4"/>
    <s v="ML Engineer"/>
    <n v="-40.4"/>
    <n v="18.5"/>
    <x v="423"/>
    <n v="5.3"/>
    <n v="7.9"/>
    <n v="5.2"/>
    <s v="Stable"/>
  </r>
  <r>
    <s v="T2742"/>
    <x v="13"/>
    <x v="5"/>
    <x v="3"/>
    <x v="0"/>
    <s v="Nov"/>
    <x v="1"/>
    <x v="2357"/>
    <n v="2.5"/>
    <x v="0"/>
    <n v="10.199999999999999"/>
    <x v="30"/>
    <n v="3367"/>
    <x v="0"/>
    <n v="42.6"/>
    <s v="Software Engineer"/>
    <n v="40.1"/>
    <n v="52.3"/>
    <x v="286"/>
    <n v="9.1999999999999993"/>
    <n v="9.1999999999999993"/>
    <n v="7.7"/>
    <s v="Bull Market"/>
  </r>
  <r>
    <s v="T2743"/>
    <x v="14"/>
    <x v="1"/>
    <x v="1"/>
    <x v="2"/>
    <s v="Sep"/>
    <x v="1"/>
    <x v="2358"/>
    <n v="9.1999999999999993"/>
    <x v="4"/>
    <n v="12.1"/>
    <x v="5"/>
    <n v="3857"/>
    <x v="0"/>
    <n v="66.099999999999994"/>
    <s v="Data Scientist"/>
    <n v="0.5"/>
    <n v="1"/>
    <x v="135"/>
    <n v="9.1"/>
    <n v="5.0999999999999996"/>
    <n v="5.4"/>
    <s v="Stable"/>
  </r>
  <r>
    <s v="T2744"/>
    <x v="11"/>
    <x v="6"/>
    <x v="4"/>
    <x v="1"/>
    <s v="Feb"/>
    <x v="2"/>
    <x v="2359"/>
    <n v="5.2"/>
    <x v="2"/>
    <n v="1.6"/>
    <x v="77"/>
    <n v="3775"/>
    <x v="1"/>
    <n v="20.2"/>
    <s v="Product Manager"/>
    <n v="74.099999999999994"/>
    <n v="46.2"/>
    <x v="368"/>
    <n v="1.9"/>
    <n v="7.5"/>
    <n v="8.6"/>
    <s v="Bull Market"/>
  </r>
  <r>
    <s v="T2745"/>
    <x v="1"/>
    <x v="0"/>
    <x v="2"/>
    <x v="3"/>
    <s v="Jan"/>
    <x v="0"/>
    <x v="2360"/>
    <n v="26.3"/>
    <x v="1"/>
    <n v="7.8"/>
    <x v="27"/>
    <n v="3734"/>
    <x v="1"/>
    <n v="54.3"/>
    <s v="Data Scientist"/>
    <n v="-9.4"/>
    <n v="-21.1"/>
    <x v="20"/>
    <n v="6.1"/>
    <n v="2.2999999999999998"/>
    <n v="4"/>
    <s v="Recession"/>
  </r>
  <r>
    <s v="T2746"/>
    <x v="12"/>
    <x v="0"/>
    <x v="1"/>
    <x v="2"/>
    <s v="Apr"/>
    <x v="2"/>
    <x v="303"/>
    <n v="7.9"/>
    <x v="3"/>
    <n v="2.2000000000000002"/>
    <x v="78"/>
    <n v="2555"/>
    <x v="1"/>
    <n v="33.700000000000003"/>
    <s v="ML Engineer"/>
    <n v="-1.3"/>
    <n v="44.1"/>
    <x v="200"/>
    <n v="3.1"/>
    <n v="9.4"/>
    <n v="6.9"/>
    <s v="Bull Market"/>
  </r>
  <r>
    <s v="T2747"/>
    <x v="7"/>
    <x v="4"/>
    <x v="1"/>
    <x v="3"/>
    <s v="Jul"/>
    <x v="1"/>
    <x v="2361"/>
    <n v="7.5"/>
    <x v="0"/>
    <n v="2.1"/>
    <x v="80"/>
    <n v="5937"/>
    <x v="0"/>
    <n v="52.7"/>
    <s v="Cloud Engineer"/>
    <n v="75.400000000000006"/>
    <n v="-4.2"/>
    <x v="451"/>
    <n v="2.2000000000000002"/>
    <n v="6.2"/>
    <n v="6.5"/>
    <s v="Stable"/>
  </r>
  <r>
    <s v="T2748"/>
    <x v="0"/>
    <x v="1"/>
    <x v="0"/>
    <x v="3"/>
    <s v="Jun"/>
    <x v="1"/>
    <x v="2362"/>
    <n v="5.5"/>
    <x v="3"/>
    <n v="1.1000000000000001"/>
    <x v="77"/>
    <n v="1988"/>
    <x v="1"/>
    <n v="10"/>
    <s v="DevOps Engineer"/>
    <n v="-42.7"/>
    <n v="22.7"/>
    <x v="274"/>
    <n v="1.2"/>
    <n v="6.7"/>
    <n v="7.6"/>
    <s v="Bull Market"/>
  </r>
  <r>
    <s v="T2749"/>
    <x v="8"/>
    <x v="6"/>
    <x v="0"/>
    <x v="0"/>
    <s v="Dec"/>
    <x v="1"/>
    <x v="2363"/>
    <n v="15.4"/>
    <x v="1"/>
    <n v="5.8"/>
    <x v="5"/>
    <n v="1864"/>
    <x v="1"/>
    <n v="20.7"/>
    <s v="ML Engineer"/>
    <n v="25.6"/>
    <n v="47"/>
    <x v="280"/>
    <n v="3.9"/>
    <n v="6.6"/>
    <n v="6.3"/>
    <s v="Recession"/>
  </r>
  <r>
    <s v="T2750"/>
    <x v="0"/>
    <x v="1"/>
    <x v="0"/>
    <x v="1"/>
    <s v="Mar"/>
    <x v="2"/>
    <x v="2364"/>
    <n v="17.7"/>
    <x v="2"/>
    <n v="8"/>
    <x v="15"/>
    <n v="3424"/>
    <x v="1"/>
    <n v="52.3"/>
    <s v="Cloud Engineer"/>
    <n v="3.9"/>
    <n v="51.5"/>
    <x v="180"/>
    <n v="5.6"/>
    <n v="7"/>
    <n v="6"/>
    <s v="Stable"/>
  </r>
  <r>
    <s v="T2751"/>
    <x v="1"/>
    <x v="6"/>
    <x v="1"/>
    <x v="0"/>
    <s v="Feb"/>
    <x v="0"/>
    <x v="1642"/>
    <n v="10.6"/>
    <x v="2"/>
    <n v="5.5"/>
    <x v="5"/>
    <n v="272"/>
    <x v="1"/>
    <n v="75.900000000000006"/>
    <s v="Frontend Developer"/>
    <n v="77"/>
    <n v="-19.600000000000001"/>
    <x v="115"/>
    <n v="6.4"/>
    <n v="3.6"/>
    <n v="4.0999999999999996"/>
    <s v="Recession"/>
  </r>
  <r>
    <s v="T2752"/>
    <x v="1"/>
    <x v="0"/>
    <x v="2"/>
    <x v="3"/>
    <s v="Jul"/>
    <x v="0"/>
    <x v="1521"/>
    <n v="8.9"/>
    <x v="2"/>
    <n v="5.2"/>
    <x v="4"/>
    <n v="3928"/>
    <x v="1"/>
    <n v="70.2"/>
    <s v="ML Engineer"/>
    <n v="24.3"/>
    <n v="-16.899999999999999"/>
    <x v="101"/>
    <n v="4"/>
    <n v="6.5"/>
    <n v="5.7"/>
    <s v="Stable"/>
  </r>
  <r>
    <s v="T2753"/>
    <x v="13"/>
    <x v="5"/>
    <x v="3"/>
    <x v="2"/>
    <s v="Nov"/>
    <x v="0"/>
    <x v="2365"/>
    <n v="15.3"/>
    <x v="4"/>
    <n v="3.7"/>
    <x v="66"/>
    <n v="5046"/>
    <x v="0"/>
    <n v="72.599999999999994"/>
    <s v="Data Scientist"/>
    <n v="-37.200000000000003"/>
    <n v="-12.6"/>
    <x v="57"/>
    <n v="3.8"/>
    <n v="5.0999999999999996"/>
    <n v="4.9000000000000004"/>
    <s v="Stable"/>
  </r>
  <r>
    <s v="T2754"/>
    <x v="0"/>
    <x v="1"/>
    <x v="4"/>
    <x v="0"/>
    <s v="Feb"/>
    <x v="1"/>
    <x v="1554"/>
    <n v="16.8"/>
    <x v="1"/>
    <n v="2.4"/>
    <x v="58"/>
    <n v="3616"/>
    <x v="1"/>
    <n v="17.7"/>
    <s v="ML Engineer"/>
    <n v="36.700000000000003"/>
    <n v="40.5"/>
    <x v="49"/>
    <n v="1.4"/>
    <n v="7.6"/>
    <n v="7.3"/>
    <s v="Stable"/>
  </r>
  <r>
    <s v="T2755"/>
    <x v="14"/>
    <x v="1"/>
    <x v="5"/>
    <x v="1"/>
    <s v="Apr"/>
    <x v="0"/>
    <x v="294"/>
    <n v="8.4"/>
    <x v="0"/>
    <n v="15.5"/>
    <x v="5"/>
    <n v="4854"/>
    <x v="0"/>
    <n v="32.6"/>
    <s v="Frontend Developer"/>
    <n v="37.1"/>
    <n v="53"/>
    <x v="495"/>
    <n v="9.4"/>
    <n v="8.1999999999999993"/>
    <n v="7.6"/>
    <s v="Stable"/>
  </r>
  <r>
    <s v="T2756"/>
    <x v="0"/>
    <x v="5"/>
    <x v="4"/>
    <x v="3"/>
    <s v="Aug"/>
    <x v="1"/>
    <x v="2366"/>
    <n v="26.6"/>
    <x v="3"/>
    <n v="12.6"/>
    <x v="26"/>
    <n v="1570"/>
    <x v="1"/>
    <n v="30.3"/>
    <s v="ML Engineer"/>
    <n v="-27.7"/>
    <n v="-8.6"/>
    <x v="369"/>
    <n v="7.5"/>
    <n v="4.4000000000000004"/>
    <n v="3.3"/>
    <s v="Recession"/>
  </r>
  <r>
    <s v="T2757"/>
    <x v="15"/>
    <x v="2"/>
    <x v="2"/>
    <x v="1"/>
    <s v="Apr"/>
    <x v="1"/>
    <x v="2367"/>
    <n v="2.9"/>
    <x v="2"/>
    <n v="12.5"/>
    <x v="5"/>
    <n v="4030"/>
    <x v="3"/>
    <n v="43.6"/>
    <s v="Cloud Engineer"/>
    <n v="-11.7"/>
    <n v="-17.399999999999999"/>
    <x v="247"/>
    <n v="8.3000000000000007"/>
    <n v="6.7"/>
    <n v="5.8"/>
    <s v="Stable"/>
  </r>
  <r>
    <s v="T2758"/>
    <x v="1"/>
    <x v="4"/>
    <x v="3"/>
    <x v="3"/>
    <s v="Aug"/>
    <x v="1"/>
    <x v="2368"/>
    <n v="34.5"/>
    <x v="3"/>
    <n v="2"/>
    <x v="5"/>
    <n v="1608"/>
    <x v="2"/>
    <n v="14.7"/>
    <s v="Data Scientist"/>
    <n v="-44.4"/>
    <n v="34.299999999999997"/>
    <x v="27"/>
    <n v="2.1"/>
    <n v="3.4"/>
    <n v="3.6"/>
    <s v="Recession"/>
  </r>
  <r>
    <s v="T2759"/>
    <x v="13"/>
    <x v="5"/>
    <x v="5"/>
    <x v="0"/>
    <s v="May"/>
    <x v="0"/>
    <x v="2369"/>
    <n v="7.9"/>
    <x v="2"/>
    <n v="7.8"/>
    <x v="75"/>
    <n v="1990"/>
    <x v="1"/>
    <n v="31.5"/>
    <s v="ML Engineer"/>
    <n v="35.700000000000003"/>
    <n v="45"/>
    <x v="449"/>
    <n v="8.6"/>
    <n v="6.8"/>
    <n v="7.2"/>
    <s v="Stable"/>
  </r>
  <r>
    <s v="T2760"/>
    <x v="2"/>
    <x v="5"/>
    <x v="5"/>
    <x v="0"/>
    <s v="Jul"/>
    <x v="1"/>
    <x v="2370"/>
    <n v="8.6999999999999993"/>
    <x v="3"/>
    <n v="5"/>
    <x v="35"/>
    <n v="254"/>
    <x v="1"/>
    <n v="75.400000000000006"/>
    <s v="Frontend Developer"/>
    <n v="1.8"/>
    <n v="-12.1"/>
    <x v="278"/>
    <n v="6.6"/>
    <n v="6.8"/>
    <n v="5.0999999999999996"/>
    <s v="Stable"/>
  </r>
  <r>
    <s v="T2761"/>
    <x v="0"/>
    <x v="1"/>
    <x v="5"/>
    <x v="0"/>
    <s v="Jul"/>
    <x v="2"/>
    <x v="289"/>
    <n v="2.4"/>
    <x v="0"/>
    <n v="3.4"/>
    <x v="29"/>
    <n v="4673"/>
    <x v="0"/>
    <n v="38"/>
    <s v="Software Engineer"/>
    <n v="76.900000000000006"/>
    <n v="21.6"/>
    <x v="5"/>
    <n v="4.4000000000000004"/>
    <n v="9.4"/>
    <n v="7.6"/>
    <s v="Bull Market"/>
  </r>
  <r>
    <s v="T2762"/>
    <x v="6"/>
    <x v="2"/>
    <x v="4"/>
    <x v="0"/>
    <s v="Dec"/>
    <x v="0"/>
    <x v="2371"/>
    <n v="5.7"/>
    <x v="0"/>
    <n v="11.6"/>
    <x v="5"/>
    <n v="2671"/>
    <x v="0"/>
    <n v="53.6"/>
    <s v="Data Scientist"/>
    <n v="-27.1"/>
    <n v="-1.3"/>
    <x v="240"/>
    <n v="8"/>
    <n v="6.9"/>
    <n v="6.1"/>
    <s v="Stable"/>
  </r>
  <r>
    <s v="T2763"/>
    <x v="1"/>
    <x v="6"/>
    <x v="2"/>
    <x v="3"/>
    <s v="Apr"/>
    <x v="0"/>
    <x v="2372"/>
    <n v="8.5"/>
    <x v="4"/>
    <n v="5.6"/>
    <x v="78"/>
    <n v="902"/>
    <x v="1"/>
    <n v="78.400000000000006"/>
    <s v="DevOps Engineer"/>
    <n v="66.2"/>
    <n v="26.8"/>
    <x v="289"/>
    <n v="4.2"/>
    <n v="6.5"/>
    <n v="6.9"/>
    <s v="Stable"/>
  </r>
  <r>
    <s v="T2764"/>
    <x v="0"/>
    <x v="0"/>
    <x v="5"/>
    <x v="3"/>
    <s v="Nov"/>
    <x v="1"/>
    <x v="2373"/>
    <n v="22.6"/>
    <x v="1"/>
    <n v="9.6999999999999993"/>
    <x v="5"/>
    <n v="4810"/>
    <x v="0"/>
    <n v="89.6"/>
    <s v="Data Scientist"/>
    <n v="40.4"/>
    <n v="0"/>
    <x v="354"/>
    <n v="7.8"/>
    <n v="5.7"/>
    <n v="3.2"/>
    <s v="Recession"/>
  </r>
  <r>
    <s v="T2765"/>
    <x v="17"/>
    <x v="0"/>
    <x v="4"/>
    <x v="2"/>
    <s v="Dec"/>
    <x v="1"/>
    <x v="2374"/>
    <n v="11.4"/>
    <x v="1"/>
    <n v="8.6"/>
    <x v="69"/>
    <n v="5188"/>
    <x v="0"/>
    <n v="67.599999999999994"/>
    <s v="Data Scientist"/>
    <n v="81.5"/>
    <n v="47.8"/>
    <x v="392"/>
    <n v="9.6999999999999993"/>
    <n v="7"/>
    <n v="5.4"/>
    <s v="Stable"/>
  </r>
  <r>
    <s v="T2766"/>
    <x v="16"/>
    <x v="2"/>
    <x v="4"/>
    <x v="0"/>
    <s v="Nov"/>
    <x v="2"/>
    <x v="2375"/>
    <n v="17.3"/>
    <x v="0"/>
    <n v="6"/>
    <x v="51"/>
    <n v="4912"/>
    <x v="1"/>
    <n v="87.7"/>
    <s v="Frontend Developer"/>
    <n v="-26.2"/>
    <n v="-22.8"/>
    <x v="509"/>
    <n v="6.3"/>
    <n v="3.9"/>
    <n v="4.5"/>
    <s v="Stable"/>
  </r>
  <r>
    <s v="T2767"/>
    <x v="8"/>
    <x v="6"/>
    <x v="2"/>
    <x v="0"/>
    <s v="Apr"/>
    <x v="1"/>
    <x v="2376"/>
    <n v="1.9"/>
    <x v="2"/>
    <n v="6.3"/>
    <x v="2"/>
    <n v="5832"/>
    <x v="3"/>
    <n v="42"/>
    <s v="Cloud Engineer"/>
    <n v="85.2"/>
    <n v="-0.4"/>
    <x v="105"/>
    <n v="5"/>
    <n v="8.8000000000000007"/>
    <n v="6.3"/>
    <s v="Bull Market"/>
  </r>
  <r>
    <s v="T2768"/>
    <x v="11"/>
    <x v="6"/>
    <x v="4"/>
    <x v="2"/>
    <s v="Dec"/>
    <x v="2"/>
    <x v="2377"/>
    <n v="12.6"/>
    <x v="1"/>
    <n v="10.4"/>
    <x v="11"/>
    <n v="3933"/>
    <x v="0"/>
    <n v="23"/>
    <s v="Frontend Developer"/>
    <n v="46.1"/>
    <n v="17.399999999999999"/>
    <x v="300"/>
    <n v="8.4"/>
    <n v="6.7"/>
    <n v="5.0999999999999996"/>
    <s v="Stable"/>
  </r>
  <r>
    <s v="T2769"/>
    <x v="6"/>
    <x v="2"/>
    <x v="2"/>
    <x v="2"/>
    <s v="Aug"/>
    <x v="1"/>
    <x v="2267"/>
    <n v="12.5"/>
    <x v="4"/>
    <n v="1.5"/>
    <x v="47"/>
    <n v="1404"/>
    <x v="1"/>
    <n v="61.2"/>
    <s v="Software Engineer"/>
    <n v="67.7"/>
    <n v="33.4"/>
    <x v="125"/>
    <n v="2"/>
    <n v="6.9"/>
    <n v="7.7"/>
    <s v="Recession"/>
  </r>
  <r>
    <s v="T2770"/>
    <x v="2"/>
    <x v="3"/>
    <x v="1"/>
    <x v="3"/>
    <s v="Sep"/>
    <x v="2"/>
    <x v="2378"/>
    <n v="8.1999999999999993"/>
    <x v="4"/>
    <n v="14.2"/>
    <x v="5"/>
    <n v="428"/>
    <x v="0"/>
    <n v="75.8"/>
    <s v="DevOps Engineer"/>
    <n v="-40.799999999999997"/>
    <n v="-11.4"/>
    <x v="146"/>
    <n v="9.1"/>
    <n v="6.3"/>
    <n v="4.0999999999999996"/>
    <s v="Bull Market"/>
  </r>
  <r>
    <s v="T2771"/>
    <x v="8"/>
    <x v="6"/>
    <x v="0"/>
    <x v="3"/>
    <s v="Aug"/>
    <x v="1"/>
    <x v="2379"/>
    <n v="2.2000000000000002"/>
    <x v="0"/>
    <n v="10.199999999999999"/>
    <x v="49"/>
    <n v="1787"/>
    <x v="0"/>
    <n v="36.200000000000003"/>
    <s v="Data Scientist"/>
    <n v="-39.200000000000003"/>
    <n v="58.8"/>
    <x v="306"/>
    <n v="8.4"/>
    <n v="6.8"/>
    <n v="8"/>
    <s v="Stable"/>
  </r>
  <r>
    <s v="T2772"/>
    <x v="16"/>
    <x v="2"/>
    <x v="4"/>
    <x v="1"/>
    <s v="Feb"/>
    <x v="2"/>
    <x v="2380"/>
    <n v="3.7"/>
    <x v="4"/>
    <n v="8"/>
    <x v="60"/>
    <n v="1707"/>
    <x v="1"/>
    <n v="71.099999999999994"/>
    <s v="Product Manager"/>
    <n v="29.2"/>
    <n v="16.5"/>
    <x v="94"/>
    <n v="8.8000000000000007"/>
    <n v="8.8000000000000007"/>
    <n v="6.4"/>
    <s v="Bull Market"/>
  </r>
  <r>
    <s v="T2773"/>
    <x v="7"/>
    <x v="4"/>
    <x v="0"/>
    <x v="3"/>
    <s v="Nov"/>
    <x v="0"/>
    <x v="1100"/>
    <n v="4.8"/>
    <x v="0"/>
    <n v="8.1999999999999993"/>
    <x v="67"/>
    <n v="903"/>
    <x v="0"/>
    <n v="86.1"/>
    <s v="ML Engineer"/>
    <n v="89.7"/>
    <n v="-19.7"/>
    <x v="418"/>
    <n v="9.6"/>
    <n v="7.9"/>
    <n v="5.2"/>
    <s v="Bull Market"/>
  </r>
  <r>
    <s v="T2774"/>
    <x v="2"/>
    <x v="0"/>
    <x v="5"/>
    <x v="0"/>
    <s v="Jan"/>
    <x v="0"/>
    <x v="2381"/>
    <n v="17.5"/>
    <x v="1"/>
    <n v="11.1"/>
    <x v="5"/>
    <n v="9074"/>
    <x v="3"/>
    <n v="23.2"/>
    <s v="Data Scientist"/>
    <n v="60.2"/>
    <n v="42.3"/>
    <x v="310"/>
    <n v="9.9"/>
    <n v="7.7"/>
    <n v="5.3"/>
    <s v="Recession"/>
  </r>
  <r>
    <s v="T2775"/>
    <x v="9"/>
    <x v="0"/>
    <x v="4"/>
    <x v="1"/>
    <s v="Jul"/>
    <x v="1"/>
    <x v="2382"/>
    <n v="8.1"/>
    <x v="0"/>
    <n v="9.6999999999999993"/>
    <x v="5"/>
    <n v="9597"/>
    <x v="0"/>
    <n v="27.8"/>
    <s v="Data Scientist"/>
    <n v="-9"/>
    <n v="-14.9"/>
    <x v="78"/>
    <n v="7.5"/>
    <n v="5.4"/>
    <n v="4.7"/>
    <s v="Stable"/>
  </r>
  <r>
    <s v="T2776"/>
    <x v="5"/>
    <x v="3"/>
    <x v="5"/>
    <x v="0"/>
    <s v="Sep"/>
    <x v="1"/>
    <x v="2383"/>
    <n v="15.6"/>
    <x v="2"/>
    <n v="5.9"/>
    <x v="5"/>
    <n v="767"/>
    <x v="1"/>
    <n v="89.8"/>
    <s v="Frontend Developer"/>
    <n v="79.7"/>
    <n v="29.2"/>
    <x v="232"/>
    <n v="6.9"/>
    <n v="7.1"/>
    <n v="6"/>
    <s v="Recession"/>
  </r>
  <r>
    <s v="T2777"/>
    <x v="6"/>
    <x v="2"/>
    <x v="3"/>
    <x v="3"/>
    <s v="Feb"/>
    <x v="2"/>
    <x v="526"/>
    <n v="16.8"/>
    <x v="0"/>
    <n v="4.9000000000000004"/>
    <x v="5"/>
    <n v="932"/>
    <x v="1"/>
    <n v="89"/>
    <s v="Data Scientist"/>
    <n v="39.6"/>
    <n v="26.3"/>
    <x v="218"/>
    <n v="8"/>
    <n v="7.7"/>
    <n v="5"/>
    <s v="Stable"/>
  </r>
  <r>
    <s v="T2778"/>
    <x v="10"/>
    <x v="3"/>
    <x v="1"/>
    <x v="0"/>
    <s v="Dec"/>
    <x v="0"/>
    <x v="1626"/>
    <n v="3.3"/>
    <x v="0"/>
    <n v="5.7"/>
    <x v="32"/>
    <n v="3894"/>
    <x v="0"/>
    <n v="86.1"/>
    <s v="DevOps Engineer"/>
    <n v="71.2"/>
    <n v="18.399999999999999"/>
    <x v="85"/>
    <n v="5.6"/>
    <n v="6.2"/>
    <n v="6.4"/>
    <s v="Bull Market"/>
  </r>
  <r>
    <s v="T2779"/>
    <x v="4"/>
    <x v="0"/>
    <x v="1"/>
    <x v="0"/>
    <s v="May"/>
    <x v="1"/>
    <x v="2384"/>
    <n v="2.2999999999999998"/>
    <x v="2"/>
    <n v="3.7"/>
    <x v="71"/>
    <n v="8415"/>
    <x v="0"/>
    <n v="52.5"/>
    <s v="Data Scientist"/>
    <n v="34.700000000000003"/>
    <n v="40.5"/>
    <x v="233"/>
    <n v="2.7"/>
    <n v="9.1"/>
    <n v="8.9"/>
    <s v="Bull Market"/>
  </r>
  <r>
    <s v="T2780"/>
    <x v="19"/>
    <x v="0"/>
    <x v="2"/>
    <x v="2"/>
    <s v="Aug"/>
    <x v="0"/>
    <x v="263"/>
    <n v="5.2"/>
    <x v="3"/>
    <n v="13.2"/>
    <x v="5"/>
    <n v="8754"/>
    <x v="3"/>
    <n v="55.1"/>
    <s v="ML Engineer"/>
    <n v="-8.8000000000000007"/>
    <n v="47.3"/>
    <x v="251"/>
    <n v="9.4"/>
    <n v="8.3000000000000007"/>
    <n v="7.7"/>
    <s v="Bull Market"/>
  </r>
  <r>
    <s v="T2781"/>
    <x v="16"/>
    <x v="2"/>
    <x v="2"/>
    <x v="0"/>
    <s v="Feb"/>
    <x v="0"/>
    <x v="1367"/>
    <n v="15.4"/>
    <x v="1"/>
    <n v="5"/>
    <x v="5"/>
    <n v="139"/>
    <x v="1"/>
    <n v="10.1"/>
    <s v="Product Manager"/>
    <n v="-29.1"/>
    <n v="18.899999999999999"/>
    <x v="401"/>
    <n v="5.0999999999999996"/>
    <n v="5.9"/>
    <n v="4.0999999999999996"/>
    <s v="Recession"/>
  </r>
  <r>
    <s v="T2782"/>
    <x v="0"/>
    <x v="1"/>
    <x v="4"/>
    <x v="0"/>
    <s v="Dec"/>
    <x v="1"/>
    <x v="2385"/>
    <n v="1.5"/>
    <x v="2"/>
    <n v="2.8"/>
    <x v="16"/>
    <n v="2158"/>
    <x v="0"/>
    <n v="77.900000000000006"/>
    <s v="Frontend Developer"/>
    <n v="87.6"/>
    <n v="58"/>
    <x v="516"/>
    <n v="4.7"/>
    <n v="9.1999999999999993"/>
    <n v="7.2"/>
    <s v="Bull Market"/>
  </r>
  <r>
    <s v="T2783"/>
    <x v="8"/>
    <x v="4"/>
    <x v="1"/>
    <x v="2"/>
    <s v="Jan"/>
    <x v="1"/>
    <x v="1580"/>
    <n v="5.9"/>
    <x v="1"/>
    <n v="13.3"/>
    <x v="5"/>
    <n v="869"/>
    <x v="0"/>
    <n v="24.6"/>
    <s v="Product Manager"/>
    <n v="-1.2"/>
    <n v="-5.6"/>
    <x v="322"/>
    <n v="9.5"/>
    <n v="6.2"/>
    <n v="4.8"/>
    <s v="Bull Market"/>
  </r>
  <r>
    <s v="T2784"/>
    <x v="17"/>
    <x v="0"/>
    <x v="1"/>
    <x v="2"/>
    <s v="Jul"/>
    <x v="1"/>
    <x v="2386"/>
    <n v="20.100000000000001"/>
    <x v="1"/>
    <n v="7.2"/>
    <x v="5"/>
    <n v="5389"/>
    <x v="1"/>
    <n v="26.4"/>
    <s v="ML Engineer"/>
    <n v="76.400000000000006"/>
    <n v="23.8"/>
    <x v="333"/>
    <n v="9.1"/>
    <n v="6.4"/>
    <n v="4.2"/>
    <s v="Recession"/>
  </r>
  <r>
    <s v="T2785"/>
    <x v="12"/>
    <x v="5"/>
    <x v="4"/>
    <x v="2"/>
    <s v="Jan"/>
    <x v="0"/>
    <x v="2387"/>
    <n v="5.0999999999999996"/>
    <x v="1"/>
    <n v="7"/>
    <x v="38"/>
    <n v="5677"/>
    <x v="0"/>
    <n v="13.9"/>
    <s v="ML Engineer"/>
    <n v="42.1"/>
    <n v="41.3"/>
    <x v="25"/>
    <n v="7.1"/>
    <n v="7.6"/>
    <n v="7.5"/>
    <s v="Stable"/>
  </r>
  <r>
    <s v="T2786"/>
    <x v="17"/>
    <x v="0"/>
    <x v="4"/>
    <x v="3"/>
    <s v="Mar"/>
    <x v="0"/>
    <x v="2388"/>
    <n v="8.4"/>
    <x v="3"/>
    <n v="6"/>
    <x v="26"/>
    <n v="8545"/>
    <x v="3"/>
    <n v="74.5"/>
    <s v="ML Engineer"/>
    <n v="42.2"/>
    <n v="23.2"/>
    <x v="357"/>
    <n v="8.9"/>
    <n v="8.1"/>
    <n v="6.8"/>
    <s v="Recession"/>
  </r>
  <r>
    <s v="T2787"/>
    <x v="1"/>
    <x v="4"/>
    <x v="0"/>
    <x v="0"/>
    <s v="Oct"/>
    <x v="2"/>
    <x v="932"/>
    <n v="14"/>
    <x v="2"/>
    <n v="8.5"/>
    <x v="5"/>
    <n v="3686"/>
    <x v="0"/>
    <n v="88.9"/>
    <s v="DevOps Engineer"/>
    <n v="79.900000000000006"/>
    <n v="33"/>
    <x v="318"/>
    <n v="8.4"/>
    <n v="6.8"/>
    <n v="4.7"/>
    <s v="Stable"/>
  </r>
  <r>
    <s v="T2788"/>
    <x v="8"/>
    <x v="6"/>
    <x v="2"/>
    <x v="0"/>
    <s v="Aug"/>
    <x v="1"/>
    <x v="1682"/>
    <n v="13.5"/>
    <x v="3"/>
    <n v="7.3"/>
    <x v="5"/>
    <n v="3362"/>
    <x v="1"/>
    <n v="71.900000000000006"/>
    <s v="Cloud Engineer"/>
    <n v="82.3"/>
    <n v="2.7"/>
    <x v="79"/>
    <n v="5.2"/>
    <n v="6.9"/>
    <n v="4.2"/>
    <s v="Stable"/>
  </r>
  <r>
    <s v="T2789"/>
    <x v="4"/>
    <x v="1"/>
    <x v="1"/>
    <x v="0"/>
    <s v="May"/>
    <x v="1"/>
    <x v="2389"/>
    <n v="7.1"/>
    <x v="4"/>
    <n v="11.1"/>
    <x v="5"/>
    <n v="366"/>
    <x v="1"/>
    <n v="20.2"/>
    <s v="Product Manager"/>
    <n v="11.6"/>
    <n v="30.9"/>
    <x v="205"/>
    <n v="8.3000000000000007"/>
    <n v="5.8"/>
    <n v="6.5"/>
    <s v="Bull Market"/>
  </r>
  <r>
    <s v="T2790"/>
    <x v="17"/>
    <x v="0"/>
    <x v="1"/>
    <x v="2"/>
    <s v="Apr"/>
    <x v="0"/>
    <x v="2390"/>
    <n v="16.8"/>
    <x v="4"/>
    <n v="5.5"/>
    <x v="9"/>
    <n v="3716"/>
    <x v="1"/>
    <n v="16"/>
    <s v="ML Engineer"/>
    <n v="28.2"/>
    <n v="33.700000000000003"/>
    <x v="391"/>
    <n v="3.3"/>
    <n v="6"/>
    <n v="6.3"/>
    <s v="Recession"/>
  </r>
  <r>
    <s v="T2791"/>
    <x v="16"/>
    <x v="2"/>
    <x v="1"/>
    <x v="1"/>
    <s v="Sep"/>
    <x v="2"/>
    <x v="2391"/>
    <n v="24.9"/>
    <x v="2"/>
    <n v="10.1"/>
    <x v="5"/>
    <n v="1867"/>
    <x v="1"/>
    <n v="84.9"/>
    <s v="Software Engineer"/>
    <n v="64.7"/>
    <n v="55.7"/>
    <x v="87"/>
    <n v="8.1999999999999993"/>
    <n v="5.3"/>
    <n v="6"/>
    <s v="Recession"/>
  </r>
  <r>
    <s v="T2792"/>
    <x v="15"/>
    <x v="2"/>
    <x v="4"/>
    <x v="1"/>
    <s v="Oct"/>
    <x v="2"/>
    <x v="1727"/>
    <n v="2.2000000000000002"/>
    <x v="4"/>
    <n v="9.6"/>
    <x v="5"/>
    <n v="5534"/>
    <x v="0"/>
    <n v="35"/>
    <s v="Cloud Engineer"/>
    <n v="44.1"/>
    <n v="23.2"/>
    <x v="180"/>
    <n v="10"/>
    <n v="8.6"/>
    <n v="5.8"/>
    <s v="Bull Market"/>
  </r>
  <r>
    <s v="T2793"/>
    <x v="4"/>
    <x v="0"/>
    <x v="3"/>
    <x v="0"/>
    <s v="Feb"/>
    <x v="1"/>
    <x v="2392"/>
    <n v="10.5"/>
    <x v="4"/>
    <n v="3.5"/>
    <x v="88"/>
    <n v="9705"/>
    <x v="0"/>
    <n v="50"/>
    <s v="Data Scientist"/>
    <n v="78.7"/>
    <n v="32.5"/>
    <x v="52"/>
    <n v="2.8"/>
    <n v="5.4"/>
    <n v="7.8"/>
    <s v="Stable"/>
  </r>
  <r>
    <s v="T2794"/>
    <x v="2"/>
    <x v="0"/>
    <x v="5"/>
    <x v="3"/>
    <s v="Sep"/>
    <x v="0"/>
    <x v="2393"/>
    <n v="15.5"/>
    <x v="2"/>
    <n v="6"/>
    <x v="5"/>
    <n v="3080"/>
    <x v="0"/>
    <n v="35.6"/>
    <s v="Data Scientist"/>
    <n v="-16.899999999999999"/>
    <n v="-13.5"/>
    <x v="167"/>
    <n v="4.5"/>
    <n v="4.0999999999999996"/>
    <n v="3.6"/>
    <s v="Recession"/>
  </r>
  <r>
    <s v="T2795"/>
    <x v="8"/>
    <x v="6"/>
    <x v="2"/>
    <x v="2"/>
    <s v="Oct"/>
    <x v="1"/>
    <x v="676"/>
    <n v="13.9"/>
    <x v="1"/>
    <n v="6.2"/>
    <x v="14"/>
    <n v="5225"/>
    <x v="0"/>
    <n v="27.2"/>
    <s v="Product Manager"/>
    <n v="50.8"/>
    <n v="53.4"/>
    <x v="398"/>
    <n v="4.3"/>
    <n v="7.1"/>
    <n v="5.8"/>
    <s v="Stable"/>
  </r>
  <r>
    <s v="T2796"/>
    <x v="0"/>
    <x v="5"/>
    <x v="1"/>
    <x v="3"/>
    <s v="Oct"/>
    <x v="2"/>
    <x v="984"/>
    <n v="3.3"/>
    <x v="2"/>
    <n v="9"/>
    <x v="7"/>
    <n v="5320"/>
    <x v="0"/>
    <n v="14.8"/>
    <s v="ML Engineer"/>
    <n v="-2.2000000000000002"/>
    <n v="26.3"/>
    <x v="370"/>
    <n v="8.6"/>
    <n v="5.7"/>
    <n v="7.8"/>
    <s v="Bull Market"/>
  </r>
  <r>
    <s v="T2797"/>
    <x v="0"/>
    <x v="2"/>
    <x v="3"/>
    <x v="0"/>
    <s v="Sep"/>
    <x v="0"/>
    <x v="390"/>
    <n v="2.9"/>
    <x v="1"/>
    <n v="5.6"/>
    <x v="58"/>
    <n v="1775"/>
    <x v="1"/>
    <n v="28.4"/>
    <s v="ML Engineer"/>
    <n v="-18.5"/>
    <n v="-5.3"/>
    <x v="144"/>
    <n v="3.4"/>
    <n v="4.9000000000000004"/>
    <n v="6.7"/>
    <s v="Bull Market"/>
  </r>
  <r>
    <s v="T2798"/>
    <x v="12"/>
    <x v="0"/>
    <x v="1"/>
    <x v="3"/>
    <s v="Mar"/>
    <x v="0"/>
    <x v="2394"/>
    <n v="9.6"/>
    <x v="0"/>
    <n v="6.3"/>
    <x v="31"/>
    <n v="1044"/>
    <x v="1"/>
    <n v="37.6"/>
    <s v="Data Scientist"/>
    <n v="56.3"/>
    <n v="-1.4"/>
    <x v="363"/>
    <n v="6.5"/>
    <n v="4.9000000000000004"/>
    <n v="6.6"/>
    <s v="Stable"/>
  </r>
  <r>
    <s v="T2799"/>
    <x v="1"/>
    <x v="1"/>
    <x v="0"/>
    <x v="0"/>
    <s v="May"/>
    <x v="1"/>
    <x v="2395"/>
    <n v="2.8"/>
    <x v="4"/>
    <n v="7.5"/>
    <x v="75"/>
    <n v="3741"/>
    <x v="0"/>
    <n v="13"/>
    <s v="Software Engineer"/>
    <n v="-24.3"/>
    <n v="13.3"/>
    <x v="290"/>
    <n v="8.3000000000000007"/>
    <n v="6.2"/>
    <n v="7.2"/>
    <s v="Stable"/>
  </r>
  <r>
    <s v="T2800"/>
    <x v="1"/>
    <x v="6"/>
    <x v="0"/>
    <x v="2"/>
    <s v="Aug"/>
    <x v="1"/>
    <x v="2396"/>
    <n v="18.399999999999999"/>
    <x v="4"/>
    <n v="3.1"/>
    <x v="56"/>
    <n v="1065"/>
    <x v="1"/>
    <n v="73.5"/>
    <s v="Product Manager"/>
    <n v="-16.7"/>
    <n v="42.2"/>
    <x v="75"/>
    <n v="2.9"/>
    <n v="7.7"/>
    <n v="5.4"/>
    <s v="Recession"/>
  </r>
  <r>
    <s v="T2801"/>
    <x v="2"/>
    <x v="5"/>
    <x v="4"/>
    <x v="1"/>
    <s v="Jan"/>
    <x v="2"/>
    <x v="2397"/>
    <n v="1.2"/>
    <x v="4"/>
    <n v="4.4000000000000004"/>
    <x v="6"/>
    <n v="5083"/>
    <x v="0"/>
    <n v="29.9"/>
    <s v="Frontend Developer"/>
    <n v="-1.5"/>
    <n v="7.2"/>
    <x v="232"/>
    <n v="3.5"/>
    <n v="7.9"/>
    <n v="6.4"/>
    <s v="Bull Market"/>
  </r>
  <r>
    <s v="T2802"/>
    <x v="15"/>
    <x v="2"/>
    <x v="1"/>
    <x v="3"/>
    <s v="Nov"/>
    <x v="1"/>
    <x v="2398"/>
    <n v="16.8"/>
    <x v="4"/>
    <n v="2.6"/>
    <x v="54"/>
    <n v="5990"/>
    <x v="0"/>
    <n v="41.1"/>
    <s v="DevOps Engineer"/>
    <n v="55.8"/>
    <n v="6.7"/>
    <x v="436"/>
    <n v="2"/>
    <n v="6.3"/>
    <n v="4.7"/>
    <s v="Stable"/>
  </r>
  <r>
    <s v="T2803"/>
    <x v="14"/>
    <x v="1"/>
    <x v="2"/>
    <x v="1"/>
    <s v="Mar"/>
    <x v="1"/>
    <x v="2399"/>
    <n v="9.3000000000000007"/>
    <x v="2"/>
    <n v="6.2"/>
    <x v="24"/>
    <n v="1015"/>
    <x v="1"/>
    <n v="66.7"/>
    <s v="Frontend Developer"/>
    <n v="72.8"/>
    <n v="-12.3"/>
    <x v="374"/>
    <n v="3.7"/>
    <n v="6.9"/>
    <n v="4.7"/>
    <s v="Bull Market"/>
  </r>
  <r>
    <s v="T2804"/>
    <x v="18"/>
    <x v="0"/>
    <x v="4"/>
    <x v="3"/>
    <s v="Sep"/>
    <x v="2"/>
    <x v="1293"/>
    <n v="19.600000000000001"/>
    <x v="0"/>
    <n v="4.7"/>
    <x v="27"/>
    <n v="5880"/>
    <x v="1"/>
    <n v="88.2"/>
    <s v="Data Scientist"/>
    <n v="-44.5"/>
    <n v="-21.1"/>
    <x v="385"/>
    <n v="3"/>
    <n v="5.5"/>
    <n v="3.1"/>
    <s v="Recession"/>
  </r>
  <r>
    <s v="T2805"/>
    <x v="0"/>
    <x v="5"/>
    <x v="1"/>
    <x v="0"/>
    <s v="Sep"/>
    <x v="2"/>
    <x v="2400"/>
    <n v="20.6"/>
    <x v="1"/>
    <n v="10.199999999999999"/>
    <x v="5"/>
    <n v="456"/>
    <x v="2"/>
    <n v="62.7"/>
    <s v="DevOps Engineer"/>
    <n v="-3.9"/>
    <n v="30.8"/>
    <x v="29"/>
    <n v="8.3000000000000007"/>
    <n v="5.2"/>
    <n v="4.3"/>
    <s v="Recession"/>
  </r>
  <r>
    <s v="T2806"/>
    <x v="2"/>
    <x v="2"/>
    <x v="5"/>
    <x v="3"/>
    <s v="Jul"/>
    <x v="2"/>
    <x v="2401"/>
    <n v="9.1999999999999993"/>
    <x v="1"/>
    <n v="1.3"/>
    <x v="40"/>
    <n v="4026"/>
    <x v="1"/>
    <n v="86.4"/>
    <s v="Product Manager"/>
    <n v="-15.6"/>
    <n v="20.399999999999999"/>
    <x v="308"/>
    <n v="1.4"/>
    <n v="7.5"/>
    <n v="7.5"/>
    <s v="Bull Market"/>
  </r>
  <r>
    <s v="T2807"/>
    <x v="9"/>
    <x v="1"/>
    <x v="4"/>
    <x v="2"/>
    <s v="Apr"/>
    <x v="2"/>
    <x v="2402"/>
    <n v="20.399999999999999"/>
    <x v="0"/>
    <n v="5.3"/>
    <x v="5"/>
    <n v="223"/>
    <x v="2"/>
    <n v="23.4"/>
    <s v="ML Engineer"/>
    <n v="79"/>
    <n v="50.1"/>
    <x v="200"/>
    <n v="6.4"/>
    <n v="5"/>
    <n v="5.5"/>
    <s v="Recession"/>
  </r>
  <r>
    <s v="T2808"/>
    <x v="1"/>
    <x v="6"/>
    <x v="3"/>
    <x v="1"/>
    <s v="Jun"/>
    <x v="1"/>
    <x v="2403"/>
    <n v="29"/>
    <x v="4"/>
    <n v="7.9"/>
    <x v="5"/>
    <n v="1466"/>
    <x v="2"/>
    <n v="52"/>
    <s v="Product Manager"/>
    <n v="45.2"/>
    <n v="10.1"/>
    <x v="196"/>
    <n v="8.1999999999999993"/>
    <n v="3.8"/>
    <n v="3.5"/>
    <s v="Recession"/>
  </r>
  <r>
    <s v="T2809"/>
    <x v="2"/>
    <x v="1"/>
    <x v="1"/>
    <x v="0"/>
    <s v="Dec"/>
    <x v="1"/>
    <x v="2404"/>
    <n v="37"/>
    <x v="0"/>
    <n v="3.3"/>
    <x v="15"/>
    <n v="740"/>
    <x v="2"/>
    <n v="67.099999999999994"/>
    <s v="ML Engineer"/>
    <n v="63.6"/>
    <n v="38.299999999999997"/>
    <x v="326"/>
    <n v="2.8"/>
    <n v="6.2"/>
    <n v="2.9"/>
    <s v="Recession"/>
  </r>
  <r>
    <s v="T2810"/>
    <x v="2"/>
    <x v="1"/>
    <x v="4"/>
    <x v="2"/>
    <s v="Jun"/>
    <x v="1"/>
    <x v="2405"/>
    <n v="7.6"/>
    <x v="0"/>
    <n v="9.4"/>
    <x v="51"/>
    <n v="430"/>
    <x v="1"/>
    <n v="76.599999999999994"/>
    <s v="Cloud Engineer"/>
    <n v="49.2"/>
    <n v="30.6"/>
    <x v="211"/>
    <n v="9"/>
    <n v="6.8"/>
    <n v="6.4"/>
    <s v="Stable"/>
  </r>
  <r>
    <s v="T2811"/>
    <x v="8"/>
    <x v="4"/>
    <x v="1"/>
    <x v="2"/>
    <s v="Sep"/>
    <x v="2"/>
    <x v="2406"/>
    <n v="8.8000000000000007"/>
    <x v="4"/>
    <n v="1.1000000000000001"/>
    <x v="87"/>
    <n v="1984"/>
    <x v="1"/>
    <n v="68.3"/>
    <s v="Software Engineer"/>
    <n v="-10.4"/>
    <n v="14"/>
    <x v="271"/>
    <n v="1.6"/>
    <n v="4.8"/>
    <n v="7.6"/>
    <s v="Stable"/>
  </r>
  <r>
    <s v="T2812"/>
    <x v="1"/>
    <x v="4"/>
    <x v="2"/>
    <x v="2"/>
    <s v="Feb"/>
    <x v="1"/>
    <x v="2407"/>
    <n v="38.799999999999997"/>
    <x v="2"/>
    <n v="6.6"/>
    <x v="5"/>
    <n v="1512"/>
    <x v="2"/>
    <n v="57.7"/>
    <s v="DevOps Engineer"/>
    <n v="-1.9"/>
    <n v="45.4"/>
    <x v="282"/>
    <n v="4.4000000000000004"/>
    <n v="5.3"/>
    <n v="3.3"/>
    <s v="Recession"/>
  </r>
  <r>
    <s v="T2813"/>
    <x v="12"/>
    <x v="5"/>
    <x v="3"/>
    <x v="0"/>
    <s v="Aug"/>
    <x v="2"/>
    <x v="1688"/>
    <n v="29.1"/>
    <x v="4"/>
    <n v="8.5"/>
    <x v="5"/>
    <n v="1213"/>
    <x v="2"/>
    <n v="31.1"/>
    <s v="DevOps Engineer"/>
    <n v="-23.8"/>
    <n v="46.9"/>
    <x v="15"/>
    <n v="7.3"/>
    <n v="4.8"/>
    <n v="5.2"/>
    <s v="Recession"/>
  </r>
  <r>
    <s v="T2814"/>
    <x v="1"/>
    <x v="4"/>
    <x v="4"/>
    <x v="2"/>
    <s v="Jan"/>
    <x v="2"/>
    <x v="2408"/>
    <n v="16.600000000000001"/>
    <x v="1"/>
    <n v="3.5"/>
    <x v="45"/>
    <n v="1152"/>
    <x v="1"/>
    <n v="26.1"/>
    <s v="DevOps Engineer"/>
    <n v="-0.3"/>
    <n v="13.1"/>
    <x v="423"/>
    <n v="2.2000000000000002"/>
    <n v="5.3"/>
    <n v="5.0999999999999996"/>
    <s v="Recession"/>
  </r>
  <r>
    <s v="T2815"/>
    <x v="0"/>
    <x v="5"/>
    <x v="0"/>
    <x v="2"/>
    <s v="Oct"/>
    <x v="2"/>
    <x v="548"/>
    <n v="14.5"/>
    <x v="2"/>
    <n v="3"/>
    <x v="24"/>
    <n v="5574"/>
    <x v="0"/>
    <n v="79.2"/>
    <s v="Cybersecurity Analyst"/>
    <n v="4.4000000000000004"/>
    <n v="-10.1"/>
    <x v="173"/>
    <n v="2.8"/>
    <n v="7.4"/>
    <n v="4.5999999999999996"/>
    <s v="Stable"/>
  </r>
  <r>
    <s v="T2816"/>
    <x v="16"/>
    <x v="2"/>
    <x v="2"/>
    <x v="3"/>
    <s v="Dec"/>
    <x v="1"/>
    <x v="426"/>
    <n v="16.899999999999999"/>
    <x v="3"/>
    <n v="2.1"/>
    <x v="54"/>
    <n v="4079"/>
    <x v="1"/>
    <n v="22.4"/>
    <s v="Product Manager"/>
    <n v="85.4"/>
    <n v="22.2"/>
    <x v="207"/>
    <n v="1.8"/>
    <n v="8.1999999999999993"/>
    <n v="5.4"/>
    <s v="Stable"/>
  </r>
  <r>
    <s v="T2817"/>
    <x v="16"/>
    <x v="2"/>
    <x v="5"/>
    <x v="1"/>
    <s v="Aug"/>
    <x v="2"/>
    <x v="2409"/>
    <n v="15.8"/>
    <x v="1"/>
    <n v="13.5"/>
    <x v="69"/>
    <n v="1357"/>
    <x v="0"/>
    <n v="40.299999999999997"/>
    <s v="Frontend Developer"/>
    <n v="71.8"/>
    <n v="16.899999999999999"/>
    <x v="235"/>
    <n v="9.1999999999999993"/>
    <n v="6.5"/>
    <n v="5"/>
    <s v="Recession"/>
  </r>
  <r>
    <s v="T2818"/>
    <x v="4"/>
    <x v="1"/>
    <x v="1"/>
    <x v="3"/>
    <s v="Jan"/>
    <x v="1"/>
    <x v="254"/>
    <n v="6.6"/>
    <x v="3"/>
    <n v="7.4"/>
    <x v="71"/>
    <n v="5498"/>
    <x v="0"/>
    <n v="61.1"/>
    <s v="Software Engineer"/>
    <n v="40.5"/>
    <n v="55.9"/>
    <x v="180"/>
    <n v="4.5999999999999996"/>
    <n v="8.6999999999999993"/>
    <n v="9.4"/>
    <s v="Bull Market"/>
  </r>
  <r>
    <s v="T2819"/>
    <x v="2"/>
    <x v="2"/>
    <x v="5"/>
    <x v="1"/>
    <s v="Mar"/>
    <x v="2"/>
    <x v="2410"/>
    <n v="3.4"/>
    <x v="1"/>
    <n v="8.1"/>
    <x v="2"/>
    <n v="5850"/>
    <x v="3"/>
    <n v="69.900000000000006"/>
    <s v="ML Engineer"/>
    <n v="-41.8"/>
    <n v="10.8"/>
    <x v="86"/>
    <n v="8"/>
    <n v="6.8"/>
    <n v="7"/>
    <s v="Stable"/>
  </r>
  <r>
    <s v="T2820"/>
    <x v="17"/>
    <x v="0"/>
    <x v="3"/>
    <x v="2"/>
    <s v="Nov"/>
    <x v="0"/>
    <x v="2411"/>
    <n v="28.2"/>
    <x v="3"/>
    <n v="2.2000000000000002"/>
    <x v="75"/>
    <n v="5745"/>
    <x v="1"/>
    <n v="24.4"/>
    <s v="ML Engineer"/>
    <n v="42.7"/>
    <n v="-1.8"/>
    <x v="213"/>
    <n v="2.7"/>
    <n v="3.8"/>
    <n v="3.8"/>
    <s v="Recession"/>
  </r>
  <r>
    <s v="T2821"/>
    <x v="0"/>
    <x v="5"/>
    <x v="0"/>
    <x v="3"/>
    <s v="Sep"/>
    <x v="1"/>
    <x v="2180"/>
    <n v="19.7"/>
    <x v="3"/>
    <n v="2.5"/>
    <x v="32"/>
    <n v="1936"/>
    <x v="1"/>
    <n v="78.599999999999994"/>
    <s v="Software Engineer"/>
    <n v="-4"/>
    <n v="38"/>
    <x v="319"/>
    <n v="1.6"/>
    <n v="5.8"/>
    <n v="6.8"/>
    <s v="Recession"/>
  </r>
  <r>
    <s v="T2822"/>
    <x v="0"/>
    <x v="1"/>
    <x v="4"/>
    <x v="0"/>
    <s v="Jun"/>
    <x v="1"/>
    <x v="2412"/>
    <n v="9.9"/>
    <x v="2"/>
    <n v="8.8000000000000007"/>
    <x v="17"/>
    <n v="1136"/>
    <x v="1"/>
    <n v="54.1"/>
    <s v="Cybersecurity Analyst"/>
    <n v="-14"/>
    <n v="20.7"/>
    <x v="100"/>
    <n v="8.3000000000000007"/>
    <n v="5.7"/>
    <n v="5.9"/>
    <s v="Bull Market"/>
  </r>
  <r>
    <s v="T2823"/>
    <x v="12"/>
    <x v="5"/>
    <x v="2"/>
    <x v="1"/>
    <s v="Oct"/>
    <x v="2"/>
    <x v="2413"/>
    <n v="28.1"/>
    <x v="4"/>
    <n v="6.2"/>
    <x v="5"/>
    <n v="1204"/>
    <x v="2"/>
    <n v="63.7"/>
    <s v="Data Scientist"/>
    <n v="26.7"/>
    <n v="29.8"/>
    <x v="0"/>
    <n v="8.6999999999999993"/>
    <n v="6.9"/>
    <n v="4.4000000000000004"/>
    <s v="Recession"/>
  </r>
  <r>
    <s v="T2824"/>
    <x v="5"/>
    <x v="3"/>
    <x v="1"/>
    <x v="1"/>
    <s v="Nov"/>
    <x v="2"/>
    <x v="2414"/>
    <n v="13.6"/>
    <x v="0"/>
    <n v="2.2999999999999998"/>
    <x v="56"/>
    <n v="5979"/>
    <x v="1"/>
    <n v="74.599999999999994"/>
    <s v="Cybersecurity Analyst"/>
    <n v="-18.2"/>
    <n v="12.4"/>
    <x v="77"/>
    <n v="2.5"/>
    <n v="6"/>
    <n v="6.6"/>
    <s v="Stable"/>
  </r>
  <r>
    <s v="T2825"/>
    <x v="0"/>
    <x v="5"/>
    <x v="2"/>
    <x v="3"/>
    <s v="Jan"/>
    <x v="1"/>
    <x v="2230"/>
    <n v="2"/>
    <x v="0"/>
    <n v="6.6"/>
    <x v="5"/>
    <n v="773"/>
    <x v="1"/>
    <n v="46.6"/>
    <s v="Cloud Engineer"/>
    <n v="84.2"/>
    <n v="2"/>
    <x v="132"/>
    <n v="9.1999999999999993"/>
    <n v="5.4"/>
    <n v="5.4"/>
    <s v="Stable"/>
  </r>
  <r>
    <s v="T2826"/>
    <x v="2"/>
    <x v="3"/>
    <x v="0"/>
    <x v="2"/>
    <s v="May"/>
    <x v="0"/>
    <x v="2415"/>
    <n v="15.5"/>
    <x v="4"/>
    <n v="5.6"/>
    <x v="82"/>
    <n v="802"/>
    <x v="2"/>
    <n v="63.4"/>
    <s v="Software Engineer"/>
    <n v="51.5"/>
    <n v="11.6"/>
    <x v="274"/>
    <n v="4.0999999999999996"/>
    <n v="6.5"/>
    <n v="6.3"/>
    <s v="Recession"/>
  </r>
  <r>
    <s v="T2827"/>
    <x v="5"/>
    <x v="3"/>
    <x v="2"/>
    <x v="3"/>
    <s v="Apr"/>
    <x v="0"/>
    <x v="2416"/>
    <n v="8.1999999999999993"/>
    <x v="3"/>
    <n v="8"/>
    <x v="8"/>
    <n v="2655"/>
    <x v="0"/>
    <n v="34.299999999999997"/>
    <s v="Frontend Developer"/>
    <n v="-42.6"/>
    <n v="-15.8"/>
    <x v="42"/>
    <n v="6.4"/>
    <n v="6.5"/>
    <n v="6.3"/>
    <s v="Bull Market"/>
  </r>
  <r>
    <s v="T2828"/>
    <x v="6"/>
    <x v="2"/>
    <x v="1"/>
    <x v="2"/>
    <s v="Jun"/>
    <x v="1"/>
    <x v="829"/>
    <n v="17.600000000000001"/>
    <x v="2"/>
    <n v="3.5"/>
    <x v="60"/>
    <n v="1663"/>
    <x v="1"/>
    <n v="28.1"/>
    <s v="Cybersecurity Analyst"/>
    <n v="-0.2"/>
    <n v="10.5"/>
    <x v="426"/>
    <n v="3.2"/>
    <n v="5.0999999999999996"/>
    <n v="3.8"/>
    <s v="Recession"/>
  </r>
  <r>
    <s v="T2829"/>
    <x v="17"/>
    <x v="0"/>
    <x v="3"/>
    <x v="3"/>
    <s v="Jul"/>
    <x v="2"/>
    <x v="2417"/>
    <n v="4.9000000000000004"/>
    <x v="0"/>
    <n v="6.1"/>
    <x v="83"/>
    <n v="5866"/>
    <x v="0"/>
    <n v="66.400000000000006"/>
    <s v="Data Scientist"/>
    <n v="89.5"/>
    <n v="12.7"/>
    <x v="131"/>
    <n v="4.2"/>
    <n v="7.1"/>
    <n v="6.1"/>
    <s v="Stable"/>
  </r>
  <r>
    <s v="T2830"/>
    <x v="2"/>
    <x v="1"/>
    <x v="0"/>
    <x v="3"/>
    <s v="Jul"/>
    <x v="1"/>
    <x v="2418"/>
    <n v="1.6"/>
    <x v="4"/>
    <n v="7.2"/>
    <x v="56"/>
    <n v="5900"/>
    <x v="0"/>
    <n v="70.2"/>
    <s v="Software Engineer"/>
    <n v="24.8"/>
    <n v="-8"/>
    <x v="401"/>
    <n v="5.3"/>
    <n v="6.8"/>
    <n v="6.3"/>
    <s v="Stable"/>
  </r>
  <r>
    <s v="T2831"/>
    <x v="8"/>
    <x v="6"/>
    <x v="5"/>
    <x v="2"/>
    <s v="Dec"/>
    <x v="2"/>
    <x v="2419"/>
    <n v="13.6"/>
    <x v="1"/>
    <n v="8.1"/>
    <x v="5"/>
    <n v="4346"/>
    <x v="0"/>
    <n v="15"/>
    <s v="Frontend Developer"/>
    <n v="-44"/>
    <n v="18.5"/>
    <x v="159"/>
    <n v="6.2"/>
    <n v="4.8"/>
    <n v="4.7"/>
    <s v="Stable"/>
  </r>
  <r>
    <s v="T2832"/>
    <x v="8"/>
    <x v="4"/>
    <x v="5"/>
    <x v="0"/>
    <s v="Nov"/>
    <x v="2"/>
    <x v="2420"/>
    <n v="4.0999999999999996"/>
    <x v="1"/>
    <n v="8.1"/>
    <x v="2"/>
    <n v="3837"/>
    <x v="0"/>
    <n v="29"/>
    <s v="Cloud Engineer"/>
    <n v="10.9"/>
    <n v="15.5"/>
    <x v="246"/>
    <n v="7.8"/>
    <n v="5.4"/>
    <n v="5.8"/>
    <s v="Bull Market"/>
  </r>
  <r>
    <s v="T2833"/>
    <x v="1"/>
    <x v="4"/>
    <x v="5"/>
    <x v="0"/>
    <s v="Oct"/>
    <x v="1"/>
    <x v="1891"/>
    <n v="18"/>
    <x v="1"/>
    <n v="2.2000000000000002"/>
    <x v="25"/>
    <n v="2974"/>
    <x v="1"/>
    <n v="45.9"/>
    <s v="ML Engineer"/>
    <n v="43.5"/>
    <n v="-5.4"/>
    <x v="162"/>
    <n v="2.9"/>
    <n v="6.6"/>
    <n v="4.5"/>
    <s v="Stable"/>
  </r>
  <r>
    <s v="T2834"/>
    <x v="6"/>
    <x v="2"/>
    <x v="5"/>
    <x v="2"/>
    <s v="Nov"/>
    <x v="1"/>
    <x v="2421"/>
    <n v="9.9"/>
    <x v="4"/>
    <n v="12.2"/>
    <x v="29"/>
    <n v="1992"/>
    <x v="0"/>
    <n v="30.2"/>
    <s v="Frontend Developer"/>
    <n v="0"/>
    <n v="47.2"/>
    <x v="28"/>
    <n v="7.6"/>
    <n v="6.6"/>
    <n v="6.3"/>
    <s v="Recession"/>
  </r>
  <r>
    <s v="T2835"/>
    <x v="0"/>
    <x v="1"/>
    <x v="5"/>
    <x v="1"/>
    <s v="May"/>
    <x v="2"/>
    <x v="2422"/>
    <n v="19.600000000000001"/>
    <x v="1"/>
    <n v="7.8"/>
    <x v="5"/>
    <n v="1718"/>
    <x v="1"/>
    <n v="81"/>
    <s v="DevOps Engineer"/>
    <n v="77"/>
    <n v="36"/>
    <x v="452"/>
    <n v="4.8"/>
    <n v="8.1"/>
    <n v="4.5"/>
    <s v="Recession"/>
  </r>
  <r>
    <s v="T2836"/>
    <x v="1"/>
    <x v="6"/>
    <x v="0"/>
    <x v="3"/>
    <s v="Feb"/>
    <x v="1"/>
    <x v="2423"/>
    <n v="38.5"/>
    <x v="0"/>
    <n v="7.7"/>
    <x v="5"/>
    <n v="1272"/>
    <x v="2"/>
    <n v="11"/>
    <s v="ML Engineer"/>
    <n v="65.8"/>
    <n v="32.700000000000003"/>
    <x v="123"/>
    <n v="6"/>
    <n v="4.5"/>
    <n v="3.9"/>
    <s v="Recession"/>
  </r>
  <r>
    <s v="T2837"/>
    <x v="12"/>
    <x v="5"/>
    <x v="2"/>
    <x v="0"/>
    <s v="May"/>
    <x v="2"/>
    <x v="680"/>
    <n v="37.700000000000003"/>
    <x v="0"/>
    <n v="14.9"/>
    <x v="5"/>
    <n v="1865"/>
    <x v="1"/>
    <n v="89.9"/>
    <s v="Data Scientist"/>
    <n v="-36.5"/>
    <n v="-24.5"/>
    <x v="465"/>
    <n v="9.9"/>
    <n v="2.4"/>
    <n v="1.5"/>
    <s v="Recession"/>
  </r>
  <r>
    <s v="T2838"/>
    <x v="0"/>
    <x v="0"/>
    <x v="0"/>
    <x v="2"/>
    <s v="Oct"/>
    <x v="0"/>
    <x v="2424"/>
    <n v="9.5"/>
    <x v="0"/>
    <n v="6.6"/>
    <x v="5"/>
    <n v="4515"/>
    <x v="0"/>
    <n v="51.3"/>
    <s v="Data Scientist"/>
    <n v="77.7"/>
    <n v="21.7"/>
    <x v="383"/>
    <n v="9.8000000000000007"/>
    <n v="5.2"/>
    <n v="6.2"/>
    <s v="Recession"/>
  </r>
  <r>
    <s v="T2839"/>
    <x v="8"/>
    <x v="4"/>
    <x v="4"/>
    <x v="1"/>
    <s v="Jul"/>
    <x v="1"/>
    <x v="2425"/>
    <n v="12.5"/>
    <x v="4"/>
    <n v="2.5"/>
    <x v="72"/>
    <n v="378"/>
    <x v="1"/>
    <n v="62.8"/>
    <s v="DevOps Engineer"/>
    <n v="-33.4"/>
    <n v="29.1"/>
    <x v="280"/>
    <n v="2.1"/>
    <n v="7.5"/>
    <n v="7.3"/>
    <s v="Stable"/>
  </r>
  <r>
    <s v="T2840"/>
    <x v="2"/>
    <x v="3"/>
    <x v="1"/>
    <x v="2"/>
    <s v="Aug"/>
    <x v="0"/>
    <x v="2426"/>
    <n v="15.1"/>
    <x v="1"/>
    <n v="6.3"/>
    <x v="5"/>
    <n v="565"/>
    <x v="1"/>
    <n v="63"/>
    <s v="Cybersecurity Analyst"/>
    <n v="10.8"/>
    <n v="3.5"/>
    <x v="235"/>
    <n v="7.3"/>
    <n v="5.8"/>
    <n v="4"/>
    <s v="Stable"/>
  </r>
  <r>
    <s v="T2841"/>
    <x v="8"/>
    <x v="6"/>
    <x v="1"/>
    <x v="0"/>
    <s v="Apr"/>
    <x v="2"/>
    <x v="2427"/>
    <n v="15.8"/>
    <x v="4"/>
    <n v="2.4"/>
    <x v="20"/>
    <n v="4442"/>
    <x v="1"/>
    <n v="65.099999999999994"/>
    <s v="Frontend Developer"/>
    <n v="11.4"/>
    <n v="21.3"/>
    <x v="341"/>
    <n v="2.7"/>
    <n v="4.7"/>
    <n v="5.4"/>
    <s v="Stable"/>
  </r>
  <r>
    <s v="T2842"/>
    <x v="13"/>
    <x v="5"/>
    <x v="3"/>
    <x v="0"/>
    <s v="Jun"/>
    <x v="2"/>
    <x v="941"/>
    <n v="3.4"/>
    <x v="2"/>
    <n v="8.6"/>
    <x v="69"/>
    <n v="3898"/>
    <x v="0"/>
    <n v="19.2"/>
    <s v="ML Engineer"/>
    <n v="5.7"/>
    <n v="12.3"/>
    <x v="396"/>
    <n v="7.2"/>
    <n v="8.4"/>
    <n v="5.9"/>
    <s v="Bull Market"/>
  </r>
  <r>
    <s v="T2843"/>
    <x v="6"/>
    <x v="2"/>
    <x v="3"/>
    <x v="2"/>
    <s v="May"/>
    <x v="2"/>
    <x v="2428"/>
    <n v="38.299999999999997"/>
    <x v="1"/>
    <n v="8.8000000000000007"/>
    <x v="5"/>
    <n v="1623"/>
    <x v="2"/>
    <n v="85.4"/>
    <s v="Cloud Engineer"/>
    <n v="-15.2"/>
    <n v="-8.5"/>
    <x v="507"/>
    <n v="7.8"/>
    <n v="4.7"/>
    <n v="2.6"/>
    <s v="Recession"/>
  </r>
  <r>
    <s v="T2844"/>
    <x v="0"/>
    <x v="2"/>
    <x v="4"/>
    <x v="2"/>
    <s v="Oct"/>
    <x v="0"/>
    <x v="1721"/>
    <n v="9"/>
    <x v="4"/>
    <n v="6.1"/>
    <x v="40"/>
    <n v="4489"/>
    <x v="1"/>
    <n v="78.5"/>
    <s v="Frontend Developer"/>
    <n v="-8.6999999999999993"/>
    <n v="-12.8"/>
    <x v="517"/>
    <n v="4.0999999999999996"/>
    <n v="4.3"/>
    <n v="5.2"/>
    <s v="Bull Market"/>
  </r>
  <r>
    <s v="T2845"/>
    <x v="0"/>
    <x v="2"/>
    <x v="0"/>
    <x v="3"/>
    <s v="Dec"/>
    <x v="2"/>
    <x v="2429"/>
    <n v="20.2"/>
    <x v="1"/>
    <n v="2.2999999999999998"/>
    <x v="18"/>
    <n v="1578"/>
    <x v="2"/>
    <n v="44.1"/>
    <s v="Frontend Developer"/>
    <n v="-39"/>
    <n v="7.4"/>
    <x v="45"/>
    <n v="3"/>
    <n v="7.2"/>
    <n v="3.8"/>
    <s v="Recession"/>
  </r>
  <r>
    <s v="T2846"/>
    <x v="17"/>
    <x v="0"/>
    <x v="1"/>
    <x v="3"/>
    <s v="Dec"/>
    <x v="2"/>
    <x v="2430"/>
    <n v="9.6"/>
    <x v="4"/>
    <n v="5"/>
    <x v="5"/>
    <n v="2877"/>
    <x v="0"/>
    <n v="29.9"/>
    <s v="ML Engineer"/>
    <n v="7.9"/>
    <n v="40.5"/>
    <x v="107"/>
    <n v="6.3"/>
    <n v="7.1"/>
    <n v="6.1"/>
    <s v="Bull Market"/>
  </r>
  <r>
    <s v="T2847"/>
    <x v="18"/>
    <x v="0"/>
    <x v="1"/>
    <x v="2"/>
    <s v="Aug"/>
    <x v="2"/>
    <x v="2431"/>
    <n v="22.4"/>
    <x v="4"/>
    <n v="2.7"/>
    <x v="7"/>
    <n v="9144"/>
    <x v="1"/>
    <n v="29.3"/>
    <s v="Data Scientist"/>
    <n v="-38.6"/>
    <n v="25.1"/>
    <x v="188"/>
    <n v="2.4"/>
    <n v="4.2"/>
    <n v="4.9000000000000004"/>
    <s v="Recession"/>
  </r>
  <r>
    <s v="T2848"/>
    <x v="12"/>
    <x v="5"/>
    <x v="0"/>
    <x v="3"/>
    <s v="Sep"/>
    <x v="0"/>
    <x v="1258"/>
    <n v="10.1"/>
    <x v="0"/>
    <n v="4.5"/>
    <x v="48"/>
    <n v="1602"/>
    <x v="1"/>
    <n v="29.7"/>
    <s v="DevOps Engineer"/>
    <n v="10.9"/>
    <n v="19.7"/>
    <x v="248"/>
    <n v="3.7"/>
    <n v="4.8"/>
    <n v="5.2"/>
    <s v="Recession"/>
  </r>
  <r>
    <s v="T2849"/>
    <x v="1"/>
    <x v="4"/>
    <x v="1"/>
    <x v="1"/>
    <s v="Sep"/>
    <x v="2"/>
    <x v="2432"/>
    <n v="25"/>
    <x v="2"/>
    <n v="7.2"/>
    <x v="63"/>
    <n v="770"/>
    <x v="2"/>
    <n v="63"/>
    <s v="Frontend Developer"/>
    <n v="-2.9"/>
    <n v="-0.1"/>
    <x v="344"/>
    <n v="4.5"/>
    <n v="6.6"/>
    <n v="4.5999999999999996"/>
    <s v="Recession"/>
  </r>
  <r>
    <s v="T2850"/>
    <x v="1"/>
    <x v="1"/>
    <x v="3"/>
    <x v="2"/>
    <s v="Jun"/>
    <x v="1"/>
    <x v="84"/>
    <n v="4.2"/>
    <x v="2"/>
    <n v="3.8"/>
    <x v="11"/>
    <n v="4997"/>
    <x v="0"/>
    <n v="85.6"/>
    <s v="Data Scientist"/>
    <n v="-9.3000000000000007"/>
    <n v="6.2"/>
    <x v="55"/>
    <n v="5.8"/>
    <n v="5.8"/>
    <n v="6.2"/>
    <s v="Bull Market"/>
  </r>
  <r>
    <s v="T2851"/>
    <x v="1"/>
    <x v="6"/>
    <x v="1"/>
    <x v="3"/>
    <s v="Jul"/>
    <x v="0"/>
    <x v="2433"/>
    <n v="7.5"/>
    <x v="0"/>
    <n v="1.9"/>
    <x v="38"/>
    <n v="4541"/>
    <x v="1"/>
    <n v="12.7"/>
    <s v="Product Manager"/>
    <n v="-1"/>
    <n v="-4.5999999999999996"/>
    <x v="114"/>
    <n v="1.4"/>
    <n v="6.5"/>
    <n v="6.1"/>
    <s v="Stable"/>
  </r>
  <r>
    <s v="T2852"/>
    <x v="0"/>
    <x v="5"/>
    <x v="5"/>
    <x v="0"/>
    <s v="Mar"/>
    <x v="2"/>
    <x v="2434"/>
    <n v="27.6"/>
    <x v="2"/>
    <n v="3"/>
    <x v="51"/>
    <n v="1555"/>
    <x v="2"/>
    <n v="36.4"/>
    <s v="DevOps Engineer"/>
    <n v="8"/>
    <n v="48.2"/>
    <x v="153"/>
    <n v="2.7"/>
    <n v="5.0999999999999996"/>
    <n v="5.5"/>
    <s v="Recession"/>
  </r>
  <r>
    <s v="T2853"/>
    <x v="8"/>
    <x v="6"/>
    <x v="4"/>
    <x v="3"/>
    <s v="Aug"/>
    <x v="2"/>
    <x v="2435"/>
    <n v="12.9"/>
    <x v="0"/>
    <n v="7.5"/>
    <x v="5"/>
    <n v="612"/>
    <x v="1"/>
    <n v="59"/>
    <s v="Frontend Developer"/>
    <n v="69.2"/>
    <n v="22.3"/>
    <x v="59"/>
    <n v="7"/>
    <n v="7.3"/>
    <n v="5.8"/>
    <s v="Recession"/>
  </r>
  <r>
    <s v="T2854"/>
    <x v="6"/>
    <x v="1"/>
    <x v="3"/>
    <x v="3"/>
    <s v="Apr"/>
    <x v="1"/>
    <x v="2436"/>
    <n v="8.6"/>
    <x v="3"/>
    <n v="7"/>
    <x v="76"/>
    <n v="5745"/>
    <x v="0"/>
    <n v="89.9"/>
    <s v="DevOps Engineer"/>
    <n v="23.8"/>
    <n v="43.6"/>
    <x v="37"/>
    <n v="4.8"/>
    <n v="7.4"/>
    <n v="7.7"/>
    <s v="Bull Market"/>
  </r>
  <r>
    <s v="T2855"/>
    <x v="0"/>
    <x v="5"/>
    <x v="0"/>
    <x v="1"/>
    <s v="Jul"/>
    <x v="0"/>
    <x v="283"/>
    <n v="9.1999999999999993"/>
    <x v="2"/>
    <n v="10.4"/>
    <x v="69"/>
    <n v="4370"/>
    <x v="0"/>
    <n v="74.5"/>
    <s v="Cloud Engineer"/>
    <n v="31.8"/>
    <n v="-18"/>
    <x v="170"/>
    <n v="7.8"/>
    <n v="6.7"/>
    <n v="4.5999999999999996"/>
    <s v="Bull Market"/>
  </r>
  <r>
    <s v="T2856"/>
    <x v="5"/>
    <x v="3"/>
    <x v="1"/>
    <x v="2"/>
    <s v="Aug"/>
    <x v="1"/>
    <x v="2437"/>
    <n v="28.6"/>
    <x v="0"/>
    <n v="2.7"/>
    <x v="73"/>
    <n v="1471"/>
    <x v="2"/>
    <n v="83.5"/>
    <s v="Product Manager"/>
    <n v="54.7"/>
    <n v="-8.1"/>
    <x v="518"/>
    <n v="2.5"/>
    <n v="5.4"/>
    <n v="4.4000000000000004"/>
    <s v="Recession"/>
  </r>
  <r>
    <s v="T2857"/>
    <x v="8"/>
    <x v="4"/>
    <x v="3"/>
    <x v="2"/>
    <s v="Sep"/>
    <x v="0"/>
    <x v="2438"/>
    <n v="3.5"/>
    <x v="4"/>
    <n v="7"/>
    <x v="3"/>
    <n v="766"/>
    <x v="1"/>
    <n v="38.5"/>
    <s v="DevOps Engineer"/>
    <n v="17.7"/>
    <n v="41.2"/>
    <x v="377"/>
    <n v="6"/>
    <n v="6"/>
    <n v="6.6"/>
    <s v="Bull Market"/>
  </r>
  <r>
    <s v="T2858"/>
    <x v="1"/>
    <x v="1"/>
    <x v="5"/>
    <x v="2"/>
    <s v="Feb"/>
    <x v="1"/>
    <x v="2045"/>
    <n v="3.2"/>
    <x v="4"/>
    <n v="4.2"/>
    <x v="46"/>
    <n v="4665"/>
    <x v="0"/>
    <n v="41.5"/>
    <s v="DevOps Engineer"/>
    <n v="-25.9"/>
    <n v="7.9"/>
    <x v="143"/>
    <n v="3.2"/>
    <n v="6.9"/>
    <n v="7.8"/>
    <s v="Stable"/>
  </r>
  <r>
    <s v="T2859"/>
    <x v="3"/>
    <x v="1"/>
    <x v="0"/>
    <x v="0"/>
    <s v="Jul"/>
    <x v="2"/>
    <x v="2439"/>
    <n v="7.8"/>
    <x v="0"/>
    <n v="5.4"/>
    <x v="20"/>
    <n v="343"/>
    <x v="1"/>
    <n v="14.4"/>
    <s v="Data Scientist"/>
    <n v="1.5"/>
    <n v="-6.3"/>
    <x v="349"/>
    <n v="3.3"/>
    <n v="6"/>
    <n v="5.6"/>
    <s v="Stable"/>
  </r>
  <r>
    <s v="T2860"/>
    <x v="4"/>
    <x v="0"/>
    <x v="1"/>
    <x v="0"/>
    <s v="Feb"/>
    <x v="2"/>
    <x v="1076"/>
    <n v="10.3"/>
    <x v="3"/>
    <n v="11.3"/>
    <x v="5"/>
    <n v="2210"/>
    <x v="1"/>
    <n v="85.9"/>
    <s v="ML Engineer"/>
    <n v="73.099999999999994"/>
    <n v="41.2"/>
    <x v="163"/>
    <n v="9.9"/>
    <n v="9.4"/>
    <n v="5.7"/>
    <s v="Stable"/>
  </r>
  <r>
    <s v="T2861"/>
    <x v="13"/>
    <x v="5"/>
    <x v="4"/>
    <x v="3"/>
    <s v="Nov"/>
    <x v="2"/>
    <x v="2440"/>
    <n v="10.5"/>
    <x v="2"/>
    <n v="1.7"/>
    <x v="53"/>
    <n v="2387"/>
    <x v="1"/>
    <n v="53.2"/>
    <s v="Software Engineer"/>
    <n v="-7.2"/>
    <n v="34"/>
    <x v="14"/>
    <n v="1.1000000000000001"/>
    <n v="6.1"/>
    <n v="7.8"/>
    <s v="Stable"/>
  </r>
  <r>
    <s v="T2862"/>
    <x v="2"/>
    <x v="0"/>
    <x v="1"/>
    <x v="3"/>
    <s v="Nov"/>
    <x v="1"/>
    <x v="2441"/>
    <n v="5.4"/>
    <x v="2"/>
    <n v="5.0999999999999996"/>
    <x v="52"/>
    <n v="8867"/>
    <x v="3"/>
    <n v="74.5"/>
    <s v="ML Engineer"/>
    <n v="21.7"/>
    <n v="50.2"/>
    <x v="419"/>
    <n v="5.4"/>
    <n v="8.4"/>
    <n v="8"/>
    <s v="Bull Market"/>
  </r>
  <r>
    <s v="T2863"/>
    <x v="2"/>
    <x v="0"/>
    <x v="4"/>
    <x v="3"/>
    <s v="Oct"/>
    <x v="2"/>
    <x v="2231"/>
    <n v="6"/>
    <x v="4"/>
    <n v="13.4"/>
    <x v="49"/>
    <n v="8955"/>
    <x v="0"/>
    <n v="30.9"/>
    <s v="Data Scientist"/>
    <n v="-7.1"/>
    <n v="37"/>
    <x v="304"/>
    <n v="8.8000000000000007"/>
    <n v="7.4"/>
    <n v="6.9"/>
    <s v="Bull Market"/>
  </r>
  <r>
    <s v="T2864"/>
    <x v="10"/>
    <x v="3"/>
    <x v="3"/>
    <x v="1"/>
    <s v="Dec"/>
    <x v="2"/>
    <x v="2442"/>
    <n v="17.3"/>
    <x v="0"/>
    <n v="1.5"/>
    <x v="24"/>
    <n v="4663"/>
    <x v="1"/>
    <n v="83.9"/>
    <s v="ML Engineer"/>
    <n v="60.1"/>
    <n v="-21.5"/>
    <x v="223"/>
    <n v="1.3"/>
    <n v="4.2"/>
    <n v="4.2"/>
    <s v="Stable"/>
  </r>
  <r>
    <s v="T2865"/>
    <x v="8"/>
    <x v="6"/>
    <x v="3"/>
    <x v="3"/>
    <s v="Oct"/>
    <x v="1"/>
    <x v="2443"/>
    <n v="18.5"/>
    <x v="1"/>
    <n v="10.1"/>
    <x v="5"/>
    <n v="1003"/>
    <x v="1"/>
    <n v="30.9"/>
    <s v="Data Scientist"/>
    <n v="75"/>
    <n v="21.5"/>
    <x v="467"/>
    <n v="9"/>
    <n v="7.7"/>
    <n v="5.0999999999999996"/>
    <s v="Recession"/>
  </r>
  <r>
    <s v="T2866"/>
    <x v="1"/>
    <x v="6"/>
    <x v="1"/>
    <x v="1"/>
    <s v="Mar"/>
    <x v="2"/>
    <x v="1665"/>
    <n v="12.8"/>
    <x v="3"/>
    <n v="14.2"/>
    <x v="5"/>
    <n v="5173"/>
    <x v="0"/>
    <n v="21.5"/>
    <s v="Software Engineer"/>
    <n v="-35.1"/>
    <n v="-3.1"/>
    <x v="465"/>
    <n v="8.8000000000000007"/>
    <n v="5.5"/>
    <n v="4.8"/>
    <s v="Stable"/>
  </r>
  <r>
    <s v="T2867"/>
    <x v="1"/>
    <x v="4"/>
    <x v="4"/>
    <x v="1"/>
    <s v="Apr"/>
    <x v="0"/>
    <x v="2444"/>
    <n v="20.6"/>
    <x v="0"/>
    <n v="5.4"/>
    <x v="5"/>
    <n v="1394"/>
    <x v="1"/>
    <n v="63.3"/>
    <s v="Frontend Developer"/>
    <n v="-19.7"/>
    <n v="17.2"/>
    <x v="35"/>
    <n v="7.9"/>
    <n v="7.2"/>
    <n v="3.6"/>
    <s v="Recession"/>
  </r>
  <r>
    <s v="T2868"/>
    <x v="7"/>
    <x v="4"/>
    <x v="0"/>
    <x v="0"/>
    <s v="Apr"/>
    <x v="2"/>
    <x v="2445"/>
    <n v="39.6"/>
    <x v="3"/>
    <n v="5.4"/>
    <x v="5"/>
    <n v="477"/>
    <x v="2"/>
    <n v="30.8"/>
    <s v="Product Manager"/>
    <n v="-20.7"/>
    <n v="-3.8"/>
    <x v="84"/>
    <n v="5.7"/>
    <n v="3.9"/>
    <n v="2.7"/>
    <s v="Recession"/>
  </r>
  <r>
    <s v="T2869"/>
    <x v="2"/>
    <x v="1"/>
    <x v="2"/>
    <x v="0"/>
    <s v="Sep"/>
    <x v="1"/>
    <x v="2446"/>
    <n v="14.2"/>
    <x v="1"/>
    <n v="10.7"/>
    <x v="16"/>
    <n v="610"/>
    <x v="1"/>
    <n v="29.1"/>
    <s v="DevOps Engineer"/>
    <n v="14.5"/>
    <n v="39.6"/>
    <x v="259"/>
    <n v="9.6"/>
    <n v="5.6"/>
    <n v="6.4"/>
    <s v="Stable"/>
  </r>
  <r>
    <s v="T2870"/>
    <x v="11"/>
    <x v="6"/>
    <x v="3"/>
    <x v="1"/>
    <s v="Feb"/>
    <x v="2"/>
    <x v="2447"/>
    <n v="8.1"/>
    <x v="1"/>
    <n v="6"/>
    <x v="52"/>
    <n v="2041"/>
    <x v="0"/>
    <n v="66.3"/>
    <s v="Cybersecurity Analyst"/>
    <n v="4.7"/>
    <n v="1"/>
    <x v="366"/>
    <n v="8.5"/>
    <n v="6.7"/>
    <n v="5.2"/>
    <s v="Bull Market"/>
  </r>
  <r>
    <s v="T2871"/>
    <x v="5"/>
    <x v="3"/>
    <x v="1"/>
    <x v="1"/>
    <s v="Dec"/>
    <x v="0"/>
    <x v="2448"/>
    <n v="22.6"/>
    <x v="3"/>
    <n v="11.3"/>
    <x v="5"/>
    <n v="1850"/>
    <x v="1"/>
    <n v="49.2"/>
    <s v="Software Engineer"/>
    <n v="18.399999999999999"/>
    <n v="-7.3"/>
    <x v="385"/>
    <n v="7.4"/>
    <n v="6.2"/>
    <n v="3.9"/>
    <s v="Recession"/>
  </r>
  <r>
    <s v="T2872"/>
    <x v="1"/>
    <x v="4"/>
    <x v="1"/>
    <x v="3"/>
    <s v="Feb"/>
    <x v="0"/>
    <x v="2449"/>
    <n v="3.6"/>
    <x v="1"/>
    <n v="7.3"/>
    <x v="20"/>
    <n v="2876"/>
    <x v="1"/>
    <n v="76.400000000000006"/>
    <s v="Software Engineer"/>
    <n v="47.7"/>
    <n v="22.2"/>
    <x v="207"/>
    <n v="5.3"/>
    <n v="6.5"/>
    <n v="7.7"/>
    <s v="Stable"/>
  </r>
  <r>
    <s v="T2873"/>
    <x v="19"/>
    <x v="0"/>
    <x v="4"/>
    <x v="2"/>
    <s v="Mar"/>
    <x v="1"/>
    <x v="2450"/>
    <n v="2.8"/>
    <x v="4"/>
    <n v="3.7"/>
    <x v="6"/>
    <n v="3753"/>
    <x v="0"/>
    <n v="79.3"/>
    <s v="Data Scientist"/>
    <n v="7.6"/>
    <n v="54"/>
    <x v="151"/>
    <n v="3.5"/>
    <n v="8.5"/>
    <n v="7.9"/>
    <s v="Bull Market"/>
  </r>
  <r>
    <s v="T2874"/>
    <x v="11"/>
    <x v="6"/>
    <x v="2"/>
    <x v="0"/>
    <s v="Jul"/>
    <x v="0"/>
    <x v="2451"/>
    <n v="13.7"/>
    <x v="1"/>
    <n v="5.9"/>
    <x v="84"/>
    <n v="171"/>
    <x v="1"/>
    <n v="19"/>
    <s v="Cloud Engineer"/>
    <n v="3.4"/>
    <n v="35.200000000000003"/>
    <x v="146"/>
    <n v="6.2"/>
    <n v="8"/>
    <n v="5.7"/>
    <s v="Recession"/>
  </r>
  <r>
    <s v="T2875"/>
    <x v="16"/>
    <x v="2"/>
    <x v="3"/>
    <x v="3"/>
    <s v="Nov"/>
    <x v="2"/>
    <x v="2452"/>
    <n v="20.7"/>
    <x v="2"/>
    <n v="8"/>
    <x v="5"/>
    <n v="1639"/>
    <x v="1"/>
    <n v="51.4"/>
    <s v="ML Engineer"/>
    <n v="19.2"/>
    <n v="33.200000000000003"/>
    <x v="434"/>
    <n v="9"/>
    <n v="6.9"/>
    <n v="5.8"/>
    <s v="Recession"/>
  </r>
  <r>
    <s v="T2876"/>
    <x v="16"/>
    <x v="2"/>
    <x v="4"/>
    <x v="0"/>
    <s v="Sep"/>
    <x v="2"/>
    <x v="2453"/>
    <n v="12.4"/>
    <x v="1"/>
    <n v="10.199999999999999"/>
    <x v="30"/>
    <n v="1238"/>
    <x v="0"/>
    <n v="83.1"/>
    <s v="Cybersecurity Analyst"/>
    <n v="45.6"/>
    <n v="-18.899999999999999"/>
    <x v="517"/>
    <n v="7.5"/>
    <n v="7.2"/>
    <n v="5.0999999999999996"/>
    <s v="Stable"/>
  </r>
  <r>
    <s v="T2877"/>
    <x v="12"/>
    <x v="5"/>
    <x v="0"/>
    <x v="1"/>
    <s v="Dec"/>
    <x v="0"/>
    <x v="2454"/>
    <n v="9"/>
    <x v="4"/>
    <n v="4.9000000000000004"/>
    <x v="9"/>
    <n v="3273"/>
    <x v="0"/>
    <n v="66.7"/>
    <s v="Frontend Developer"/>
    <n v="-23.9"/>
    <n v="29.2"/>
    <x v="112"/>
    <n v="5.2"/>
    <n v="7.7"/>
    <n v="5.4"/>
    <s v="Stable"/>
  </r>
  <r>
    <s v="T2878"/>
    <x v="18"/>
    <x v="0"/>
    <x v="1"/>
    <x v="0"/>
    <s v="Aug"/>
    <x v="2"/>
    <x v="2455"/>
    <n v="10.6"/>
    <x v="1"/>
    <n v="6.8"/>
    <x v="18"/>
    <n v="1242"/>
    <x v="1"/>
    <n v="54.3"/>
    <s v="Data Scientist"/>
    <n v="19.399999999999999"/>
    <n v="45.1"/>
    <x v="200"/>
    <n v="9.9"/>
    <n v="7.7"/>
    <n v="7.7"/>
    <s v="Recession"/>
  </r>
  <r>
    <s v="T2879"/>
    <x v="8"/>
    <x v="6"/>
    <x v="0"/>
    <x v="1"/>
    <s v="Jul"/>
    <x v="0"/>
    <x v="2309"/>
    <n v="2.1"/>
    <x v="4"/>
    <n v="7.7"/>
    <x v="67"/>
    <n v="252"/>
    <x v="1"/>
    <n v="34.200000000000003"/>
    <s v="Data Scientist"/>
    <n v="-0.6"/>
    <n v="42.2"/>
    <x v="519"/>
    <n v="6.4"/>
    <n v="7.8"/>
    <n v="8.3000000000000007"/>
    <s v="Bull Market"/>
  </r>
  <r>
    <s v="T2880"/>
    <x v="7"/>
    <x v="4"/>
    <x v="2"/>
    <x v="1"/>
    <s v="May"/>
    <x v="1"/>
    <x v="2456"/>
    <n v="1.5"/>
    <x v="4"/>
    <n v="8.1"/>
    <x v="5"/>
    <n v="4121"/>
    <x v="3"/>
    <n v="37.9"/>
    <s v="Data Scientist"/>
    <n v="-2.8"/>
    <n v="28"/>
    <x v="77"/>
    <n v="8.6999999999999993"/>
    <n v="9.1999999999999993"/>
    <n v="7.1"/>
    <s v="Stable"/>
  </r>
  <r>
    <s v="T2881"/>
    <x v="12"/>
    <x v="5"/>
    <x v="5"/>
    <x v="1"/>
    <s v="May"/>
    <x v="2"/>
    <x v="2457"/>
    <n v="32.700000000000003"/>
    <x v="0"/>
    <n v="7"/>
    <x v="5"/>
    <n v="1049"/>
    <x v="2"/>
    <n v="20.399999999999999"/>
    <s v="ML Engineer"/>
    <n v="-39.5"/>
    <n v="-12.7"/>
    <x v="197"/>
    <n v="6.3"/>
    <n v="4.2"/>
    <n v="2"/>
    <s v="Recession"/>
  </r>
  <r>
    <s v="T2882"/>
    <x v="0"/>
    <x v="0"/>
    <x v="3"/>
    <x v="2"/>
    <s v="Oct"/>
    <x v="1"/>
    <x v="2458"/>
    <n v="5"/>
    <x v="2"/>
    <n v="6.7"/>
    <x v="61"/>
    <n v="4624"/>
    <x v="0"/>
    <n v="74.900000000000006"/>
    <s v="Data Scientist"/>
    <n v="25.9"/>
    <n v="1.4"/>
    <x v="97"/>
    <n v="5.5"/>
    <n v="5"/>
    <n v="6.1"/>
    <s v="Stable"/>
  </r>
  <r>
    <s v="T2883"/>
    <x v="1"/>
    <x v="0"/>
    <x v="5"/>
    <x v="1"/>
    <s v="Dec"/>
    <x v="1"/>
    <x v="2459"/>
    <n v="10"/>
    <x v="2"/>
    <n v="7.5"/>
    <x v="5"/>
    <n v="3334"/>
    <x v="0"/>
    <n v="29.4"/>
    <s v="Data Scientist"/>
    <n v="19"/>
    <n v="34.9"/>
    <x v="187"/>
    <n v="9.3000000000000007"/>
    <n v="7"/>
    <n v="5.5"/>
    <s v="Recession"/>
  </r>
  <r>
    <s v="T2884"/>
    <x v="14"/>
    <x v="1"/>
    <x v="3"/>
    <x v="1"/>
    <s v="Aug"/>
    <x v="2"/>
    <x v="2460"/>
    <n v="15.2"/>
    <x v="0"/>
    <n v="5"/>
    <x v="5"/>
    <n v="892"/>
    <x v="1"/>
    <n v="72.7"/>
    <s v="Frontend Developer"/>
    <n v="71.7"/>
    <n v="3.5"/>
    <x v="131"/>
    <n v="7.8"/>
    <n v="5.4"/>
    <n v="5.3"/>
    <s v="Recession"/>
  </r>
  <r>
    <s v="T2885"/>
    <x v="2"/>
    <x v="5"/>
    <x v="0"/>
    <x v="3"/>
    <s v="Nov"/>
    <x v="1"/>
    <x v="2461"/>
    <n v="4.0999999999999996"/>
    <x v="1"/>
    <n v="9.5"/>
    <x v="82"/>
    <n v="3415"/>
    <x v="0"/>
    <n v="17.100000000000001"/>
    <s v="Data Scientist"/>
    <n v="74.2"/>
    <n v="-7"/>
    <x v="31"/>
    <n v="8.3000000000000007"/>
    <n v="6.9"/>
    <n v="5.2"/>
    <s v="Stable"/>
  </r>
  <r>
    <s v="T2886"/>
    <x v="8"/>
    <x v="6"/>
    <x v="2"/>
    <x v="0"/>
    <s v="Oct"/>
    <x v="0"/>
    <x v="2462"/>
    <n v="27.3"/>
    <x v="3"/>
    <n v="7.2"/>
    <x v="5"/>
    <n v="1707"/>
    <x v="1"/>
    <n v="27.3"/>
    <s v="Frontend Developer"/>
    <n v="2.2999999999999998"/>
    <n v="44.7"/>
    <x v="376"/>
    <n v="9.1"/>
    <n v="4.3"/>
    <n v="5.4"/>
    <s v="Recession"/>
  </r>
  <r>
    <s v="T2887"/>
    <x v="15"/>
    <x v="2"/>
    <x v="4"/>
    <x v="2"/>
    <s v="Sep"/>
    <x v="0"/>
    <x v="2463"/>
    <n v="12.8"/>
    <x v="1"/>
    <n v="11.8"/>
    <x v="14"/>
    <n v="4736"/>
    <x v="0"/>
    <n v="67.7"/>
    <s v="Product Manager"/>
    <n v="7.8"/>
    <n v="57.5"/>
    <x v="317"/>
    <n v="7.6"/>
    <n v="7.1"/>
    <n v="6.5"/>
    <s v="Stable"/>
  </r>
  <r>
    <s v="T2888"/>
    <x v="16"/>
    <x v="2"/>
    <x v="3"/>
    <x v="2"/>
    <s v="Aug"/>
    <x v="1"/>
    <x v="2464"/>
    <n v="1.7"/>
    <x v="2"/>
    <n v="11"/>
    <x v="26"/>
    <n v="4159"/>
    <x v="3"/>
    <n v="27.8"/>
    <s v="ML Engineer"/>
    <n v="42.6"/>
    <n v="46.1"/>
    <x v="226"/>
    <n v="8.1999999999999993"/>
    <n v="6.6"/>
    <n v="8"/>
    <s v="Stable"/>
  </r>
  <r>
    <s v="T2889"/>
    <x v="6"/>
    <x v="1"/>
    <x v="0"/>
    <x v="1"/>
    <s v="Sep"/>
    <x v="1"/>
    <x v="2465"/>
    <n v="6.1"/>
    <x v="1"/>
    <n v="9.1"/>
    <x v="5"/>
    <n v="3251"/>
    <x v="0"/>
    <n v="57.1"/>
    <s v="Cybersecurity Analyst"/>
    <n v="61.4"/>
    <n v="24.3"/>
    <x v="10"/>
    <n v="8.1"/>
    <n v="8.8000000000000007"/>
    <n v="6.8"/>
    <s v="Bull Market"/>
  </r>
  <r>
    <s v="T2890"/>
    <x v="2"/>
    <x v="5"/>
    <x v="4"/>
    <x v="1"/>
    <s v="Dec"/>
    <x v="2"/>
    <x v="946"/>
    <n v="1.3"/>
    <x v="2"/>
    <n v="1.9"/>
    <x v="44"/>
    <n v="5544"/>
    <x v="0"/>
    <n v="87.4"/>
    <s v="DevOps Engineer"/>
    <n v="87.4"/>
    <n v="48.5"/>
    <x v="397"/>
    <n v="2.4"/>
    <n v="9.3000000000000007"/>
    <n v="9.1999999999999993"/>
    <s v="Bull Market"/>
  </r>
  <r>
    <s v="T2891"/>
    <x v="11"/>
    <x v="6"/>
    <x v="2"/>
    <x v="3"/>
    <s v="Dec"/>
    <x v="0"/>
    <x v="2466"/>
    <n v="4"/>
    <x v="3"/>
    <n v="8.8000000000000007"/>
    <x v="82"/>
    <n v="5471"/>
    <x v="0"/>
    <n v="45.3"/>
    <s v="Cloud Engineer"/>
    <n v="1.2"/>
    <n v="0.5"/>
    <x v="465"/>
    <n v="5.4"/>
    <n v="4.7"/>
    <n v="5.5"/>
    <s v="Stable"/>
  </r>
  <r>
    <s v="T2892"/>
    <x v="5"/>
    <x v="3"/>
    <x v="4"/>
    <x v="1"/>
    <s v="Aug"/>
    <x v="0"/>
    <x v="63"/>
    <n v="17.100000000000001"/>
    <x v="3"/>
    <n v="6.9"/>
    <x v="7"/>
    <n v="1989"/>
    <x v="1"/>
    <n v="51.4"/>
    <s v="Frontend Developer"/>
    <n v="87.5"/>
    <n v="18.100000000000001"/>
    <x v="296"/>
    <n v="7.8"/>
    <n v="7.7"/>
    <n v="4.7"/>
    <s v="Stable"/>
  </r>
  <r>
    <s v="T2893"/>
    <x v="5"/>
    <x v="3"/>
    <x v="4"/>
    <x v="2"/>
    <s v="Sep"/>
    <x v="1"/>
    <x v="2467"/>
    <n v="19.5"/>
    <x v="3"/>
    <n v="9.8000000000000007"/>
    <x v="5"/>
    <n v="1960"/>
    <x v="1"/>
    <n v="72.099999999999994"/>
    <s v="Software Engineer"/>
    <n v="77.599999999999994"/>
    <n v="59.5"/>
    <x v="317"/>
    <n v="6.7"/>
    <n v="7.8"/>
    <n v="5"/>
    <s v="Recession"/>
  </r>
  <r>
    <s v="T2894"/>
    <x v="0"/>
    <x v="5"/>
    <x v="4"/>
    <x v="1"/>
    <s v="Apr"/>
    <x v="2"/>
    <x v="2468"/>
    <n v="11.5"/>
    <x v="1"/>
    <n v="7.2"/>
    <x v="6"/>
    <n v="4203"/>
    <x v="1"/>
    <n v="22.3"/>
    <s v="ML Engineer"/>
    <n v="-25.9"/>
    <n v="-0.9"/>
    <x v="218"/>
    <n v="4.5999999999999996"/>
    <n v="6.7"/>
    <n v="6.1"/>
    <s v="Stable"/>
  </r>
  <r>
    <s v="T2895"/>
    <x v="6"/>
    <x v="1"/>
    <x v="0"/>
    <x v="0"/>
    <s v="Mar"/>
    <x v="0"/>
    <x v="2469"/>
    <n v="5.7"/>
    <x v="0"/>
    <n v="7.5"/>
    <x v="43"/>
    <n v="3278"/>
    <x v="0"/>
    <n v="83.9"/>
    <s v="Product Manager"/>
    <n v="57.4"/>
    <n v="-12.4"/>
    <x v="127"/>
    <n v="6.9"/>
    <n v="6.2"/>
    <n v="4.9000000000000004"/>
    <s v="Stable"/>
  </r>
  <r>
    <s v="T2896"/>
    <x v="8"/>
    <x v="4"/>
    <x v="5"/>
    <x v="0"/>
    <s v="Dec"/>
    <x v="1"/>
    <x v="2243"/>
    <n v="6.6"/>
    <x v="1"/>
    <n v="8.9"/>
    <x v="86"/>
    <n v="1488"/>
    <x v="1"/>
    <n v="37.799999999999997"/>
    <s v="ML Engineer"/>
    <n v="-44.1"/>
    <n v="21.2"/>
    <x v="473"/>
    <n v="6.3"/>
    <n v="7"/>
    <n v="5.7"/>
    <s v="Bull Market"/>
  </r>
  <r>
    <s v="T2897"/>
    <x v="0"/>
    <x v="1"/>
    <x v="3"/>
    <x v="2"/>
    <s v="Oct"/>
    <x v="1"/>
    <x v="2470"/>
    <n v="13.7"/>
    <x v="0"/>
    <n v="1.6"/>
    <x v="4"/>
    <n v="5390"/>
    <x v="1"/>
    <n v="60.4"/>
    <s v="Data Scientist"/>
    <n v="-22.6"/>
    <n v="11"/>
    <x v="156"/>
    <n v="1"/>
    <n v="5.6"/>
    <n v="6.3"/>
    <s v="Stable"/>
  </r>
  <r>
    <s v="T2898"/>
    <x v="13"/>
    <x v="5"/>
    <x v="5"/>
    <x v="1"/>
    <s v="Jul"/>
    <x v="2"/>
    <x v="2471"/>
    <n v="1.4"/>
    <x v="1"/>
    <n v="6.3"/>
    <x v="71"/>
    <n v="5387"/>
    <x v="0"/>
    <n v="21"/>
    <s v="ML Engineer"/>
    <n v="11.5"/>
    <n v="19.7"/>
    <x v="26"/>
    <n v="5.9"/>
    <n v="9.4"/>
    <n v="7.5"/>
    <s v="Stable"/>
  </r>
  <r>
    <s v="T2899"/>
    <x v="1"/>
    <x v="4"/>
    <x v="5"/>
    <x v="2"/>
    <s v="Feb"/>
    <x v="2"/>
    <x v="2472"/>
    <n v="10.8"/>
    <x v="3"/>
    <n v="2.1"/>
    <x v="1"/>
    <n v="1713"/>
    <x v="2"/>
    <n v="73.099999999999994"/>
    <s v="ML Engineer"/>
    <n v="-10.5"/>
    <n v="19.399999999999999"/>
    <x v="227"/>
    <n v="1.7"/>
    <n v="7.1"/>
    <n v="6.5"/>
    <s v="Recession"/>
  </r>
  <r>
    <s v="T2900"/>
    <x v="9"/>
    <x v="1"/>
    <x v="4"/>
    <x v="1"/>
    <s v="Oct"/>
    <x v="1"/>
    <x v="2473"/>
    <n v="7.2"/>
    <x v="2"/>
    <n v="7.7"/>
    <x v="5"/>
    <n v="3927"/>
    <x v="0"/>
    <n v="62"/>
    <s v="Product Manager"/>
    <n v="81.599999999999994"/>
    <n v="-19.899999999999999"/>
    <x v="116"/>
    <n v="9.1999999999999993"/>
    <n v="5.3"/>
    <n v="5.4"/>
    <s v="Stable"/>
  </r>
  <r>
    <s v="T2901"/>
    <x v="4"/>
    <x v="0"/>
    <x v="4"/>
    <x v="0"/>
    <s v="Aug"/>
    <x v="0"/>
    <x v="922"/>
    <n v="1.1000000000000001"/>
    <x v="2"/>
    <n v="1.4"/>
    <x v="19"/>
    <n v="5009"/>
    <x v="0"/>
    <n v="15.4"/>
    <s v="ML Engineer"/>
    <n v="82.8"/>
    <n v="-13.6"/>
    <x v="254"/>
    <n v="1.9"/>
    <n v="7.6"/>
    <n v="6.5"/>
    <s v="Stable"/>
  </r>
  <r>
    <s v="T2902"/>
    <x v="19"/>
    <x v="0"/>
    <x v="2"/>
    <x v="0"/>
    <s v="Apr"/>
    <x v="2"/>
    <x v="748"/>
    <n v="5.3"/>
    <x v="4"/>
    <n v="6.1"/>
    <x v="5"/>
    <n v="7975"/>
    <x v="0"/>
    <n v="25.5"/>
    <s v="Data Scientist"/>
    <n v="68.7"/>
    <n v="13.8"/>
    <x v="204"/>
    <n v="8.1999999999999993"/>
    <n v="7.3"/>
    <n v="6.3"/>
    <s v="Bull Market"/>
  </r>
  <r>
    <s v="T2903"/>
    <x v="8"/>
    <x v="4"/>
    <x v="1"/>
    <x v="3"/>
    <s v="Oct"/>
    <x v="0"/>
    <x v="2474"/>
    <n v="37.9"/>
    <x v="2"/>
    <n v="10"/>
    <x v="5"/>
    <n v="637"/>
    <x v="2"/>
    <n v="72"/>
    <s v="DevOps Engineer"/>
    <n v="36.1"/>
    <n v="36.299999999999997"/>
    <x v="191"/>
    <n v="7.4"/>
    <n v="3.6"/>
    <n v="2.9"/>
    <s v="Recession"/>
  </r>
  <r>
    <s v="T2904"/>
    <x v="8"/>
    <x v="4"/>
    <x v="4"/>
    <x v="1"/>
    <s v="Dec"/>
    <x v="1"/>
    <x v="2382"/>
    <n v="4"/>
    <x v="4"/>
    <n v="4.0999999999999996"/>
    <x v="43"/>
    <n v="2015"/>
    <x v="0"/>
    <n v="26.8"/>
    <s v="Cybersecurity Analyst"/>
    <n v="65"/>
    <n v="-10.3"/>
    <x v="299"/>
    <n v="6.2"/>
    <n v="7.7"/>
    <n v="5.2"/>
    <s v="Bull Market"/>
  </r>
  <r>
    <s v="T2905"/>
    <x v="19"/>
    <x v="0"/>
    <x v="5"/>
    <x v="0"/>
    <s v="Apr"/>
    <x v="2"/>
    <x v="280"/>
    <n v="2.2000000000000002"/>
    <x v="1"/>
    <n v="2.1"/>
    <x v="19"/>
    <n v="5696"/>
    <x v="0"/>
    <n v="10.9"/>
    <s v="Data Scientist"/>
    <n v="18.5"/>
    <n v="25.3"/>
    <x v="158"/>
    <n v="1.9"/>
    <n v="6.2"/>
    <n v="8.9"/>
    <s v="Bull Market"/>
  </r>
  <r>
    <s v="T2906"/>
    <x v="4"/>
    <x v="0"/>
    <x v="0"/>
    <x v="2"/>
    <s v="Dec"/>
    <x v="1"/>
    <x v="2475"/>
    <n v="34.9"/>
    <x v="0"/>
    <n v="6.1"/>
    <x v="5"/>
    <n v="1420"/>
    <x v="1"/>
    <n v="25.8"/>
    <s v="Data Scientist"/>
    <n v="-32.200000000000003"/>
    <n v="39.5"/>
    <x v="202"/>
    <n v="8.6"/>
    <n v="6.5"/>
    <n v="2.9"/>
    <s v="Recession"/>
  </r>
  <r>
    <s v="T2907"/>
    <x v="8"/>
    <x v="6"/>
    <x v="5"/>
    <x v="0"/>
    <s v="Apr"/>
    <x v="2"/>
    <x v="2476"/>
    <n v="5.9"/>
    <x v="0"/>
    <n v="13.9"/>
    <x v="5"/>
    <n v="4545"/>
    <x v="0"/>
    <n v="36.1"/>
    <s v="Cloud Engineer"/>
    <n v="65.400000000000006"/>
    <n v="55.7"/>
    <x v="520"/>
    <n v="8.4"/>
    <n v="9.5"/>
    <n v="7"/>
    <s v="Bull Market"/>
  </r>
  <r>
    <s v="T2908"/>
    <x v="1"/>
    <x v="1"/>
    <x v="0"/>
    <x v="3"/>
    <s v="Jan"/>
    <x v="2"/>
    <x v="2477"/>
    <n v="5"/>
    <x v="4"/>
    <n v="5.7"/>
    <x v="5"/>
    <n v="4450"/>
    <x v="3"/>
    <n v="19.5"/>
    <s v="ML Engineer"/>
    <n v="-6.6"/>
    <n v="37.200000000000003"/>
    <x v="259"/>
    <n v="8.5"/>
    <n v="7.3"/>
    <n v="7.6"/>
    <s v="Stable"/>
  </r>
  <r>
    <s v="T2909"/>
    <x v="16"/>
    <x v="2"/>
    <x v="5"/>
    <x v="1"/>
    <s v="Aug"/>
    <x v="1"/>
    <x v="2478"/>
    <n v="6.1"/>
    <x v="0"/>
    <n v="2.9"/>
    <x v="1"/>
    <n v="1532"/>
    <x v="0"/>
    <n v="29"/>
    <s v="DevOps Engineer"/>
    <n v="0.3"/>
    <n v="50.8"/>
    <x v="117"/>
    <n v="4.7"/>
    <n v="6.1"/>
    <n v="7.9"/>
    <s v="Bull Market"/>
  </r>
  <r>
    <s v="T2910"/>
    <x v="12"/>
    <x v="0"/>
    <x v="1"/>
    <x v="2"/>
    <s v="Dec"/>
    <x v="1"/>
    <x v="2479"/>
    <n v="19.8"/>
    <x v="1"/>
    <n v="8.1"/>
    <x v="5"/>
    <n v="6134"/>
    <x v="1"/>
    <n v="29.3"/>
    <s v="Data Scientist"/>
    <n v="-27.5"/>
    <n v="51.5"/>
    <x v="232"/>
    <n v="5.9"/>
    <n v="6.9"/>
    <n v="4.7"/>
    <s v="Recession"/>
  </r>
  <r>
    <s v="T2911"/>
    <x v="2"/>
    <x v="2"/>
    <x v="5"/>
    <x v="3"/>
    <s v="Aug"/>
    <x v="1"/>
    <x v="2480"/>
    <n v="14.5"/>
    <x v="0"/>
    <n v="1.4"/>
    <x v="54"/>
    <n v="1437"/>
    <x v="2"/>
    <n v="69"/>
    <s v="Cybersecurity Analyst"/>
    <n v="71.400000000000006"/>
    <n v="-9.9"/>
    <x v="16"/>
    <n v="1"/>
    <n v="6.1"/>
    <n v="5"/>
    <s v="Recession"/>
  </r>
  <r>
    <s v="T2912"/>
    <x v="9"/>
    <x v="1"/>
    <x v="5"/>
    <x v="2"/>
    <s v="May"/>
    <x v="2"/>
    <x v="2481"/>
    <n v="1.3"/>
    <x v="0"/>
    <n v="3.7"/>
    <x v="6"/>
    <n v="4634"/>
    <x v="0"/>
    <n v="13.5"/>
    <s v="Frontend Developer"/>
    <n v="-42.9"/>
    <n v="-14.8"/>
    <x v="346"/>
    <n v="2.5"/>
    <n v="7.4"/>
    <n v="5.9"/>
    <s v="Stable"/>
  </r>
  <r>
    <s v="T2913"/>
    <x v="1"/>
    <x v="0"/>
    <x v="4"/>
    <x v="3"/>
    <s v="Nov"/>
    <x v="1"/>
    <x v="2482"/>
    <n v="16"/>
    <x v="1"/>
    <n v="8.1"/>
    <x v="69"/>
    <n v="3384"/>
    <x v="0"/>
    <n v="40.5"/>
    <s v="ML Engineer"/>
    <n v="-2.5"/>
    <n v="54.4"/>
    <x v="420"/>
    <n v="5"/>
    <n v="6.1"/>
    <n v="6.7"/>
    <s v="Recession"/>
  </r>
  <r>
    <s v="T2914"/>
    <x v="16"/>
    <x v="2"/>
    <x v="1"/>
    <x v="1"/>
    <s v="Nov"/>
    <x v="1"/>
    <x v="1907"/>
    <n v="18.3"/>
    <x v="3"/>
    <n v="6.8"/>
    <x v="5"/>
    <n v="550"/>
    <x v="1"/>
    <n v="53.8"/>
    <s v="Data Scientist"/>
    <n v="6.1"/>
    <n v="3.2"/>
    <x v="465"/>
    <n v="9.1999999999999993"/>
    <n v="7.3"/>
    <n v="5.2"/>
    <s v="Recession"/>
  </r>
  <r>
    <s v="T2915"/>
    <x v="13"/>
    <x v="5"/>
    <x v="2"/>
    <x v="2"/>
    <s v="Aug"/>
    <x v="1"/>
    <x v="2483"/>
    <n v="6.5"/>
    <x v="4"/>
    <n v="8"/>
    <x v="5"/>
    <n v="2775"/>
    <x v="0"/>
    <n v="64.400000000000006"/>
    <s v="Cloud Engineer"/>
    <n v="-39.799999999999997"/>
    <n v="37.9"/>
    <x v="433"/>
    <n v="6.3"/>
    <n v="8.9"/>
    <n v="5.5"/>
    <s v="Bull Market"/>
  </r>
  <r>
    <s v="T2916"/>
    <x v="5"/>
    <x v="3"/>
    <x v="4"/>
    <x v="3"/>
    <s v="Oct"/>
    <x v="2"/>
    <x v="2484"/>
    <n v="37.4"/>
    <x v="2"/>
    <n v="10.5"/>
    <x v="5"/>
    <n v="113"/>
    <x v="2"/>
    <n v="75.2"/>
    <s v="Frontend Developer"/>
    <n v="-4.4000000000000004"/>
    <n v="-7.7"/>
    <x v="88"/>
    <n v="6.5"/>
    <n v="2.4"/>
    <n v="2.4"/>
    <s v="Recession"/>
  </r>
  <r>
    <s v="T2917"/>
    <x v="0"/>
    <x v="1"/>
    <x v="3"/>
    <x v="2"/>
    <s v="May"/>
    <x v="1"/>
    <x v="2485"/>
    <n v="8.5"/>
    <x v="3"/>
    <n v="13.1"/>
    <x v="5"/>
    <n v="5555"/>
    <x v="3"/>
    <n v="10.5"/>
    <s v="Product Manager"/>
    <n v="30.6"/>
    <n v="57.4"/>
    <x v="493"/>
    <n v="9.4"/>
    <n v="6.8"/>
    <n v="7.1"/>
    <s v="Stable"/>
  </r>
  <r>
    <s v="T2918"/>
    <x v="6"/>
    <x v="1"/>
    <x v="2"/>
    <x v="3"/>
    <s v="Oct"/>
    <x v="0"/>
    <x v="1819"/>
    <n v="3.2"/>
    <x v="3"/>
    <n v="12.9"/>
    <x v="63"/>
    <n v="3649"/>
    <x v="3"/>
    <n v="25.6"/>
    <s v="Software Engineer"/>
    <n v="80.099999999999994"/>
    <n v="-20.5"/>
    <x v="446"/>
    <n v="9.6999999999999993"/>
    <n v="6.3"/>
    <n v="4.5999999999999996"/>
    <s v="Stable"/>
  </r>
  <r>
    <s v="T2919"/>
    <x v="1"/>
    <x v="1"/>
    <x v="1"/>
    <x v="3"/>
    <s v="Sep"/>
    <x v="2"/>
    <x v="847"/>
    <n v="1.9"/>
    <x v="0"/>
    <n v="10.9"/>
    <x v="50"/>
    <n v="2046"/>
    <x v="0"/>
    <n v="52.5"/>
    <s v="Data Scientist"/>
    <n v="-11.8"/>
    <n v="-20.7"/>
    <x v="215"/>
    <n v="7.7"/>
    <n v="4.5"/>
    <n v="5.7"/>
    <s v="Bull Market"/>
  </r>
  <r>
    <s v="T2920"/>
    <x v="2"/>
    <x v="3"/>
    <x v="3"/>
    <x v="1"/>
    <s v="Jun"/>
    <x v="0"/>
    <x v="2486"/>
    <n v="2.4"/>
    <x v="4"/>
    <n v="5.9"/>
    <x v="23"/>
    <n v="1152"/>
    <x v="0"/>
    <n v="13.3"/>
    <s v="ML Engineer"/>
    <n v="52.2"/>
    <n v="32.700000000000003"/>
    <x v="420"/>
    <n v="5.3"/>
    <n v="9.8000000000000007"/>
    <n v="7.2"/>
    <s v="Bull Market"/>
  </r>
  <r>
    <s v="T2921"/>
    <x v="12"/>
    <x v="5"/>
    <x v="0"/>
    <x v="2"/>
    <s v="Nov"/>
    <x v="2"/>
    <x v="2487"/>
    <n v="9.4"/>
    <x v="0"/>
    <n v="1.9"/>
    <x v="82"/>
    <n v="1531"/>
    <x v="1"/>
    <n v="79.3"/>
    <s v="ML Engineer"/>
    <n v="41"/>
    <n v="28.3"/>
    <x v="5"/>
    <n v="2.4"/>
    <n v="8.5"/>
    <n v="6.1"/>
    <s v="Recession"/>
  </r>
  <r>
    <s v="T2922"/>
    <x v="12"/>
    <x v="5"/>
    <x v="4"/>
    <x v="1"/>
    <s v="Jul"/>
    <x v="1"/>
    <x v="2488"/>
    <n v="10.199999999999999"/>
    <x v="0"/>
    <n v="5.7"/>
    <x v="29"/>
    <n v="5960"/>
    <x v="0"/>
    <n v="18.899999999999999"/>
    <s v="Frontend Developer"/>
    <n v="57.2"/>
    <n v="-9.1"/>
    <x v="245"/>
    <n v="4.8"/>
    <n v="5.2"/>
    <n v="6.1"/>
    <s v="Stable"/>
  </r>
  <r>
    <s v="T2923"/>
    <x v="2"/>
    <x v="0"/>
    <x v="3"/>
    <x v="1"/>
    <s v="Jul"/>
    <x v="1"/>
    <x v="2489"/>
    <n v="16"/>
    <x v="4"/>
    <n v="5.3"/>
    <x v="24"/>
    <n v="5568"/>
    <x v="0"/>
    <n v="74.900000000000006"/>
    <s v="Data Scientist"/>
    <n v="32.5"/>
    <n v="39.1"/>
    <x v="357"/>
    <n v="4.2"/>
    <n v="5.6"/>
    <n v="6.1"/>
    <s v="Recession"/>
  </r>
  <r>
    <s v="T2924"/>
    <x v="9"/>
    <x v="0"/>
    <x v="2"/>
    <x v="3"/>
    <s v="Dec"/>
    <x v="1"/>
    <x v="2490"/>
    <n v="9.6"/>
    <x v="4"/>
    <n v="9.4"/>
    <x v="39"/>
    <n v="9572"/>
    <x v="0"/>
    <n v="15.4"/>
    <s v="ML Engineer"/>
    <n v="72.8"/>
    <n v="0.7"/>
    <x v="333"/>
    <n v="6.8"/>
    <n v="7.6"/>
    <n v="5.8"/>
    <s v="Recession"/>
  </r>
  <r>
    <s v="T2925"/>
    <x v="12"/>
    <x v="5"/>
    <x v="3"/>
    <x v="2"/>
    <s v="May"/>
    <x v="0"/>
    <x v="2491"/>
    <n v="15.3"/>
    <x v="2"/>
    <n v="6.5"/>
    <x v="5"/>
    <n v="4454"/>
    <x v="1"/>
    <n v="78.400000000000006"/>
    <s v="Data Scientist"/>
    <n v="78"/>
    <n v="35.299999999999997"/>
    <x v="2"/>
    <n v="5.7"/>
    <n v="8.6999999999999993"/>
    <n v="5.0999999999999996"/>
    <s v="Stable"/>
  </r>
  <r>
    <s v="T2926"/>
    <x v="1"/>
    <x v="1"/>
    <x v="1"/>
    <x v="2"/>
    <s v="Nov"/>
    <x v="1"/>
    <x v="2492"/>
    <n v="31.5"/>
    <x v="4"/>
    <n v="6.8"/>
    <x v="5"/>
    <n v="1013"/>
    <x v="1"/>
    <n v="78.400000000000006"/>
    <s v="Data Scientist"/>
    <n v="54.1"/>
    <n v="-17"/>
    <x v="20"/>
    <n v="7.1"/>
    <n v="3.2"/>
    <n v="2.2999999999999998"/>
    <s v="Recession"/>
  </r>
  <r>
    <s v="T2927"/>
    <x v="19"/>
    <x v="0"/>
    <x v="0"/>
    <x v="0"/>
    <s v="Jun"/>
    <x v="2"/>
    <x v="2214"/>
    <n v="8.3000000000000007"/>
    <x v="2"/>
    <n v="4.8"/>
    <x v="78"/>
    <n v="1844"/>
    <x v="1"/>
    <n v="37"/>
    <s v="Data Scientist"/>
    <n v="32.6"/>
    <n v="39.9"/>
    <x v="447"/>
    <n v="3.8"/>
    <n v="5.9"/>
    <n v="7.8"/>
    <s v="Bull Market"/>
  </r>
  <r>
    <s v="T2928"/>
    <x v="6"/>
    <x v="2"/>
    <x v="0"/>
    <x v="2"/>
    <s v="Sep"/>
    <x v="1"/>
    <x v="2493"/>
    <n v="25.4"/>
    <x v="3"/>
    <n v="7.8"/>
    <x v="33"/>
    <n v="442"/>
    <x v="2"/>
    <n v="84.2"/>
    <s v="Data Scientist"/>
    <n v="12.8"/>
    <n v="45.9"/>
    <x v="214"/>
    <n v="5.3"/>
    <n v="8.1999999999999993"/>
    <n v="5.2"/>
    <s v="Recession"/>
  </r>
  <r>
    <s v="T2929"/>
    <x v="5"/>
    <x v="3"/>
    <x v="4"/>
    <x v="0"/>
    <s v="Feb"/>
    <x v="0"/>
    <x v="1618"/>
    <n v="4.8"/>
    <x v="2"/>
    <n v="7.3"/>
    <x v="52"/>
    <n v="5717"/>
    <x v="3"/>
    <n v="37.799999999999997"/>
    <s v="Frontend Developer"/>
    <n v="19.399999999999999"/>
    <n v="38.4"/>
    <x v="158"/>
    <n v="6.5"/>
    <n v="9.1999999999999993"/>
    <n v="6.8"/>
    <s v="Bull Market"/>
  </r>
  <r>
    <s v="T2930"/>
    <x v="9"/>
    <x v="1"/>
    <x v="4"/>
    <x v="0"/>
    <s v="Jan"/>
    <x v="0"/>
    <x v="1425"/>
    <n v="8.6"/>
    <x v="3"/>
    <n v="9.1"/>
    <x v="15"/>
    <n v="1279"/>
    <x v="0"/>
    <n v="62.8"/>
    <s v="Cybersecurity Analyst"/>
    <n v="33.9"/>
    <n v="52.6"/>
    <x v="10"/>
    <n v="8.6999999999999993"/>
    <n v="8.8000000000000007"/>
    <n v="6.7"/>
    <s v="Bull Market"/>
  </r>
  <r>
    <s v="T2931"/>
    <x v="18"/>
    <x v="0"/>
    <x v="2"/>
    <x v="1"/>
    <s v="Apr"/>
    <x v="1"/>
    <x v="331"/>
    <n v="6"/>
    <x v="1"/>
    <n v="5.0999999999999996"/>
    <x v="2"/>
    <n v="1694"/>
    <x v="1"/>
    <n v="27.8"/>
    <s v="Data Scientist"/>
    <n v="-29.9"/>
    <n v="28"/>
    <x v="91"/>
    <n v="3"/>
    <n v="7.1"/>
    <n v="7.1"/>
    <s v="Stable"/>
  </r>
  <r>
    <s v="T2932"/>
    <x v="2"/>
    <x v="1"/>
    <x v="3"/>
    <x v="1"/>
    <s v="Sep"/>
    <x v="0"/>
    <x v="2494"/>
    <n v="27.4"/>
    <x v="0"/>
    <n v="3.3"/>
    <x v="57"/>
    <n v="1542"/>
    <x v="2"/>
    <n v="85.4"/>
    <s v="Cybersecurity Analyst"/>
    <n v="21.6"/>
    <n v="37.9"/>
    <x v="165"/>
    <n v="4.7"/>
    <n v="6.9"/>
    <n v="5.3"/>
    <s v="Recession"/>
  </r>
  <r>
    <s v="T2933"/>
    <x v="1"/>
    <x v="4"/>
    <x v="5"/>
    <x v="2"/>
    <s v="Jul"/>
    <x v="2"/>
    <x v="2495"/>
    <n v="11.7"/>
    <x v="1"/>
    <n v="7.6"/>
    <x v="11"/>
    <n v="385"/>
    <x v="1"/>
    <n v="30.2"/>
    <s v="Product Manager"/>
    <n v="20.6"/>
    <n v="1.5"/>
    <x v="85"/>
    <n v="4.5"/>
    <n v="7.8"/>
    <n v="5.4"/>
    <s v="Stable"/>
  </r>
  <r>
    <s v="T2934"/>
    <x v="2"/>
    <x v="3"/>
    <x v="3"/>
    <x v="2"/>
    <s v="Oct"/>
    <x v="0"/>
    <x v="2496"/>
    <n v="37.6"/>
    <x v="4"/>
    <n v="5.8"/>
    <x v="5"/>
    <n v="1664"/>
    <x v="2"/>
    <n v="80.099999999999994"/>
    <s v="DevOps Engineer"/>
    <n v="81.099999999999994"/>
    <n v="37.1"/>
    <x v="55"/>
    <n v="6.9"/>
    <n v="5.9"/>
    <n v="3"/>
    <s v="Recession"/>
  </r>
  <r>
    <s v="T2935"/>
    <x v="17"/>
    <x v="0"/>
    <x v="2"/>
    <x v="0"/>
    <s v="Jul"/>
    <x v="0"/>
    <x v="956"/>
    <n v="1.7"/>
    <x v="1"/>
    <n v="6"/>
    <x v="16"/>
    <n v="5741"/>
    <x v="0"/>
    <n v="36.299999999999997"/>
    <s v="ML Engineer"/>
    <n v="42.2"/>
    <n v="36.700000000000003"/>
    <x v="305"/>
    <n v="4.2"/>
    <n v="7.8"/>
    <n v="8.1"/>
    <s v="Bull Market"/>
  </r>
  <r>
    <s v="T2936"/>
    <x v="6"/>
    <x v="1"/>
    <x v="1"/>
    <x v="3"/>
    <s v="Apr"/>
    <x v="1"/>
    <x v="2497"/>
    <n v="4.7"/>
    <x v="4"/>
    <n v="2.2999999999999998"/>
    <x v="81"/>
    <n v="3686"/>
    <x v="0"/>
    <n v="75.3"/>
    <s v="Product Manager"/>
    <n v="-30.2"/>
    <n v="-4.5999999999999996"/>
    <x v="264"/>
    <n v="3.4"/>
    <n v="7.1"/>
    <n v="6.6"/>
    <s v="Bull Market"/>
  </r>
  <r>
    <s v="T2937"/>
    <x v="10"/>
    <x v="3"/>
    <x v="0"/>
    <x v="3"/>
    <s v="Jun"/>
    <x v="2"/>
    <x v="2498"/>
    <n v="3.2"/>
    <x v="2"/>
    <n v="9.4"/>
    <x v="85"/>
    <n v="4666"/>
    <x v="0"/>
    <n v="75.400000000000006"/>
    <s v="ML Engineer"/>
    <n v="55.7"/>
    <n v="2.5"/>
    <x v="8"/>
    <n v="6.8"/>
    <n v="8.6"/>
    <n v="6.2"/>
    <s v="Stable"/>
  </r>
  <r>
    <s v="T2938"/>
    <x v="13"/>
    <x v="5"/>
    <x v="1"/>
    <x v="2"/>
    <s v="Jan"/>
    <x v="2"/>
    <x v="2499"/>
    <n v="6.2"/>
    <x v="0"/>
    <n v="9.6999999999999993"/>
    <x v="75"/>
    <n v="4616"/>
    <x v="0"/>
    <n v="68.400000000000006"/>
    <s v="Frontend Developer"/>
    <n v="39.1"/>
    <n v="16.5"/>
    <x v="86"/>
    <n v="5.8"/>
    <n v="5.8"/>
    <n v="7.5"/>
    <s v="Bull Market"/>
  </r>
  <r>
    <s v="T2939"/>
    <x v="1"/>
    <x v="0"/>
    <x v="0"/>
    <x v="1"/>
    <s v="Jun"/>
    <x v="0"/>
    <x v="2500"/>
    <n v="2.2000000000000002"/>
    <x v="4"/>
    <n v="8.9"/>
    <x v="5"/>
    <n v="1268"/>
    <x v="0"/>
    <n v="78.3"/>
    <s v="ML Engineer"/>
    <n v="2.6"/>
    <n v="51.8"/>
    <x v="284"/>
    <n v="6.8"/>
    <n v="10"/>
    <n v="7.6"/>
    <s v="Stable"/>
  </r>
  <r>
    <s v="T2940"/>
    <x v="6"/>
    <x v="1"/>
    <x v="5"/>
    <x v="3"/>
    <s v="Apr"/>
    <x v="1"/>
    <x v="2501"/>
    <n v="2"/>
    <x v="0"/>
    <n v="1.5"/>
    <x v="12"/>
    <n v="5116"/>
    <x v="0"/>
    <n v="56.9"/>
    <s v="Frontend Developer"/>
    <n v="-10.4"/>
    <n v="6"/>
    <x v="460"/>
    <n v="2"/>
    <n v="5.8"/>
    <n v="8.1999999999999993"/>
    <s v="Bull Market"/>
  </r>
  <r>
    <s v="T2941"/>
    <x v="4"/>
    <x v="0"/>
    <x v="3"/>
    <x v="0"/>
    <s v="Oct"/>
    <x v="0"/>
    <x v="1228"/>
    <n v="16.899999999999999"/>
    <x v="0"/>
    <n v="7"/>
    <x v="16"/>
    <n v="9356"/>
    <x v="0"/>
    <n v="21.7"/>
    <s v="ML Engineer"/>
    <n v="28.6"/>
    <n v="60"/>
    <x v="381"/>
    <n v="4.7"/>
    <n v="7.1"/>
    <n v="7.1"/>
    <s v="Stable"/>
  </r>
  <r>
    <s v="T2942"/>
    <x v="6"/>
    <x v="1"/>
    <x v="5"/>
    <x v="3"/>
    <s v="Feb"/>
    <x v="0"/>
    <x v="1419"/>
    <n v="6.4"/>
    <x v="1"/>
    <n v="10.9"/>
    <x v="5"/>
    <n v="4722"/>
    <x v="0"/>
    <n v="60.4"/>
    <s v="Frontend Developer"/>
    <n v="24.9"/>
    <n v="10.3"/>
    <x v="289"/>
    <n v="9.3000000000000007"/>
    <n v="5.7"/>
    <n v="5"/>
    <s v="Bull Market"/>
  </r>
  <r>
    <s v="T2943"/>
    <x v="8"/>
    <x v="6"/>
    <x v="2"/>
    <x v="2"/>
    <s v="Apr"/>
    <x v="2"/>
    <x v="1542"/>
    <n v="8"/>
    <x v="4"/>
    <n v="2.6"/>
    <x v="79"/>
    <n v="1502"/>
    <x v="1"/>
    <n v="68.5"/>
    <s v="Frontend Developer"/>
    <n v="-36.299999999999997"/>
    <n v="51.5"/>
    <x v="8"/>
    <n v="1.9"/>
    <n v="8.3000000000000007"/>
    <n v="9"/>
    <s v="Bull Market"/>
  </r>
  <r>
    <s v="T2944"/>
    <x v="17"/>
    <x v="0"/>
    <x v="2"/>
    <x v="0"/>
    <s v="Feb"/>
    <x v="0"/>
    <x v="2502"/>
    <n v="1.5"/>
    <x v="2"/>
    <n v="1.5"/>
    <x v="71"/>
    <n v="3493"/>
    <x v="1"/>
    <n v="73.400000000000006"/>
    <s v="Data Scientist"/>
    <n v="-34.5"/>
    <n v="57.6"/>
    <x v="133"/>
    <n v="2.2000000000000002"/>
    <n v="10"/>
    <n v="8.3000000000000007"/>
    <s v="Bull Market"/>
  </r>
  <r>
    <s v="T2945"/>
    <x v="4"/>
    <x v="0"/>
    <x v="1"/>
    <x v="3"/>
    <s v="Jun"/>
    <x v="1"/>
    <x v="2503"/>
    <n v="14.3"/>
    <x v="4"/>
    <n v="1.4"/>
    <x v="32"/>
    <n v="7708"/>
    <x v="0"/>
    <n v="75.900000000000006"/>
    <s v="ML Engineer"/>
    <n v="20.399999999999999"/>
    <n v="28.3"/>
    <x v="108"/>
    <n v="1"/>
    <n v="5.0999999999999996"/>
    <n v="7.5"/>
    <s v="Stable"/>
  </r>
  <r>
    <s v="T2946"/>
    <x v="14"/>
    <x v="1"/>
    <x v="4"/>
    <x v="0"/>
    <s v="May"/>
    <x v="2"/>
    <x v="2504"/>
    <n v="17.5"/>
    <x v="2"/>
    <n v="1.2"/>
    <x v="20"/>
    <n v="578"/>
    <x v="1"/>
    <n v="85.2"/>
    <s v="ML Engineer"/>
    <n v="-18.7"/>
    <n v="44.1"/>
    <x v="184"/>
    <n v="1"/>
    <n v="6.4"/>
    <n v="7.2"/>
    <s v="Stable"/>
  </r>
  <r>
    <s v="T2947"/>
    <x v="0"/>
    <x v="2"/>
    <x v="1"/>
    <x v="1"/>
    <s v="Apr"/>
    <x v="1"/>
    <x v="2505"/>
    <n v="27.2"/>
    <x v="4"/>
    <n v="4.9000000000000004"/>
    <x v="5"/>
    <n v="1137"/>
    <x v="2"/>
    <n v="37.200000000000003"/>
    <s v="Cybersecurity Analyst"/>
    <n v="65"/>
    <n v="1.8"/>
    <x v="72"/>
    <n v="4.5999999999999996"/>
    <n v="6.4"/>
    <n v="2.6"/>
    <s v="Recession"/>
  </r>
  <r>
    <s v="T2948"/>
    <x v="1"/>
    <x v="4"/>
    <x v="4"/>
    <x v="0"/>
    <s v="Aug"/>
    <x v="0"/>
    <x v="2506"/>
    <n v="16.3"/>
    <x v="2"/>
    <n v="7.1"/>
    <x v="52"/>
    <n v="1791"/>
    <x v="1"/>
    <n v="35.1"/>
    <s v="Cybersecurity Analyst"/>
    <n v="26.5"/>
    <n v="14.8"/>
    <x v="4"/>
    <n v="7.5"/>
    <n v="8"/>
    <n v="4.9000000000000004"/>
    <s v="Stable"/>
  </r>
  <r>
    <s v="T2949"/>
    <x v="1"/>
    <x v="4"/>
    <x v="4"/>
    <x v="0"/>
    <s v="Aug"/>
    <x v="0"/>
    <x v="1423"/>
    <n v="1.3"/>
    <x v="2"/>
    <n v="8.6999999999999993"/>
    <x v="73"/>
    <n v="4633"/>
    <x v="0"/>
    <n v="88.8"/>
    <s v="DevOps Engineer"/>
    <n v="58.8"/>
    <n v="25.6"/>
    <x v="434"/>
    <n v="6.2"/>
    <n v="9.1999999999999993"/>
    <n v="7.6"/>
    <s v="Stable"/>
  </r>
  <r>
    <s v="T2950"/>
    <x v="3"/>
    <x v="1"/>
    <x v="4"/>
    <x v="3"/>
    <s v="Jun"/>
    <x v="2"/>
    <x v="2507"/>
    <n v="7"/>
    <x v="3"/>
    <n v="7.1"/>
    <x v="5"/>
    <n v="4543"/>
    <x v="0"/>
    <n v="78.099999999999994"/>
    <s v="DevOps Engineer"/>
    <n v="85.3"/>
    <n v="18.3"/>
    <x v="426"/>
    <n v="8.6"/>
    <n v="7"/>
    <n v="6.3"/>
    <s v="Bull Market"/>
  </r>
  <r>
    <s v="T2951"/>
    <x v="16"/>
    <x v="2"/>
    <x v="2"/>
    <x v="0"/>
    <s v="Jul"/>
    <x v="1"/>
    <x v="1727"/>
    <n v="4.3"/>
    <x v="0"/>
    <n v="1.1000000000000001"/>
    <x v="19"/>
    <n v="1449"/>
    <x v="1"/>
    <n v="49"/>
    <s v="DevOps Engineer"/>
    <n v="-34.5"/>
    <n v="21.3"/>
    <x v="183"/>
    <n v="1.2"/>
    <n v="9.1999999999999993"/>
    <n v="7.5"/>
    <s v="Bull Market"/>
  </r>
  <r>
    <s v="T2952"/>
    <x v="2"/>
    <x v="2"/>
    <x v="1"/>
    <x v="2"/>
    <s v="Dec"/>
    <x v="0"/>
    <x v="1093"/>
    <n v="12.9"/>
    <x v="3"/>
    <n v="1.3"/>
    <x v="61"/>
    <n v="2093"/>
    <x v="1"/>
    <n v="39.9"/>
    <s v="Cybersecurity Analyst"/>
    <n v="-3.3"/>
    <n v="-23.5"/>
    <x v="34"/>
    <n v="1.2"/>
    <n v="5.6"/>
    <n v="5.0999999999999996"/>
    <s v="Stable"/>
  </r>
  <r>
    <s v="T2953"/>
    <x v="0"/>
    <x v="2"/>
    <x v="5"/>
    <x v="0"/>
    <s v="Feb"/>
    <x v="0"/>
    <x v="2508"/>
    <n v="3.3"/>
    <x v="1"/>
    <n v="14"/>
    <x v="16"/>
    <n v="4158"/>
    <x v="0"/>
    <n v="35.9"/>
    <s v="DevOps Engineer"/>
    <n v="11"/>
    <n v="30.3"/>
    <x v="305"/>
    <n v="8.8000000000000007"/>
    <n v="7.4"/>
    <n v="7.9"/>
    <s v="Stable"/>
  </r>
  <r>
    <s v="T2954"/>
    <x v="0"/>
    <x v="1"/>
    <x v="0"/>
    <x v="2"/>
    <s v="Mar"/>
    <x v="2"/>
    <x v="1577"/>
    <n v="13.1"/>
    <x v="3"/>
    <n v="5.0999999999999996"/>
    <x v="61"/>
    <n v="5148"/>
    <x v="0"/>
    <n v="45"/>
    <s v="Data Scientist"/>
    <n v="41.4"/>
    <n v="-23.8"/>
    <x v="116"/>
    <n v="5.2"/>
    <n v="3.5"/>
    <n v="5.8"/>
    <s v="Stable"/>
  </r>
  <r>
    <s v="T2955"/>
    <x v="0"/>
    <x v="2"/>
    <x v="1"/>
    <x v="0"/>
    <s v="Nov"/>
    <x v="0"/>
    <x v="2509"/>
    <n v="7.9"/>
    <x v="1"/>
    <n v="1.5"/>
    <x v="42"/>
    <n v="5382"/>
    <x v="0"/>
    <n v="75.3"/>
    <s v="Data Scientist"/>
    <n v="33.299999999999997"/>
    <n v="-1.7"/>
    <x v="138"/>
    <n v="1.1000000000000001"/>
    <n v="4.5"/>
    <n v="7.1"/>
    <s v="Bull Market"/>
  </r>
  <r>
    <s v="T2956"/>
    <x v="1"/>
    <x v="4"/>
    <x v="3"/>
    <x v="1"/>
    <s v="Dec"/>
    <x v="2"/>
    <x v="2510"/>
    <n v="19.7"/>
    <x v="0"/>
    <n v="11"/>
    <x v="5"/>
    <n v="973"/>
    <x v="1"/>
    <n v="49.9"/>
    <s v="ML Engineer"/>
    <n v="-35.200000000000003"/>
    <n v="49.6"/>
    <x v="510"/>
    <n v="7.8"/>
    <n v="7.6"/>
    <n v="6.1"/>
    <s v="Recession"/>
  </r>
  <r>
    <s v="T2957"/>
    <x v="6"/>
    <x v="1"/>
    <x v="3"/>
    <x v="1"/>
    <s v="Sep"/>
    <x v="1"/>
    <x v="2511"/>
    <n v="6.8"/>
    <x v="4"/>
    <n v="3.4"/>
    <x v="66"/>
    <n v="3054"/>
    <x v="1"/>
    <n v="87.1"/>
    <s v="Product Manager"/>
    <n v="-29.4"/>
    <n v="51.8"/>
    <x v="428"/>
    <n v="3.9"/>
    <n v="6.5"/>
    <n v="8.8000000000000007"/>
    <s v="Bull Market"/>
  </r>
  <r>
    <s v="T2958"/>
    <x v="1"/>
    <x v="1"/>
    <x v="2"/>
    <x v="2"/>
    <s v="Jul"/>
    <x v="2"/>
    <x v="2512"/>
    <n v="23.9"/>
    <x v="1"/>
    <n v="10.9"/>
    <x v="5"/>
    <n v="124"/>
    <x v="1"/>
    <n v="87.4"/>
    <s v="DevOps Engineer"/>
    <n v="33.4"/>
    <n v="44"/>
    <x v="118"/>
    <n v="6.9"/>
    <n v="5.9"/>
    <n v="4"/>
    <s v="Recession"/>
  </r>
  <r>
    <s v="T2959"/>
    <x v="0"/>
    <x v="5"/>
    <x v="3"/>
    <x v="2"/>
    <s v="May"/>
    <x v="2"/>
    <x v="1709"/>
    <n v="6.5"/>
    <x v="1"/>
    <n v="7.3"/>
    <x v="75"/>
    <n v="2943"/>
    <x v="0"/>
    <n v="67.3"/>
    <s v="DevOps Engineer"/>
    <n v="26.6"/>
    <n v="18.899999999999999"/>
    <x v="184"/>
    <n v="4.9000000000000004"/>
    <n v="6.4"/>
    <n v="7"/>
    <s v="Stable"/>
  </r>
  <r>
    <s v="T2960"/>
    <x v="6"/>
    <x v="1"/>
    <x v="3"/>
    <x v="3"/>
    <s v="Jun"/>
    <x v="2"/>
    <x v="2513"/>
    <n v="0.9"/>
    <x v="2"/>
    <n v="13.1"/>
    <x v="10"/>
    <n v="3626"/>
    <x v="0"/>
    <n v="14.3"/>
    <s v="Product Manager"/>
    <n v="25.5"/>
    <n v="0.1"/>
    <x v="436"/>
    <n v="8.6999999999999993"/>
    <n v="8.3000000000000007"/>
    <n v="6.2"/>
    <s v="Bull Market"/>
  </r>
  <r>
    <s v="T2961"/>
    <x v="4"/>
    <x v="0"/>
    <x v="1"/>
    <x v="3"/>
    <s v="Jun"/>
    <x v="0"/>
    <x v="449"/>
    <n v="3"/>
    <x v="0"/>
    <n v="4.0999999999999996"/>
    <x v="1"/>
    <n v="5937"/>
    <x v="0"/>
    <n v="51.1"/>
    <s v="Data Scientist"/>
    <n v="-15.4"/>
    <n v="9"/>
    <x v="350"/>
    <n v="4.2"/>
    <n v="8.1999999999999993"/>
    <n v="7.9"/>
    <s v="Stable"/>
  </r>
  <r>
    <s v="T2962"/>
    <x v="10"/>
    <x v="3"/>
    <x v="5"/>
    <x v="3"/>
    <s v="Jul"/>
    <x v="1"/>
    <x v="2514"/>
    <n v="17.5"/>
    <x v="2"/>
    <n v="7.3"/>
    <x v="5"/>
    <n v="1100"/>
    <x v="0"/>
    <n v="32.799999999999997"/>
    <s v="Cybersecurity Analyst"/>
    <n v="23.5"/>
    <n v="-8.8000000000000007"/>
    <x v="345"/>
    <n v="8.6999999999999993"/>
    <n v="6.5"/>
    <n v="4.2"/>
    <s v="Recession"/>
  </r>
  <r>
    <s v="T2963"/>
    <x v="0"/>
    <x v="5"/>
    <x v="2"/>
    <x v="0"/>
    <s v="Sep"/>
    <x v="1"/>
    <x v="2515"/>
    <n v="5.0999999999999996"/>
    <x v="1"/>
    <n v="1.8"/>
    <x v="19"/>
    <n v="4928"/>
    <x v="1"/>
    <n v="69.599999999999994"/>
    <s v="DevOps Engineer"/>
    <n v="45.1"/>
    <n v="43.9"/>
    <x v="200"/>
    <n v="1.2"/>
    <n v="7.2"/>
    <n v="8.3000000000000007"/>
    <s v="Stable"/>
  </r>
  <r>
    <s v="T2964"/>
    <x v="11"/>
    <x v="6"/>
    <x v="3"/>
    <x v="0"/>
    <s v="Mar"/>
    <x v="1"/>
    <x v="697"/>
    <n v="6.4"/>
    <x v="2"/>
    <n v="5.8"/>
    <x v="39"/>
    <n v="4411"/>
    <x v="0"/>
    <n v="15"/>
    <s v="Frontend Developer"/>
    <n v="37.6"/>
    <n v="17.600000000000001"/>
    <x v="26"/>
    <n v="4.2"/>
    <n v="8.6"/>
    <n v="6.6"/>
    <s v="Stable"/>
  </r>
  <r>
    <s v="T2965"/>
    <x v="2"/>
    <x v="2"/>
    <x v="5"/>
    <x v="2"/>
    <s v="Jan"/>
    <x v="1"/>
    <x v="2516"/>
    <n v="7.8"/>
    <x v="0"/>
    <n v="3.7"/>
    <x v="18"/>
    <n v="5362"/>
    <x v="0"/>
    <n v="84.1"/>
    <s v="Frontend Developer"/>
    <n v="86.1"/>
    <n v="35.299999999999997"/>
    <x v="219"/>
    <n v="5.5"/>
    <n v="6.9"/>
    <n v="5.9"/>
    <s v="Bull Market"/>
  </r>
  <r>
    <s v="T2966"/>
    <x v="4"/>
    <x v="0"/>
    <x v="3"/>
    <x v="1"/>
    <s v="May"/>
    <x v="0"/>
    <x v="437"/>
    <n v="3.5"/>
    <x v="2"/>
    <n v="2.6"/>
    <x v="74"/>
    <n v="1741"/>
    <x v="1"/>
    <n v="50.2"/>
    <s v="Data Scientist"/>
    <n v="-41.9"/>
    <n v="-19.7"/>
    <x v="521"/>
    <n v="2.4"/>
    <n v="7.8"/>
    <n v="6.9"/>
    <s v="Bull Market"/>
  </r>
  <r>
    <s v="T2967"/>
    <x v="17"/>
    <x v="3"/>
    <x v="0"/>
    <x v="0"/>
    <s v="Apr"/>
    <x v="2"/>
    <x v="2517"/>
    <n v="18.399999999999999"/>
    <x v="0"/>
    <n v="5.9"/>
    <x v="5"/>
    <n v="1594"/>
    <x v="1"/>
    <n v="76.599999999999994"/>
    <s v="DevOps Engineer"/>
    <n v="52.7"/>
    <n v="6.5"/>
    <x v="314"/>
    <n v="8.1"/>
    <n v="3.9"/>
    <n v="4"/>
    <s v="Recession"/>
  </r>
  <r>
    <s v="T2968"/>
    <x v="11"/>
    <x v="6"/>
    <x v="3"/>
    <x v="1"/>
    <s v="Feb"/>
    <x v="2"/>
    <x v="2518"/>
    <n v="10.6"/>
    <x v="4"/>
    <n v="6.7"/>
    <x v="5"/>
    <n v="2012"/>
    <x v="0"/>
    <n v="50"/>
    <s v="Product Manager"/>
    <n v="79.7"/>
    <n v="-9.6"/>
    <x v="64"/>
    <n v="9.3000000000000007"/>
    <n v="6.1"/>
    <n v="3.9"/>
    <s v="Stable"/>
  </r>
  <r>
    <s v="T2969"/>
    <x v="2"/>
    <x v="5"/>
    <x v="1"/>
    <x v="1"/>
    <s v="Nov"/>
    <x v="1"/>
    <x v="2519"/>
    <n v="3.6"/>
    <x v="2"/>
    <n v="8.4"/>
    <x v="73"/>
    <n v="4198"/>
    <x v="0"/>
    <n v="50.3"/>
    <s v="Software Engineer"/>
    <n v="7.4"/>
    <n v="18.600000000000001"/>
    <x v="206"/>
    <n v="6.2"/>
    <n v="6.1"/>
    <n v="6.8"/>
    <s v="Stable"/>
  </r>
  <r>
    <s v="T2970"/>
    <x v="2"/>
    <x v="2"/>
    <x v="4"/>
    <x v="2"/>
    <s v="Jun"/>
    <x v="1"/>
    <x v="2520"/>
    <n v="6.8"/>
    <x v="1"/>
    <n v="5.4"/>
    <x v="50"/>
    <n v="2047"/>
    <x v="0"/>
    <n v="77.599999999999994"/>
    <s v="Software Engineer"/>
    <n v="36.200000000000003"/>
    <n v="8.9"/>
    <x v="234"/>
    <n v="8.4"/>
    <n v="8"/>
    <n v="6.6"/>
    <s v="Bull Market"/>
  </r>
  <r>
    <s v="T2971"/>
    <x v="0"/>
    <x v="5"/>
    <x v="2"/>
    <x v="2"/>
    <s v="Nov"/>
    <x v="2"/>
    <x v="2521"/>
    <n v="8.8000000000000007"/>
    <x v="3"/>
    <n v="4.8"/>
    <x v="78"/>
    <n v="773"/>
    <x v="1"/>
    <n v="60.3"/>
    <s v="Product Manager"/>
    <n v="-36.1"/>
    <n v="33.200000000000003"/>
    <x v="105"/>
    <n v="7.5"/>
    <n v="8.6999999999999993"/>
    <n v="7"/>
    <s v="Recession"/>
  </r>
  <r>
    <s v="T2972"/>
    <x v="4"/>
    <x v="1"/>
    <x v="3"/>
    <x v="0"/>
    <s v="Jun"/>
    <x v="1"/>
    <x v="2522"/>
    <n v="37.200000000000003"/>
    <x v="4"/>
    <n v="6.4"/>
    <x v="5"/>
    <n v="1513"/>
    <x v="2"/>
    <n v="71.3"/>
    <s v="Cybersecurity Analyst"/>
    <n v="-26"/>
    <n v="17.7"/>
    <x v="35"/>
    <n v="5.4"/>
    <n v="5.2"/>
    <n v="3.4"/>
    <s v="Recession"/>
  </r>
  <r>
    <s v="T2973"/>
    <x v="1"/>
    <x v="6"/>
    <x v="3"/>
    <x v="1"/>
    <s v="Apr"/>
    <x v="0"/>
    <x v="577"/>
    <n v="2.9"/>
    <x v="1"/>
    <n v="9.3000000000000007"/>
    <x v="23"/>
    <n v="1693"/>
    <x v="0"/>
    <n v="27.6"/>
    <s v="Software Engineer"/>
    <n v="66.2"/>
    <n v="32.799999999999997"/>
    <x v="383"/>
    <n v="6.9"/>
    <n v="7.4"/>
    <n v="7.9"/>
    <s v="Stable"/>
  </r>
  <r>
    <s v="T2974"/>
    <x v="13"/>
    <x v="5"/>
    <x v="3"/>
    <x v="1"/>
    <s v="Aug"/>
    <x v="0"/>
    <x v="2523"/>
    <n v="34.299999999999997"/>
    <x v="2"/>
    <n v="9.3000000000000007"/>
    <x v="5"/>
    <n v="1594"/>
    <x v="2"/>
    <n v="74.400000000000006"/>
    <s v="Data Scientist"/>
    <n v="47.7"/>
    <n v="42.1"/>
    <x v="202"/>
    <n v="8.1"/>
    <n v="4.0999999999999996"/>
    <n v="2.8"/>
    <s v="Recession"/>
  </r>
  <r>
    <s v="T2975"/>
    <x v="12"/>
    <x v="0"/>
    <x v="2"/>
    <x v="0"/>
    <s v="Oct"/>
    <x v="1"/>
    <x v="2524"/>
    <n v="15.3"/>
    <x v="3"/>
    <n v="5.7"/>
    <x v="5"/>
    <n v="4467"/>
    <x v="0"/>
    <n v="49.7"/>
    <s v="ML Engineer"/>
    <n v="-14.4"/>
    <n v="17.399999999999999"/>
    <x v="241"/>
    <n v="6.7"/>
    <n v="5.0999999999999996"/>
    <n v="4.5999999999999996"/>
    <s v="Recession"/>
  </r>
  <r>
    <s v="T2976"/>
    <x v="13"/>
    <x v="5"/>
    <x v="0"/>
    <x v="1"/>
    <s v="Apr"/>
    <x v="0"/>
    <x v="2525"/>
    <n v="35"/>
    <x v="0"/>
    <n v="7.2"/>
    <x v="5"/>
    <n v="617"/>
    <x v="1"/>
    <n v="13.4"/>
    <s v="Software Engineer"/>
    <n v="29.5"/>
    <n v="-11.3"/>
    <x v="42"/>
    <n v="7.9"/>
    <n v="4.7"/>
    <n v="1.8"/>
    <s v="Recession"/>
  </r>
  <r>
    <s v="T2977"/>
    <x v="12"/>
    <x v="0"/>
    <x v="4"/>
    <x v="0"/>
    <s v="Feb"/>
    <x v="1"/>
    <x v="2526"/>
    <n v="11.4"/>
    <x v="3"/>
    <n v="3.4"/>
    <x v="72"/>
    <n v="8622"/>
    <x v="0"/>
    <n v="89.2"/>
    <s v="ML Engineer"/>
    <n v="42.4"/>
    <n v="21.7"/>
    <x v="260"/>
    <n v="4.5999999999999996"/>
    <n v="6.9"/>
    <n v="6.2"/>
    <s v="Stable"/>
  </r>
  <r>
    <s v="T2978"/>
    <x v="7"/>
    <x v="4"/>
    <x v="4"/>
    <x v="3"/>
    <s v="Sep"/>
    <x v="2"/>
    <x v="2527"/>
    <n v="7.2"/>
    <x v="3"/>
    <n v="11.2"/>
    <x v="28"/>
    <n v="1410"/>
    <x v="0"/>
    <n v="19.2"/>
    <s v="DevOps Engineer"/>
    <n v="61.8"/>
    <n v="37"/>
    <x v="473"/>
    <n v="8"/>
    <n v="6.7"/>
    <n v="6.3"/>
    <s v="Stable"/>
  </r>
  <r>
    <s v="T2979"/>
    <x v="15"/>
    <x v="2"/>
    <x v="1"/>
    <x v="1"/>
    <s v="Mar"/>
    <x v="2"/>
    <x v="2528"/>
    <n v="22.2"/>
    <x v="2"/>
    <n v="3.6"/>
    <x v="45"/>
    <n v="1915"/>
    <x v="2"/>
    <n v="26.5"/>
    <s v="Cloud Engineer"/>
    <n v="-38.799999999999997"/>
    <n v="53.8"/>
    <x v="360"/>
    <n v="2.2000000000000002"/>
    <n v="8.4"/>
    <n v="6.5"/>
    <s v="Recession"/>
  </r>
  <r>
    <s v="T2980"/>
    <x v="8"/>
    <x v="4"/>
    <x v="2"/>
    <x v="3"/>
    <s v="Nov"/>
    <x v="0"/>
    <x v="952"/>
    <n v="7.2"/>
    <x v="0"/>
    <n v="7.1"/>
    <x v="66"/>
    <n v="5697"/>
    <x v="0"/>
    <n v="51.3"/>
    <s v="DevOps Engineer"/>
    <n v="36.4"/>
    <n v="29.9"/>
    <x v="81"/>
    <n v="5"/>
    <n v="7.9"/>
    <n v="7.1"/>
    <s v="Bull Market"/>
  </r>
  <r>
    <s v="T2981"/>
    <x v="18"/>
    <x v="0"/>
    <x v="1"/>
    <x v="3"/>
    <s v="Feb"/>
    <x v="2"/>
    <x v="2529"/>
    <n v="8.9"/>
    <x v="0"/>
    <n v="6.3"/>
    <x v="5"/>
    <n v="3910"/>
    <x v="0"/>
    <n v="40.1"/>
    <s v="ML Engineer"/>
    <n v="8.6999999999999993"/>
    <n v="2"/>
    <x v="18"/>
    <n v="8.9"/>
    <n v="6.7"/>
    <n v="4.3"/>
    <s v="Bull Market"/>
  </r>
  <r>
    <s v="T2982"/>
    <x v="18"/>
    <x v="0"/>
    <x v="2"/>
    <x v="1"/>
    <s v="Dec"/>
    <x v="1"/>
    <x v="2530"/>
    <n v="0.8"/>
    <x v="0"/>
    <n v="4.9000000000000004"/>
    <x v="73"/>
    <n v="7983"/>
    <x v="0"/>
    <n v="14.1"/>
    <s v="ML Engineer"/>
    <n v="67.099999999999994"/>
    <n v="-20.399999999999999"/>
    <x v="213"/>
    <n v="4.7"/>
    <n v="6.9"/>
    <n v="6.7"/>
    <s v="Bull Market"/>
  </r>
  <r>
    <s v="T2983"/>
    <x v="4"/>
    <x v="0"/>
    <x v="1"/>
    <x v="3"/>
    <s v="Jul"/>
    <x v="2"/>
    <x v="2531"/>
    <n v="17.3"/>
    <x v="3"/>
    <n v="11.6"/>
    <x v="5"/>
    <n v="6553"/>
    <x v="0"/>
    <n v="75.5"/>
    <s v="Data Scientist"/>
    <n v="83.2"/>
    <n v="-19.100000000000001"/>
    <x v="517"/>
    <n v="7.5"/>
    <n v="4"/>
    <n v="3.1"/>
    <s v="Stable"/>
  </r>
  <r>
    <s v="T2984"/>
    <x v="14"/>
    <x v="1"/>
    <x v="1"/>
    <x v="3"/>
    <s v="Oct"/>
    <x v="1"/>
    <x v="2532"/>
    <n v="29.6"/>
    <x v="3"/>
    <n v="11.4"/>
    <x v="5"/>
    <n v="618"/>
    <x v="2"/>
    <n v="12.7"/>
    <s v="Software Engineer"/>
    <n v="-11.4"/>
    <n v="-3.8"/>
    <x v="23"/>
    <n v="6.7"/>
    <n v="4.2"/>
    <n v="3.6"/>
    <s v="Recession"/>
  </r>
  <r>
    <s v="T2985"/>
    <x v="7"/>
    <x v="4"/>
    <x v="1"/>
    <x v="2"/>
    <s v="Jun"/>
    <x v="2"/>
    <x v="21"/>
    <n v="9"/>
    <x v="3"/>
    <n v="4"/>
    <x v="66"/>
    <n v="361"/>
    <x v="1"/>
    <n v="31"/>
    <s v="DevOps Engineer"/>
    <n v="79.900000000000006"/>
    <n v="10.1"/>
    <x v="356"/>
    <n v="2.6"/>
    <n v="6.9"/>
    <n v="5.6"/>
    <s v="Bull Market"/>
  </r>
  <r>
    <s v="T2986"/>
    <x v="15"/>
    <x v="2"/>
    <x v="1"/>
    <x v="1"/>
    <s v="Jul"/>
    <x v="0"/>
    <x v="2533"/>
    <n v="13.9"/>
    <x v="1"/>
    <n v="3.4"/>
    <x v="83"/>
    <n v="3865"/>
    <x v="1"/>
    <n v="51.8"/>
    <s v="Cloud Engineer"/>
    <n v="75.3"/>
    <n v="9.6999999999999993"/>
    <x v="249"/>
    <n v="2.2999999999999998"/>
    <n v="7.7"/>
    <n v="6.2"/>
    <s v="Stable"/>
  </r>
  <r>
    <s v="T2987"/>
    <x v="5"/>
    <x v="3"/>
    <x v="5"/>
    <x v="2"/>
    <s v="Sep"/>
    <x v="2"/>
    <x v="2534"/>
    <n v="8.6999999999999993"/>
    <x v="3"/>
    <n v="8.3000000000000007"/>
    <x v="14"/>
    <n v="544"/>
    <x v="0"/>
    <n v="88.8"/>
    <s v="DevOps Engineer"/>
    <n v="40.9"/>
    <n v="11.1"/>
    <x v="36"/>
    <n v="7"/>
    <n v="8"/>
    <n v="5.0999999999999996"/>
    <s v="Recession"/>
  </r>
  <r>
    <s v="T2988"/>
    <x v="4"/>
    <x v="0"/>
    <x v="3"/>
    <x v="2"/>
    <s v="Mar"/>
    <x v="0"/>
    <x v="2535"/>
    <n v="6.6"/>
    <x v="1"/>
    <n v="2.4"/>
    <x v="70"/>
    <n v="6987"/>
    <x v="0"/>
    <n v="32.6"/>
    <s v="ML Engineer"/>
    <n v="45.1"/>
    <n v="-9.3000000000000007"/>
    <x v="34"/>
    <n v="2.9"/>
    <n v="4.9000000000000004"/>
    <n v="6"/>
    <s v="Bull Mark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079AC-1347-40A6-A2F2-5817C89CAF43}" name="Automation_impac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Industry" colHeaderCaption="Company Name">
  <location ref="B81:C88" firstHeaderRow="1" firstDataRow="1" firstDataCol="1"/>
  <pivotFields count="23">
    <pivotField showAll="0"/>
    <pivotField showAll="0">
      <items count="21">
        <item x="9"/>
        <item x="7"/>
        <item x="1"/>
        <item x="18"/>
        <item x="13"/>
        <item x="4"/>
        <item x="2"/>
        <item x="15"/>
        <item x="17"/>
        <item x="0"/>
        <item x="5"/>
        <item x="12"/>
        <item x="19"/>
        <item x="6"/>
        <item x="16"/>
        <item x="14"/>
        <item x="3"/>
        <item x="10"/>
        <item x="11"/>
        <item x="8"/>
        <item t="default"/>
      </items>
    </pivotField>
    <pivotField axis="axisRow" showAll="0">
      <items count="8">
        <item x="0"/>
        <item x="1"/>
        <item x="2"/>
        <item x="4"/>
        <item x="6"/>
        <item x="5"/>
        <item x="3"/>
        <item t="default"/>
      </items>
    </pivotField>
    <pivotField showAll="0">
      <items count="7">
        <item x="1"/>
        <item x="3"/>
        <item x="4"/>
        <item x="0"/>
        <item x="2"/>
        <item x="5"/>
        <item t="default"/>
      </items>
    </pivotField>
    <pivotField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showAll="0"/>
    <pivotField dataField="1" showAll="0"/>
    <pivotField showAll="0">
      <items count="92">
        <item x="19"/>
        <item x="37"/>
        <item x="80"/>
        <item x="21"/>
        <item x="90"/>
        <item x="77"/>
        <item x="53"/>
        <item x="87"/>
        <item x="81"/>
        <item x="89"/>
        <item x="59"/>
        <item x="42"/>
        <item x="62"/>
        <item x="79"/>
        <item x="4"/>
        <item x="36"/>
        <item x="40"/>
        <item x="55"/>
        <item x="74"/>
        <item x="88"/>
        <item x="12"/>
        <item x="34"/>
        <item x="70"/>
        <item x="71"/>
        <item x="13"/>
        <item x="22"/>
        <item x="38"/>
        <item x="76"/>
        <item x="46"/>
        <item x="6"/>
        <item x="64"/>
        <item x="47"/>
        <item x="66"/>
        <item x="72"/>
        <item x="54"/>
        <item x="32"/>
        <item x="39"/>
        <item x="44"/>
        <item x="1"/>
        <item x="85"/>
        <item x="0"/>
        <item x="78"/>
        <item x="58"/>
        <item x="20"/>
        <item x="45"/>
        <item x="24"/>
        <item x="61"/>
        <item x="83"/>
        <item x="25"/>
        <item x="75"/>
        <item x="41"/>
        <item x="56"/>
        <item x="10"/>
        <item x="68"/>
        <item x="23"/>
        <item x="29"/>
        <item x="31"/>
        <item x="73"/>
        <item x="17"/>
        <item x="7"/>
        <item x="82"/>
        <item x="8"/>
        <item x="30"/>
        <item x="2"/>
        <item x="52"/>
        <item x="18"/>
        <item x="11"/>
        <item x="67"/>
        <item x="16"/>
        <item x="86"/>
        <item x="35"/>
        <item x="3"/>
        <item x="63"/>
        <item x="65"/>
        <item x="27"/>
        <item x="51"/>
        <item x="28"/>
        <item x="14"/>
        <item x="15"/>
        <item x="9"/>
        <item x="33"/>
        <item x="43"/>
        <item x="48"/>
        <item x="60"/>
        <item x="69"/>
        <item x="50"/>
        <item x="49"/>
        <item x="84"/>
        <item x="26"/>
        <item x="57"/>
        <item x="5"/>
        <item t="default"/>
      </items>
    </pivotField>
    <pivotField showAll="0"/>
    <pivotField showAll="0">
      <items count="5">
        <item x="3"/>
        <item x="2"/>
        <item x="1"/>
        <item x="0"/>
        <item t="default"/>
      </items>
    </pivotField>
    <pivotField showAll="0"/>
    <pivotField showAll="0"/>
    <pivotField showAll="0"/>
    <pivotField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2"/>
  </rowFields>
  <rowItems count="7">
    <i>
      <x/>
    </i>
    <i>
      <x v="1"/>
    </i>
    <i>
      <x v="2"/>
    </i>
    <i>
      <x v="3"/>
    </i>
    <i>
      <x v="4"/>
    </i>
    <i>
      <x v="5"/>
    </i>
    <i>
      <x v="6"/>
    </i>
  </rowItems>
  <colItems count="1">
    <i/>
  </colItems>
  <dataFields count="1">
    <dataField name="AI_Automation_Impact Score" fld="10" subtotal="average" baseField="2" baseItem="0"/>
  </dataFields>
  <formats count="7">
    <format dxfId="6">
      <pivotArea type="all" dataOnly="0" outline="0" fieldPosition="0"/>
    </format>
    <format dxfId="5">
      <pivotArea outline="0" collapsedLevelsAreSubtotals="1" fieldPosition="0"/>
    </format>
    <format dxfId="4">
      <pivotArea type="origin" dataOnly="0" labelOnly="1" outline="0" fieldPosition="0"/>
    </format>
    <format dxfId="3">
      <pivotArea field="2" type="button" dataOnly="0" labelOnly="1" outline="0" axis="axisRow" fieldPosition="0"/>
    </format>
    <format dxfId="2">
      <pivotArea type="topRight" dataOnly="0" labelOnly="1" outline="0" fieldPosition="0"/>
    </format>
    <format dxfId="1">
      <pivotArea field="6" type="button" dataOnly="0" labelOnly="1" outline="0"/>
    </format>
    <format dxfId="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CC1E1-A7C8-41CC-BEEB-E6EB008DFBA2}" name="Layoff_reas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Layoff Reasons" colHeaderCaption="Company Name">
  <location ref="B27:C32" firstHeaderRow="1" firstDataRow="1" firstDataCol="1"/>
  <pivotFields count="23">
    <pivotField dataField="1" showAll="0"/>
    <pivotField showAll="0">
      <items count="21">
        <item x="9"/>
        <item x="7"/>
        <item x="1"/>
        <item x="18"/>
        <item x="13"/>
        <item x="4"/>
        <item x="2"/>
        <item x="15"/>
        <item x="17"/>
        <item x="0"/>
        <item x="5"/>
        <item x="12"/>
        <item x="19"/>
        <item x="6"/>
        <item x="16"/>
        <item x="14"/>
        <item x="3"/>
        <item x="10"/>
        <item x="11"/>
        <item x="8"/>
        <item t="default"/>
      </items>
    </pivotField>
    <pivotField showAll="0">
      <items count="8">
        <item x="0"/>
        <item x="1"/>
        <item x="2"/>
        <item x="4"/>
        <item x="6"/>
        <item x="5"/>
        <item x="3"/>
        <item t="default"/>
      </items>
    </pivotField>
    <pivotField showAll="0">
      <items count="7">
        <item x="1"/>
        <item x="3"/>
        <item x="4"/>
        <item x="0"/>
        <item x="2"/>
        <item x="5"/>
        <item t="default"/>
      </items>
    </pivotField>
    <pivotField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axis="axisRow" showAll="0" sortType="de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2"/>
        <item x="1"/>
        <item x="0"/>
        <item t="default"/>
      </items>
    </pivotField>
    <pivotField showAll="0"/>
    <pivotField showAll="0"/>
    <pivotField showAll="0"/>
    <pivotField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9"/>
  </rowFields>
  <rowItems count="5">
    <i>
      <x v="4"/>
    </i>
    <i>
      <x v="3"/>
    </i>
    <i>
      <x/>
    </i>
    <i>
      <x v="2"/>
    </i>
    <i>
      <x v="1"/>
    </i>
  </rowItems>
  <colItems count="1">
    <i/>
  </colItems>
  <dataFields count="1">
    <dataField name="Count" fld="0" subtotal="count" baseField="9" baseItem="0"/>
  </dataFields>
  <formats count="7">
    <format dxfId="13">
      <pivotArea type="all" dataOnly="0" outline="0" fieldPosition="0"/>
    </format>
    <format dxfId="12">
      <pivotArea outline="0" collapsedLevelsAreSubtotals="1" fieldPosition="0"/>
    </format>
    <format dxfId="11">
      <pivotArea type="origin" dataOnly="0" labelOnly="1" outline="0" fieldPosition="0"/>
    </format>
    <format dxfId="10">
      <pivotArea field="2" type="button" dataOnly="0" labelOnly="1" outline="0"/>
    </format>
    <format dxfId="9">
      <pivotArea type="topRight" dataOnly="0" labelOnly="1" outline="0" fieldPosition="0"/>
    </format>
    <format dxfId="8">
      <pivotArea field="6" type="button" dataOnly="0" labelOnly="1" outline="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8C0F6-F28C-47BE-8DFB-86CBEBC710AB}" name="Layoff_Percentag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ompany" colHeaderCaption="Company Name">
  <location ref="B37:C57" firstHeaderRow="1" firstDataRow="1" firstDataCol="1"/>
  <pivotFields count="23">
    <pivotField showAll="0"/>
    <pivotField axis="axisRow" showAll="0">
      <items count="21">
        <item x="9"/>
        <item x="7"/>
        <item x="1"/>
        <item x="18"/>
        <item x="13"/>
        <item x="4"/>
        <item x="2"/>
        <item x="15"/>
        <item x="17"/>
        <item x="0"/>
        <item x="5"/>
        <item x="12"/>
        <item x="19"/>
        <item x="6"/>
        <item x="16"/>
        <item x="14"/>
        <item x="3"/>
        <item x="10"/>
        <item x="11"/>
        <item x="8"/>
        <item t="default"/>
      </items>
    </pivotField>
    <pivotField showAll="0">
      <items count="8">
        <item x="0"/>
        <item x="1"/>
        <item x="2"/>
        <item x="4"/>
        <item x="6"/>
        <item x="5"/>
        <item x="3"/>
        <item t="default"/>
      </items>
    </pivotField>
    <pivotField showAll="0">
      <items count="7">
        <item x="1"/>
        <item x="3"/>
        <item x="4"/>
        <item x="0"/>
        <item x="2"/>
        <item x="5"/>
        <item t="default"/>
      </items>
    </pivotField>
    <pivotField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dataField="1"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1"/>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Layoff percentage" fld="8" subtotal="average" baseField="1" baseItem="0"/>
  </dataFields>
  <formats count="7">
    <format dxfId="20">
      <pivotArea type="all" dataOnly="0" outline="0" fieldPosition="0"/>
    </format>
    <format dxfId="19">
      <pivotArea outline="0" collapsedLevelsAreSubtotals="1" fieldPosition="0"/>
    </format>
    <format dxfId="18">
      <pivotArea type="origin" dataOnly="0" labelOnly="1" outline="0" fieldPosition="0"/>
    </format>
    <format dxfId="17">
      <pivotArea field="2" type="button" dataOnly="0" labelOnly="1" outline="0"/>
    </format>
    <format dxfId="16">
      <pivotArea type="topRight" dataOnly="0" labelOnly="1" outline="0" fieldPosition="0"/>
    </format>
    <format dxfId="15">
      <pivotArea field="6" type="button" dataOnly="0" labelOnly="1" outline="0"/>
    </format>
    <format dxfId="14">
      <pivotArea outline="0" collapsedLevelsAreSubtotals="1" fieldPosition="0"/>
    </format>
  </formats>
  <conditionalFormats count="1">
    <conditionalFormat priority="7">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D4DA2-2548-413C-AFCF-1A28A229DFD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Hiring Trend" colHeaderCaption="Company Name">
  <location ref="B117:C122" firstHeaderRow="1" firstDataRow="1" firstDataCol="1"/>
  <pivotFields count="23">
    <pivotField showAll="0"/>
    <pivotField showAll="0">
      <items count="21">
        <item x="9"/>
        <item x="7"/>
        <item x="1"/>
        <item x="18"/>
        <item x="13"/>
        <item x="4"/>
        <item x="2"/>
        <item x="15"/>
        <item x="17"/>
        <item x="0"/>
        <item x="5"/>
        <item x="12"/>
        <item x="19"/>
        <item x="6"/>
        <item x="16"/>
        <item x="14"/>
        <item x="3"/>
        <item x="10"/>
        <item x="11"/>
        <item x="8"/>
        <item t="default"/>
      </items>
    </pivotField>
    <pivotField showAll="0">
      <items count="8">
        <item x="0"/>
        <item x="1"/>
        <item x="2"/>
        <item x="4"/>
        <item x="6"/>
        <item x="5"/>
        <item x="3"/>
        <item t="default"/>
      </items>
    </pivotField>
    <pivotField showAll="0">
      <items count="7">
        <item x="1"/>
        <item x="3"/>
        <item x="4"/>
        <item x="0"/>
        <item x="2"/>
        <item x="5"/>
        <item t="default"/>
      </items>
    </pivotField>
    <pivotField showAll="0">
      <items count="5">
        <item x="2"/>
        <item x="0"/>
        <item x="1"/>
        <item x="3"/>
        <item t="default"/>
      </items>
    </pivotField>
    <pivotField showAll="0"/>
    <pivotField showAll="0">
      <items count="4">
        <item x="1"/>
        <item x="2"/>
        <item x="0"/>
        <item t="default"/>
      </items>
    </pivotField>
    <pivotField dataField="1"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axis="axisRow" showAll="0">
      <items count="6">
        <item x="0"/>
        <item x="4"/>
        <item x="3"/>
        <item x="2"/>
        <item x="1"/>
        <item t="default"/>
      </items>
    </pivotField>
    <pivotField showAll="0"/>
    <pivotField showAll="0">
      <items count="92">
        <item x="19"/>
        <item x="37"/>
        <item x="80"/>
        <item x="21"/>
        <item x="90"/>
        <item x="77"/>
        <item x="53"/>
        <item x="87"/>
        <item x="81"/>
        <item x="89"/>
        <item x="59"/>
        <item x="42"/>
        <item x="62"/>
        <item x="79"/>
        <item x="4"/>
        <item x="36"/>
        <item x="40"/>
        <item x="55"/>
        <item x="74"/>
        <item x="88"/>
        <item x="12"/>
        <item x="34"/>
        <item x="70"/>
        <item x="71"/>
        <item x="13"/>
        <item x="22"/>
        <item x="38"/>
        <item x="76"/>
        <item x="46"/>
        <item x="6"/>
        <item x="64"/>
        <item x="47"/>
        <item x="66"/>
        <item x="72"/>
        <item x="54"/>
        <item x="32"/>
        <item x="39"/>
        <item x="44"/>
        <item x="1"/>
        <item x="85"/>
        <item x="0"/>
        <item x="78"/>
        <item x="58"/>
        <item x="20"/>
        <item x="45"/>
        <item x="24"/>
        <item x="61"/>
        <item x="83"/>
        <item x="25"/>
        <item x="75"/>
        <item x="41"/>
        <item x="56"/>
        <item x="10"/>
        <item x="68"/>
        <item x="23"/>
        <item x="29"/>
        <item x="31"/>
        <item x="73"/>
        <item x="17"/>
        <item x="7"/>
        <item x="82"/>
        <item x="8"/>
        <item x="30"/>
        <item x="2"/>
        <item x="52"/>
        <item x="18"/>
        <item x="11"/>
        <item x="67"/>
        <item x="16"/>
        <item x="86"/>
        <item x="35"/>
        <item x="3"/>
        <item x="63"/>
        <item x="65"/>
        <item x="27"/>
        <item x="51"/>
        <item x="28"/>
        <item x="14"/>
        <item x="15"/>
        <item x="9"/>
        <item x="33"/>
        <item x="43"/>
        <item x="48"/>
        <item x="60"/>
        <item x="69"/>
        <item x="50"/>
        <item x="49"/>
        <item x="84"/>
        <item x="26"/>
        <item x="57"/>
        <item x="5"/>
        <item t="default"/>
      </items>
    </pivotField>
    <pivotField showAll="0"/>
    <pivotField showAll="0">
      <items count="5">
        <item x="3"/>
        <item x="2"/>
        <item x="1"/>
        <item x="0"/>
        <item t="default"/>
      </items>
    </pivotField>
    <pivotField showAll="0"/>
    <pivotField showAll="0"/>
    <pivotField showAll="0"/>
    <pivotField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9"/>
  </rowFields>
  <rowItems count="5">
    <i>
      <x/>
    </i>
    <i>
      <x v="1"/>
    </i>
    <i>
      <x v="2"/>
    </i>
    <i>
      <x v="3"/>
    </i>
    <i>
      <x v="4"/>
    </i>
  </rowItems>
  <colItems count="1">
    <i/>
  </colItems>
  <dataFields count="1">
    <dataField name="Count of layoffs_count" fld="7" subtotal="count" baseField="9" baseItem="0"/>
  </dataFields>
  <formats count="7">
    <format dxfId="27">
      <pivotArea type="all" dataOnly="0" outline="0" fieldPosition="0"/>
    </format>
    <format dxfId="26">
      <pivotArea outline="0" collapsedLevelsAreSubtotals="1" fieldPosition="0"/>
    </format>
    <format dxfId="25">
      <pivotArea type="origin" dataOnly="0" labelOnly="1" outline="0" fieldPosition="0"/>
    </format>
    <format dxfId="24">
      <pivotArea field="2" type="button" dataOnly="0" labelOnly="1" outline="0"/>
    </format>
    <format dxfId="23">
      <pivotArea type="topRight" dataOnly="0" labelOnly="1" outline="0" fieldPosition="0"/>
    </format>
    <format dxfId="22">
      <pivotArea field="6" type="button" dataOnly="0" labelOnly="1" outline="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708DA9-D4BC-4930-A24B-9679F1669D1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ompany Size" colHeaderCaption="Company Name">
  <location ref="B20:C24" firstHeaderRow="1" firstDataRow="1" firstDataCol="1"/>
  <pivotFields count="23">
    <pivotField showAll="0"/>
    <pivotField showAll="0"/>
    <pivotField showAll="0">
      <items count="8">
        <item x="0"/>
        <item x="1"/>
        <item x="2"/>
        <item x="4"/>
        <item x="6"/>
        <item x="5"/>
        <item x="3"/>
        <item t="default"/>
      </items>
    </pivotField>
    <pivotField showAll="0"/>
    <pivotField axis="axisRow"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showAll="0"/>
    <pivotField showAll="0"/>
    <pivotField showAll="0"/>
    <pivotField showAll="0"/>
    <pivotField showAll="0"/>
    <pivotField showAll="0"/>
    <pivotField showAll="0"/>
    <pivotField showAll="0"/>
    <pivotField showAll="0"/>
    <pivotField dataField="1"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4"/>
  </rowFields>
  <rowItems count="4">
    <i>
      <x/>
    </i>
    <i>
      <x v="1"/>
    </i>
    <i>
      <x v="2"/>
    </i>
    <i>
      <x v="3"/>
    </i>
  </rowItems>
  <colItems count="1">
    <i/>
  </colItems>
  <dataFields count="1">
    <dataField name="Salary Budget Change" fld="18" subtotal="average" baseField="4" baseItem="0" numFmtId="2"/>
  </dataFields>
  <formats count="8">
    <format dxfId="35">
      <pivotArea type="all" dataOnly="0" outline="0" fieldPosition="0"/>
    </format>
    <format dxfId="34">
      <pivotArea outline="0" collapsedLevelsAreSubtotals="1" fieldPosition="0"/>
    </format>
    <format dxfId="33">
      <pivotArea type="origin" dataOnly="0" labelOnly="1" outline="0" fieldPosition="0"/>
    </format>
    <format dxfId="32">
      <pivotArea field="2" type="button" dataOnly="0" labelOnly="1" outline="0"/>
    </format>
    <format dxfId="31">
      <pivotArea type="topRight" dataOnly="0" labelOnly="1" outline="0" fieldPosition="0"/>
    </format>
    <format dxfId="30">
      <pivotArea field="6" type="button" dataOnly="0" labelOnly="1" outline="0"/>
    </format>
    <format dxfId="29">
      <pivotArea collapsedLevelsAreSubtotals="1" fieldPosition="0">
        <references count="1">
          <reference field="4" count="1">
            <x v="0"/>
          </reference>
        </references>
      </pivotArea>
    </format>
    <format dxfId="28">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8A2C4EF0-9985-4024-9E2B-448C7FE037A9}">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A5E6E3-CB52-4902-97CF-840DABF54A5E}" name="Layoffs_per_yea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Year" colHeaderCaption="Company Name">
  <location ref="B5:I9" firstHeaderRow="1" firstDataRow="2" firstDataCol="1"/>
  <pivotFields count="23">
    <pivotField showAll="0"/>
    <pivotField showAll="0"/>
    <pivotField axis="axisCol" showAll="0">
      <items count="8">
        <item x="0"/>
        <item x="1"/>
        <item x="2"/>
        <item x="4"/>
        <item x="6"/>
        <item x="5"/>
        <item x="3"/>
        <item t="default"/>
      </items>
    </pivotField>
    <pivotField showAll="0"/>
    <pivotField showAll="0"/>
    <pivotField showAll="0"/>
    <pivotField axis="axisRow" showAll="0">
      <items count="4">
        <item x="1"/>
        <item x="2"/>
        <item x="0"/>
        <item t="default"/>
      </items>
    </pivotField>
    <pivotField dataField="1"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x v="2"/>
    </i>
  </rowItems>
  <colFields count="1">
    <field x="2"/>
  </colFields>
  <colItems count="7">
    <i>
      <x/>
    </i>
    <i>
      <x v="1"/>
    </i>
    <i>
      <x v="2"/>
    </i>
    <i>
      <x v="3"/>
    </i>
    <i>
      <x v="4"/>
    </i>
    <i>
      <x v="5"/>
    </i>
    <i>
      <x v="6"/>
    </i>
  </colItems>
  <dataFields count="1">
    <dataField name="Layoffs" fld="7" baseField="0" baseItem="0"/>
  </dataFields>
  <formats count="8">
    <format dxfId="43">
      <pivotArea type="all" dataOnly="0" outline="0" fieldPosition="0"/>
    </format>
    <format dxfId="42">
      <pivotArea outline="0" collapsedLevelsAreSubtotals="1" fieldPosition="0"/>
    </format>
    <format dxfId="41">
      <pivotArea type="origin" dataOnly="0" labelOnly="1" outline="0" fieldPosition="0"/>
    </format>
    <format dxfId="40">
      <pivotArea field="2" type="button" dataOnly="0" labelOnly="1" outline="0" axis="axisCol" fieldPosition="0"/>
    </format>
    <format dxfId="39">
      <pivotArea type="topRight" dataOnly="0" labelOnly="1" outline="0" fieldPosition="0"/>
    </format>
    <format dxfId="38">
      <pivotArea field="6" type="button" dataOnly="0" labelOnly="1" outline="0" axis="axisRow" fieldPosition="0"/>
    </format>
    <format dxfId="37">
      <pivotArea dataOnly="0" labelOnly="1" fieldPosition="0">
        <references count="1">
          <reference field="6" count="0"/>
        </references>
      </pivotArea>
    </format>
    <format dxfId="36">
      <pivotArea dataOnly="0" labelOnly="1" fieldPosition="0">
        <references count="1">
          <reference field="2" count="0"/>
        </references>
      </pivotArea>
    </format>
  </format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6" series="1">
      <pivotArea type="data" outline="0" fieldPosition="0">
        <references count="2">
          <reference field="4294967294" count="1" selected="0">
            <x v="0"/>
          </reference>
          <reference field="2" count="1" selected="0">
            <x v="2"/>
          </reference>
        </references>
      </pivotArea>
    </chartFormat>
    <chartFormat chart="2" format="17" series="1">
      <pivotArea type="data" outline="0" fieldPosition="0">
        <references count="2">
          <reference field="4294967294" count="1" selected="0">
            <x v="0"/>
          </reference>
          <reference field="2" count="1" selected="0">
            <x v="3"/>
          </reference>
        </references>
      </pivotArea>
    </chartFormat>
    <chartFormat chart="2" format="18" series="1">
      <pivotArea type="data" outline="0" fieldPosition="0">
        <references count="2">
          <reference field="4294967294" count="1" selected="0">
            <x v="0"/>
          </reference>
          <reference field="2" count="1" selected="0">
            <x v="4"/>
          </reference>
        </references>
      </pivotArea>
    </chartFormat>
    <chartFormat chart="2" format="19" series="1">
      <pivotArea type="data" outline="0" fieldPosition="0">
        <references count="2">
          <reference field="4294967294" count="1" selected="0">
            <x v="0"/>
          </reference>
          <reference field="2" count="1" selected="0">
            <x v="5"/>
          </reference>
        </references>
      </pivotArea>
    </chartFormat>
    <chartFormat chart="2" format="20" series="1">
      <pivotArea type="data" outline="0" fieldPosition="0">
        <references count="2">
          <reference field="4294967294" count="1" selected="0">
            <x v="0"/>
          </reference>
          <reference field="2" count="1" selected="0">
            <x v="6"/>
          </reference>
        </references>
      </pivotArea>
    </chartFormat>
    <chartFormat chart="2" format="2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99E194-B02C-4AC0-AE46-73F1539CB1A3}" name="rev_grow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Hiring Trend" colHeaderCaption="Company Name">
  <location ref="B99:C105" firstHeaderRow="1" firstDataRow="1" firstDataCol="1"/>
  <pivotFields count="23">
    <pivotField showAll="0"/>
    <pivotField showAll="0">
      <items count="21">
        <item x="9"/>
        <item x="7"/>
        <item x="1"/>
        <item x="18"/>
        <item x="13"/>
        <item x="4"/>
        <item x="2"/>
        <item x="15"/>
        <item x="17"/>
        <item x="0"/>
        <item x="5"/>
        <item x="12"/>
        <item x="19"/>
        <item x="6"/>
        <item x="16"/>
        <item x="14"/>
        <item x="3"/>
        <item x="10"/>
        <item x="11"/>
        <item x="8"/>
        <item t="default"/>
      </items>
    </pivotField>
    <pivotField showAll="0">
      <items count="8">
        <item x="0"/>
        <item x="1"/>
        <item x="2"/>
        <item x="4"/>
        <item x="6"/>
        <item x="5"/>
        <item x="3"/>
        <item t="default"/>
      </items>
    </pivotField>
    <pivotField axis="axisRow" showAll="0" sortType="descending">
      <items count="7">
        <item x="1"/>
        <item x="3"/>
        <item x="4"/>
        <item x="0"/>
        <item x="2"/>
        <item x="5"/>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showAll="0"/>
    <pivotField showAll="0"/>
    <pivotField showAll="0">
      <items count="92">
        <item x="19"/>
        <item x="37"/>
        <item x="80"/>
        <item x="21"/>
        <item x="90"/>
        <item x="77"/>
        <item x="53"/>
        <item x="87"/>
        <item x="81"/>
        <item x="89"/>
        <item x="59"/>
        <item x="42"/>
        <item x="62"/>
        <item x="79"/>
        <item x="4"/>
        <item x="36"/>
        <item x="40"/>
        <item x="55"/>
        <item x="74"/>
        <item x="88"/>
        <item x="12"/>
        <item x="34"/>
        <item x="70"/>
        <item x="71"/>
        <item x="13"/>
        <item x="22"/>
        <item x="38"/>
        <item x="76"/>
        <item x="46"/>
        <item x="6"/>
        <item x="64"/>
        <item x="47"/>
        <item x="66"/>
        <item x="72"/>
        <item x="54"/>
        <item x="32"/>
        <item x="39"/>
        <item x="44"/>
        <item x="1"/>
        <item x="85"/>
        <item x="0"/>
        <item x="78"/>
        <item x="58"/>
        <item x="20"/>
        <item x="45"/>
        <item x="24"/>
        <item x="61"/>
        <item x="83"/>
        <item x="25"/>
        <item x="75"/>
        <item x="41"/>
        <item x="56"/>
        <item x="10"/>
        <item x="68"/>
        <item x="23"/>
        <item x="29"/>
        <item x="31"/>
        <item x="73"/>
        <item x="17"/>
        <item x="7"/>
        <item x="82"/>
        <item x="8"/>
        <item x="30"/>
        <item x="2"/>
        <item x="52"/>
        <item x="18"/>
        <item x="11"/>
        <item x="67"/>
        <item x="16"/>
        <item x="86"/>
        <item x="35"/>
        <item x="3"/>
        <item x="63"/>
        <item x="65"/>
        <item x="27"/>
        <item x="51"/>
        <item x="28"/>
        <item x="14"/>
        <item x="15"/>
        <item x="9"/>
        <item x="33"/>
        <item x="43"/>
        <item x="48"/>
        <item x="60"/>
        <item x="69"/>
        <item x="50"/>
        <item x="49"/>
        <item x="84"/>
        <item x="26"/>
        <item x="57"/>
        <item x="5"/>
        <item t="default"/>
      </items>
    </pivotField>
    <pivotField showAll="0"/>
    <pivotField showAll="0">
      <items count="5">
        <item x="3"/>
        <item x="2"/>
        <item x="1"/>
        <item x="0"/>
        <item t="default"/>
      </items>
    </pivotField>
    <pivotField showAll="0"/>
    <pivotField showAll="0"/>
    <pivotField showAll="0"/>
    <pivotField dataField="1"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3"/>
  </rowFields>
  <rowItems count="6">
    <i>
      <x v="2"/>
    </i>
    <i>
      <x v="3"/>
    </i>
    <i>
      <x/>
    </i>
    <i>
      <x v="5"/>
    </i>
    <i>
      <x v="4"/>
    </i>
    <i>
      <x v="1"/>
    </i>
  </rowItems>
  <colItems count="1">
    <i/>
  </colItems>
  <dataFields count="1">
    <dataField name="Revenue_Growth_Percentage" fld="17" subtotal="average" baseField="2" baseItem="0" numFmtId="2"/>
  </dataFields>
  <formats count="8">
    <format dxfId="51">
      <pivotArea type="all" dataOnly="0" outline="0" fieldPosition="0"/>
    </format>
    <format dxfId="50">
      <pivotArea outline="0" collapsedLevelsAreSubtotals="1" fieldPosition="0"/>
    </format>
    <format dxfId="49">
      <pivotArea type="origin" dataOnly="0" labelOnly="1" outline="0" fieldPosition="0"/>
    </format>
    <format dxfId="48">
      <pivotArea field="2" type="button" dataOnly="0" labelOnly="1" outline="0"/>
    </format>
    <format dxfId="47">
      <pivotArea type="topRight" dataOnly="0" labelOnly="1" outline="0" fieldPosition="0"/>
    </format>
    <format dxfId="46">
      <pivotArea field="6" type="button" dataOnly="0" labelOnly="1" outline="0"/>
    </format>
    <format dxfId="45">
      <pivotArea outline="0" fieldPosition="0">
        <references count="1">
          <reference field="4294967294" count="1">
            <x v="0"/>
          </reference>
        </references>
      </pivotArea>
    </format>
    <format dxfId="44">
      <pivotArea outline="0" collapsedLevelsAreSubtotals="1" fieldPosition="0"/>
    </format>
  </formats>
  <chartFormats count="14">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2"/>
          </reference>
        </references>
      </pivotArea>
    </chartFormat>
    <chartFormat chart="12" format="2">
      <pivotArea type="data" outline="0" fieldPosition="0">
        <references count="2">
          <reference field="4294967294" count="1" selected="0">
            <x v="0"/>
          </reference>
          <reference field="3" count="1" selected="0">
            <x v="3"/>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 chart="12" format="4">
      <pivotArea type="data" outline="0" fieldPosition="0">
        <references count="2">
          <reference field="4294967294" count="1" selected="0">
            <x v="0"/>
          </reference>
          <reference field="3" count="1" selected="0">
            <x v="5"/>
          </reference>
        </references>
      </pivotArea>
    </chartFormat>
    <chartFormat chart="12" format="5">
      <pivotArea type="data" outline="0" fieldPosition="0">
        <references count="2">
          <reference field="4294967294" count="1" selected="0">
            <x v="0"/>
          </reference>
          <reference field="3" count="1" selected="0">
            <x v="4"/>
          </reference>
        </references>
      </pivotArea>
    </chartFormat>
    <chartFormat chart="12" format="6">
      <pivotArea type="data" outline="0" fieldPosition="0">
        <references count="2">
          <reference field="4294967294" count="1" selected="0">
            <x v="0"/>
          </reference>
          <reference field="3"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3" count="1" selected="0">
            <x v="2"/>
          </reference>
        </references>
      </pivotArea>
    </chartFormat>
    <chartFormat chart="16" format="16">
      <pivotArea type="data" outline="0" fieldPosition="0">
        <references count="2">
          <reference field="4294967294" count="1" selected="0">
            <x v="0"/>
          </reference>
          <reference field="3" count="1" selected="0">
            <x v="3"/>
          </reference>
        </references>
      </pivotArea>
    </chartFormat>
    <chartFormat chart="16" format="17">
      <pivotArea type="data" outline="0" fieldPosition="0">
        <references count="2">
          <reference field="4294967294" count="1" selected="0">
            <x v="0"/>
          </reference>
          <reference field="3" count="1" selected="0">
            <x v="0"/>
          </reference>
        </references>
      </pivotArea>
    </chartFormat>
    <chartFormat chart="16" format="18">
      <pivotArea type="data" outline="0" fieldPosition="0">
        <references count="2">
          <reference field="4294967294" count="1" selected="0">
            <x v="0"/>
          </reference>
          <reference field="3" count="1" selected="0">
            <x v="5"/>
          </reference>
        </references>
      </pivotArea>
    </chartFormat>
    <chartFormat chart="16" format="19">
      <pivotArea type="data" outline="0" fieldPosition="0">
        <references count="2">
          <reference field="4294967294" count="1" selected="0">
            <x v="0"/>
          </reference>
          <reference field="3" count="1" selected="0">
            <x v="4"/>
          </reference>
        </references>
      </pivotArea>
    </chartFormat>
    <chartFormat chart="16" format="2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0B78B8-F0D3-4F3F-B4EC-489C67B193C7}" name="Job_Securi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Industry" colHeaderCaption="Company Size">
  <location ref="E37:I45" firstHeaderRow="1" firstDataRow="2" firstDataCol="1"/>
  <pivotFields count="23">
    <pivotField showAll="0"/>
    <pivotField showAll="0">
      <items count="21">
        <item x="9"/>
        <item x="7"/>
        <item x="1"/>
        <item x="18"/>
        <item x="13"/>
        <item x="4"/>
        <item x="2"/>
        <item x="15"/>
        <item x="17"/>
        <item x="0"/>
        <item x="5"/>
        <item x="12"/>
        <item x="19"/>
        <item x="6"/>
        <item x="16"/>
        <item x="14"/>
        <item x="3"/>
        <item x="10"/>
        <item x="11"/>
        <item x="8"/>
        <item t="default"/>
      </items>
    </pivotField>
    <pivotField axis="axisRow" showAll="0">
      <items count="8">
        <item x="0"/>
        <item x="1"/>
        <item x="2"/>
        <item x="4"/>
        <item x="6"/>
        <item x="5"/>
        <item x="3"/>
        <item t="default"/>
      </items>
    </pivotField>
    <pivotField showAll="0">
      <items count="7">
        <item x="1"/>
        <item x="3"/>
        <item x="4"/>
        <item x="0"/>
        <item x="2"/>
        <item x="5"/>
        <item t="default"/>
      </items>
    </pivotField>
    <pivotField axis="axisCol"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showAll="0"/>
    <pivotField showAll="0"/>
    <pivotField showAll="0"/>
    <pivotField showAll="0"/>
    <pivotField showAll="0">
      <items count="5">
        <item x="3"/>
        <item x="2"/>
        <item x="1"/>
        <item x="0"/>
        <item t="default"/>
      </items>
    </pivotField>
    <pivotField showAll="0"/>
    <pivotField showAll="0"/>
    <pivotField showAll="0"/>
    <pivotField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dataField="1" showAll="0"/>
    <pivotField showAll="0"/>
  </pivotFields>
  <rowFields count="1">
    <field x="2"/>
  </rowFields>
  <rowItems count="7">
    <i>
      <x/>
    </i>
    <i>
      <x v="1"/>
    </i>
    <i>
      <x v="2"/>
    </i>
    <i>
      <x v="3"/>
    </i>
    <i>
      <x v="4"/>
    </i>
    <i>
      <x v="5"/>
    </i>
    <i>
      <x v="6"/>
    </i>
  </rowItems>
  <colFields count="1">
    <field x="4"/>
  </colFields>
  <colItems count="4">
    <i>
      <x/>
    </i>
    <i>
      <x v="1"/>
    </i>
    <i>
      <x v="2"/>
    </i>
    <i>
      <x v="3"/>
    </i>
  </colItems>
  <dataFields count="1">
    <dataField name="Job Security Score" fld="21" subtotal="average" baseField="2" baseItem="0"/>
  </dataFields>
  <formats count="7">
    <format dxfId="58">
      <pivotArea type="all" dataOnly="0" outline="0" fieldPosition="0"/>
    </format>
    <format dxfId="57">
      <pivotArea outline="0" collapsedLevelsAreSubtotals="1" fieldPosition="0"/>
    </format>
    <format dxfId="56">
      <pivotArea type="origin" dataOnly="0" labelOnly="1" outline="0" fieldPosition="0"/>
    </format>
    <format dxfId="55">
      <pivotArea field="2" type="button" dataOnly="0" labelOnly="1" outline="0" axis="axisRow" fieldPosition="0"/>
    </format>
    <format dxfId="54">
      <pivotArea type="topRight" dataOnly="0" labelOnly="1" outline="0" fieldPosition="0"/>
    </format>
    <format dxfId="53">
      <pivotArea field="6" type="button" dataOnly="0" labelOnly="1" outline="0"/>
    </format>
    <format dxfId="52">
      <pivotArea outline="0" collapsedLevelsAreSubtotals="1" fieldPosition="0"/>
    </format>
  </formats>
  <conditionalFormats count="1">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B140C1-2FC2-42AF-96BE-0FE492EB050A}" name="AI_replacement_risk"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Industry" colHeaderCaption="Company Name">
  <location ref="B63:C70" firstHeaderRow="1" firstDataRow="1" firstDataCol="1"/>
  <pivotFields count="23">
    <pivotField showAll="0"/>
    <pivotField showAll="0">
      <items count="21">
        <item x="9"/>
        <item x="7"/>
        <item x="1"/>
        <item x="18"/>
        <item x="13"/>
        <item x="4"/>
        <item x="2"/>
        <item x="15"/>
        <item x="17"/>
        <item x="0"/>
        <item x="5"/>
        <item x="12"/>
        <item x="19"/>
        <item x="6"/>
        <item x="16"/>
        <item x="14"/>
        <item x="3"/>
        <item x="10"/>
        <item x="11"/>
        <item x="8"/>
        <item t="default"/>
      </items>
    </pivotField>
    <pivotField axis="axisRow" showAll="0">
      <items count="8">
        <item x="0"/>
        <item x="1"/>
        <item x="2"/>
        <item x="4"/>
        <item x="6"/>
        <item x="5"/>
        <item x="3"/>
        <item t="default"/>
      </items>
    </pivotField>
    <pivotField showAll="0">
      <items count="7">
        <item x="1"/>
        <item x="3"/>
        <item x="4"/>
        <item x="0"/>
        <item x="2"/>
        <item x="5"/>
        <item t="default"/>
      </items>
    </pivotField>
    <pivotField showAll="0">
      <items count="5">
        <item x="2"/>
        <item x="0"/>
        <item x="1"/>
        <item x="3"/>
        <item t="default"/>
      </items>
    </pivotField>
    <pivotField showAll="0"/>
    <pivotField showAll="0">
      <items count="4">
        <item x="1"/>
        <item x="2"/>
        <item x="0"/>
        <item t="default"/>
      </items>
    </pivotField>
    <pivotField showAll="0">
      <items count="2537">
        <item x="825"/>
        <item x="1416"/>
        <item x="2019"/>
        <item x="584"/>
        <item x="1902"/>
        <item x="2302"/>
        <item x="235"/>
        <item x="997"/>
        <item x="2516"/>
        <item x="1523"/>
        <item x="389"/>
        <item x="118"/>
        <item x="852"/>
        <item x="2284"/>
        <item x="1580"/>
        <item x="186"/>
        <item x="1983"/>
        <item x="547"/>
        <item x="858"/>
        <item x="718"/>
        <item x="386"/>
        <item x="1481"/>
        <item x="170"/>
        <item x="910"/>
        <item x="253"/>
        <item x="536"/>
        <item x="1257"/>
        <item x="300"/>
        <item x="1831"/>
        <item x="51"/>
        <item x="1544"/>
        <item x="2006"/>
        <item x="2056"/>
        <item x="1223"/>
        <item x="239"/>
        <item x="1768"/>
        <item x="2244"/>
        <item x="2021"/>
        <item x="694"/>
        <item x="1658"/>
        <item x="1705"/>
        <item x="2529"/>
        <item x="1193"/>
        <item x="59"/>
        <item x="934"/>
        <item x="1067"/>
        <item x="1062"/>
        <item x="141"/>
        <item x="106"/>
        <item x="68"/>
        <item x="955"/>
        <item x="824"/>
        <item x="1133"/>
        <item x="1323"/>
        <item x="1639"/>
        <item x="661"/>
        <item x="2068"/>
        <item x="2419"/>
        <item x="1725"/>
        <item x="1295"/>
        <item x="2084"/>
        <item x="2158"/>
        <item x="2430"/>
        <item x="1962"/>
        <item x="225"/>
        <item x="1819"/>
        <item x="503"/>
        <item x="2079"/>
        <item x="1139"/>
        <item x="12"/>
        <item x="921"/>
        <item x="2397"/>
        <item x="862"/>
        <item x="40"/>
        <item x="1105"/>
        <item x="786"/>
        <item x="174"/>
        <item x="474"/>
        <item x="686"/>
        <item x="198"/>
        <item x="1741"/>
        <item x="1092"/>
        <item x="2063"/>
        <item x="1182"/>
        <item x="2288"/>
        <item x="613"/>
        <item x="1631"/>
        <item x="1992"/>
        <item x="1282"/>
        <item x="1573"/>
        <item x="1675"/>
        <item x="137"/>
        <item x="2059"/>
        <item x="1855"/>
        <item x="399"/>
        <item x="1752"/>
        <item x="2246"/>
        <item x="973"/>
        <item x="1843"/>
        <item x="620"/>
        <item x="210"/>
        <item x="1517"/>
        <item x="1527"/>
        <item x="1865"/>
        <item x="1762"/>
        <item x="1996"/>
        <item x="1390"/>
        <item x="1376"/>
        <item x="353"/>
        <item x="1185"/>
        <item x="565"/>
        <item x="77"/>
        <item x="925"/>
        <item x="2395"/>
        <item x="666"/>
        <item x="1136"/>
        <item x="728"/>
        <item x="1018"/>
        <item x="2190"/>
        <item x="2069"/>
        <item x="770"/>
        <item x="1512"/>
        <item x="149"/>
        <item x="351"/>
        <item x="1160"/>
        <item x="669"/>
        <item x="2124"/>
        <item x="1414"/>
        <item x="501"/>
        <item x="1280"/>
        <item x="2376"/>
        <item x="1781"/>
        <item x="446"/>
        <item x="2337"/>
        <item x="642"/>
        <item x="1815"/>
        <item x="1563"/>
        <item x="1112"/>
        <item x="289"/>
        <item x="941"/>
        <item x="1369"/>
        <item x="1652"/>
        <item x="1270"/>
        <item x="1669"/>
        <item x="1568"/>
        <item x="1286"/>
        <item x="1061"/>
        <item x="530"/>
        <item x="1033"/>
        <item x="1897"/>
        <item x="232"/>
        <item x="471"/>
        <item x="670"/>
        <item x="367"/>
        <item x="245"/>
        <item x="2163"/>
        <item x="623"/>
        <item x="731"/>
        <item x="1508"/>
        <item x="171"/>
        <item x="2249"/>
        <item x="1031"/>
        <item x="490"/>
        <item x="1005"/>
        <item x="158"/>
        <item x="808"/>
        <item x="2418"/>
        <item x="1326"/>
        <item x="2149"/>
        <item x="1043"/>
        <item x="1321"/>
        <item x="1268"/>
        <item x="865"/>
        <item x="1845"/>
        <item x="293"/>
        <item x="1837"/>
        <item x="608"/>
        <item x="1972"/>
        <item x="477"/>
        <item x="599"/>
        <item x="189"/>
        <item x="1285"/>
        <item x="628"/>
        <item x="495"/>
        <item x="1672"/>
        <item x="1131"/>
        <item x="1738"/>
        <item x="1183"/>
        <item x="1769"/>
        <item x="9"/>
        <item x="1389"/>
        <item x="2507"/>
        <item x="986"/>
        <item x="2350"/>
        <item x="2243"/>
        <item x="1387"/>
        <item x="2412"/>
        <item x="2535"/>
        <item x="2041"/>
        <item x="1734"/>
        <item x="1407"/>
        <item x="1955"/>
        <item x="2500"/>
        <item x="66"/>
        <item x="1874"/>
        <item x="2018"/>
        <item x="1583"/>
        <item x="533"/>
        <item x="2380"/>
        <item x="1596"/>
        <item x="1083"/>
        <item x="358"/>
        <item x="212"/>
        <item x="876"/>
        <item x="708"/>
        <item x="162"/>
        <item x="1312"/>
        <item x="1600"/>
        <item x="1047"/>
        <item x="1208"/>
        <item x="559"/>
        <item x="2359"/>
        <item x="1395"/>
        <item x="280"/>
        <item x="940"/>
        <item x="631"/>
        <item x="143"/>
        <item x="845"/>
        <item x="2497"/>
        <item x="806"/>
        <item x="56"/>
        <item x="1364"/>
        <item x="1100"/>
        <item x="1916"/>
        <item x="453"/>
        <item x="607"/>
        <item x="2002"/>
        <item x="2075"/>
        <item x="1173"/>
        <item x="406"/>
        <item x="1730"/>
        <item x="299"/>
        <item x="987"/>
        <item x="155"/>
        <item x="2292"/>
        <item x="2277"/>
        <item x="2177"/>
        <item x="279"/>
        <item x="990"/>
        <item x="1056"/>
        <item x="2140"/>
        <item x="879"/>
        <item x="121"/>
        <item x="2"/>
        <item x="1385"/>
        <item x="382"/>
        <item x="970"/>
        <item x="384"/>
        <item x="839"/>
        <item x="2449"/>
        <item x="1104"/>
        <item x="1191"/>
        <item x="1935"/>
        <item x="1640"/>
        <item x="373"/>
        <item x="342"/>
        <item x="371"/>
        <item x="1654"/>
        <item x="627"/>
        <item x="1921"/>
        <item x="275"/>
        <item x="1148"/>
        <item x="1809"/>
        <item x="2420"/>
        <item x="1461"/>
        <item x="1218"/>
        <item x="2476"/>
        <item x="2370"/>
        <item x="828"/>
        <item x="101"/>
        <item x="17"/>
        <item x="809"/>
        <item x="1425"/>
        <item x="1305"/>
        <item x="2031"/>
        <item x="455"/>
        <item x="575"/>
        <item x="1097"/>
        <item x="324"/>
        <item x="1946"/>
        <item x="1981"/>
        <item x="2347"/>
        <item x="952"/>
        <item x="915"/>
        <item x="1943"/>
        <item x="14"/>
        <item x="2375"/>
        <item x="1723"/>
        <item x="1867"/>
        <item x="402"/>
        <item x="922"/>
        <item x="755"/>
        <item x="2447"/>
        <item x="1878"/>
        <item x="1439"/>
        <item x="1794"/>
        <item x="430"/>
        <item x="142"/>
        <item x="2504"/>
        <item x="754"/>
        <item x="333"/>
        <item x="1279"/>
        <item x="456"/>
        <item x="656"/>
        <item x="1095"/>
        <item x="1086"/>
        <item x="2262"/>
        <item x="1207"/>
        <item x="1924"/>
        <item x="2389"/>
        <item x="1990"/>
        <item x="976"/>
        <item x="220"/>
        <item x="1540"/>
        <item x="208"/>
        <item x="2436"/>
        <item x="1164"/>
        <item x="1621"/>
        <item x="546"/>
        <item x="169"/>
        <item x="707"/>
        <item x="548"/>
        <item x="2089"/>
        <item x="1513"/>
        <item x="1495"/>
        <item x="2172"/>
        <item x="2465"/>
        <item x="1779"/>
        <item x="649"/>
        <item x="5"/>
        <item x="1570"/>
        <item x="442"/>
        <item x="496"/>
        <item x="710"/>
        <item x="665"/>
        <item x="2213"/>
        <item x="697"/>
        <item x="2501"/>
        <item x="1400"/>
        <item x="1868"/>
        <item x="681"/>
        <item x="2095"/>
        <item x="606"/>
        <item x="1076"/>
        <item x="742"/>
        <item x="0"/>
        <item x="2022"/>
        <item x="1554"/>
        <item x="177"/>
        <item x="1836"/>
        <item x="2107"/>
        <item x="574"/>
        <item x="1732"/>
        <item x="944"/>
        <item x="2112"/>
        <item x="1767"/>
        <item x="1739"/>
        <item x="391"/>
        <item x="2511"/>
        <item x="1267"/>
        <item x="423"/>
        <item x="1646"/>
        <item x="1467"/>
        <item x="2009"/>
        <item x="531"/>
        <item x="847"/>
        <item x="1158"/>
        <item x="885"/>
        <item x="556"/>
        <item x="242"/>
        <item x="424"/>
        <item x="974"/>
        <item x="1823"/>
        <item x="2216"/>
        <item x="482"/>
        <item x="2401"/>
        <item x="1548"/>
        <item x="538"/>
        <item x="352"/>
        <item x="1283"/>
        <item x="2000"/>
        <item x="2060"/>
        <item x="1072"/>
        <item x="1408"/>
        <item x="1229"/>
        <item x="2454"/>
        <item x="1636"/>
        <item x="1234"/>
        <item x="486"/>
        <item x="1429"/>
        <item x="1802"/>
        <item x="463"/>
        <item x="1317"/>
        <item x="611"/>
        <item x="2188"/>
        <item x="956"/>
        <item x="1239"/>
        <item x="750"/>
        <item x="2483"/>
        <item x="1825"/>
        <item x="1372"/>
        <item x="671"/>
        <item x="2520"/>
        <item x="63"/>
        <item x="25"/>
        <item x="2438"/>
        <item x="1622"/>
        <item x="338"/>
        <item x="1851"/>
        <item x="1771"/>
        <item x="1048"/>
        <item x="85"/>
        <item x="2010"/>
        <item x="303"/>
        <item x="1331"/>
        <item x="2348"/>
        <item x="433"/>
        <item x="1456"/>
        <item x="241"/>
        <item x="733"/>
        <item x="284"/>
        <item x="1626"/>
        <item x="2310"/>
        <item x="246"/>
        <item x="958"/>
        <item x="100"/>
        <item x="363"/>
        <item x="407"/>
        <item x="924"/>
        <item x="937"/>
        <item x="1370"/>
        <item x="1052"/>
        <item x="393"/>
        <item x="131"/>
        <item x="1094"/>
        <item x="2279"/>
        <item x="74"/>
        <item x="1049"/>
        <item x="1251"/>
        <item x="1181"/>
        <item x="794"/>
        <item x="2425"/>
        <item x="311"/>
        <item x="1801"/>
        <item x="1616"/>
        <item x="1063"/>
        <item x="1961"/>
        <item x="2355"/>
        <item x="438"/>
        <item x="153"/>
        <item x="1685"/>
        <item x="1192"/>
        <item x="42"/>
        <item x="1479"/>
        <item x="1896"/>
        <item x="1230"/>
        <item x="978"/>
        <item x="1862"/>
        <item x="2088"/>
        <item x="856"/>
        <item x="1932"/>
        <item x="1042"/>
        <item x="448"/>
        <item x="1401"/>
        <item x="964"/>
        <item x="132"/>
        <item x="615"/>
        <item x="1264"/>
        <item x="1850"/>
        <item x="1552"/>
        <item x="1"/>
        <item x="2269"/>
        <item x="1810"/>
        <item x="2481"/>
        <item x="427"/>
        <item x="689"/>
        <item x="1541"/>
        <item x="1674"/>
        <item x="1713"/>
        <item x="1328"/>
        <item x="1168"/>
        <item x="2274"/>
        <item x="1274"/>
        <item x="1909"/>
        <item x="814"/>
        <item x="213"/>
        <item x="1054"/>
        <item x="1044"/>
        <item x="160"/>
        <item x="1159"/>
        <item x="2223"/>
        <item x="2367"/>
        <item x="2053"/>
        <item x="2498"/>
        <item x="844"/>
        <item x="1203"/>
        <item x="1885"/>
        <item x="1120"/>
        <item x="38"/>
        <item x="58"/>
        <item x="529"/>
        <item x="1028"/>
        <item x="1436"/>
        <item x="2052"/>
        <item x="1121"/>
        <item x="211"/>
        <item x="410"/>
        <item x="2046"/>
        <item x="1804"/>
        <item x="1714"/>
        <item x="562"/>
        <item x="2108"/>
        <item x="254"/>
        <item x="1939"/>
        <item x="156"/>
        <item x="712"/>
        <item x="1618"/>
        <item x="1561"/>
        <item x="2164"/>
        <item x="1889"/>
        <item x="1423"/>
        <item x="1332"/>
        <item x="163"/>
        <item x="436"/>
        <item x="425"/>
        <item x="1392"/>
        <item x="452"/>
        <item x="756"/>
        <item x="1300"/>
        <item x="400"/>
        <item x="283"/>
        <item x="612"/>
        <item x="2143"/>
        <item x="572"/>
        <item x="621"/>
        <item x="2057"/>
        <item x="1952"/>
        <item x="1747"/>
        <item x="917"/>
        <item x="2004"/>
        <item x="2038"/>
        <item x="1137"/>
        <item x="2513"/>
        <item x="2301"/>
        <item x="10"/>
        <item x="510"/>
        <item x="50"/>
        <item x="1466"/>
        <item x="240"/>
        <item x="1798"/>
        <item x="1913"/>
        <item x="1271"/>
        <item x="651"/>
        <item x="2182"/>
        <item x="1914"/>
        <item x="1252"/>
        <item x="1617"/>
        <item x="1807"/>
        <item x="904"/>
        <item x="1711"/>
        <item x="1259"/>
        <item x="781"/>
        <item x="292"/>
        <item x="1930"/>
        <item x="1986"/>
        <item x="2357"/>
        <item x="748"/>
        <item x="576"/>
        <item x="1354"/>
        <item x="641"/>
        <item x="775"/>
        <item x="1200"/>
        <item x="2330"/>
        <item x="1070"/>
        <item x="1715"/>
        <item x="751"/>
        <item x="1749"/>
        <item x="1940"/>
        <item x="1925"/>
        <item x="460"/>
        <item x="120"/>
        <item x="422"/>
        <item x="522"/>
        <item x="87"/>
        <item x="743"/>
        <item x="762"/>
        <item x="817"/>
        <item x="2326"/>
        <item x="372"/>
        <item x="1045"/>
        <item x="2211"/>
        <item x="2157"/>
        <item x="1123"/>
        <item x="2186"/>
        <item x="1515"/>
        <item x="1510"/>
        <item x="674"/>
        <item x="2184"/>
        <item x="1448"/>
        <item x="1978"/>
        <item x="1628"/>
        <item x="1895"/>
        <item x="1205"/>
        <item x="1748"/>
        <item x="1853"/>
        <item x="1543"/>
        <item x="927"/>
        <item x="507"/>
        <item x="600"/>
        <item x="965"/>
        <item x="1291"/>
        <item x="2125"/>
        <item x="1206"/>
        <item x="36"/>
        <item x="1490"/>
        <item x="1361"/>
        <item x="2290"/>
        <item x="592"/>
        <item x="1441"/>
        <item x="848"/>
        <item x="108"/>
        <item x="1556"/>
        <item x="813"/>
        <item x="337"/>
        <item x="302"/>
        <item x="1941"/>
        <item x="185"/>
        <item x="1763"/>
        <item x="777"/>
        <item x="1859"/>
        <item x="1260"/>
        <item x="2509"/>
        <item x="2101"/>
        <item x="2382"/>
        <item x="1578"/>
        <item x="176"/>
        <item x="1144"/>
        <item x="1663"/>
        <item x="39"/>
        <item x="144"/>
        <item x="630"/>
        <item x="946"/>
        <item x="2309"/>
        <item x="2378"/>
        <item x="257"/>
        <item x="81"/>
        <item x="798"/>
        <item x="2078"/>
        <item x="872"/>
        <item x="691"/>
        <item x="740"/>
        <item x="1619"/>
        <item x="1482"/>
        <item x="2416"/>
        <item x="92"/>
        <item x="272"/>
        <item x="192"/>
        <item x="513"/>
        <item x="969"/>
        <item x="1587"/>
        <item x="1651"/>
        <item x="1550"/>
        <item x="2324"/>
        <item x="1507"/>
        <item x="1406"/>
        <item x="321"/>
        <item x="855"/>
        <item x="634"/>
        <item x="573"/>
        <item x="2385"/>
        <item x="2200"/>
        <item x="1882"/>
        <item x="1988"/>
        <item x="1195"/>
        <item x="554"/>
        <item x="1022"/>
        <item x="1020"/>
        <item x="1783"/>
        <item x="395"/>
        <item x="1446"/>
        <item x="1004"/>
        <item x="1290"/>
        <item x="2020"/>
        <item x="2103"/>
        <item x="1633"/>
        <item x="335"/>
        <item x="379"/>
        <item x="2235"/>
        <item x="318"/>
        <item x="1064"/>
        <item x="2530"/>
        <item x="1774"/>
        <item x="1394"/>
        <item x="1172"/>
        <item x="1676"/>
        <item x="2298"/>
        <item x="1325"/>
        <item x="1058"/>
        <item x="1081"/>
        <item x="231"/>
        <item x="1704"/>
        <item x="2123"/>
        <item x="1019"/>
        <item x="1901"/>
        <item x="1644"/>
        <item x="2461"/>
        <item x="398"/>
        <item x="962"/>
        <item x="1615"/>
        <item x="959"/>
        <item x="753"/>
        <item x="1500"/>
        <item x="230"/>
        <item x="1411"/>
        <item x="2450"/>
        <item x="2026"/>
        <item x="550"/>
        <item x="1339"/>
        <item x="1649"/>
        <item x="1304"/>
        <item x="94"/>
        <item x="475"/>
        <item x="268"/>
        <item x="752"/>
        <item x="150"/>
        <item x="887"/>
        <item x="1055"/>
        <item x="526"/>
        <item x="349"/>
        <item x="2039"/>
        <item x="1051"/>
        <item x="105"/>
        <item x="1494"/>
        <item x="899"/>
        <item x="368"/>
        <item x="788"/>
        <item x="637"/>
        <item x="1202"/>
        <item x="1365"/>
        <item x="148"/>
        <item x="1098"/>
        <item x="57"/>
        <item x="2486"/>
        <item x="22"/>
        <item x="843"/>
        <item x="810"/>
        <item x="2036"/>
        <item x="125"/>
        <item x="1478"/>
        <item x="429"/>
        <item x="2351"/>
        <item x="916"/>
        <item x="646"/>
        <item x="2127"/>
        <item x="640"/>
        <item x="2400"/>
        <item x="1465"/>
        <item x="784"/>
        <item x="1812"/>
        <item x="73"/>
        <item x="2054"/>
        <item x="1799"/>
        <item x="622"/>
        <item x="13"/>
        <item x="749"/>
        <item x="1536"/>
        <item x="1643"/>
        <item x="903"/>
        <item x="667"/>
        <item x="138"/>
        <item x="2214"/>
        <item x="1584"/>
        <item x="1194"/>
        <item x="1650"/>
        <item x="1464"/>
        <item x="1758"/>
        <item x="2499"/>
        <item x="577"/>
        <item x="685"/>
        <item x="1278"/>
        <item x="197"/>
        <item x="374"/>
        <item x="692"/>
        <item x="167"/>
        <item x="431"/>
        <item x="2085"/>
        <item x="2259"/>
        <item x="2217"/>
        <item x="1463"/>
        <item x="745"/>
        <item x="419"/>
        <item x="2231"/>
        <item x="1460"/>
        <item x="893"/>
        <item x="179"/>
        <item x="2399"/>
        <item x="1415"/>
        <item x="53"/>
        <item x="553"/>
        <item x="151"/>
        <item x="1310"/>
        <item x="270"/>
        <item x="1155"/>
        <item x="1670"/>
        <item x="778"/>
        <item x="278"/>
        <item x="468"/>
        <item x="64"/>
        <item x="1857"/>
        <item x="2456"/>
        <item x="314"/>
        <item x="1645"/>
        <item x="1413"/>
        <item x="1493"/>
        <item x="1458"/>
        <item x="1693"/>
        <item x="1066"/>
        <item x="626"/>
        <item x="1695"/>
        <item x="1485"/>
        <item x="534"/>
        <item x="98"/>
        <item x="1130"/>
        <item x="54"/>
        <item x="480"/>
        <item x="624"/>
        <item x="145"/>
        <item x="618"/>
        <item x="1109"/>
        <item x="629"/>
        <item x="159"/>
        <item x="95"/>
        <item x="827"/>
        <item x="2073"/>
        <item x="1608"/>
        <item x="971"/>
        <item x="1244"/>
        <item x="586"/>
        <item x="2066"/>
        <item x="2258"/>
        <item x="1994"/>
        <item x="1335"/>
        <item x="136"/>
        <item x="866"/>
        <item x="699"/>
        <item x="2470"/>
        <item x="1303"/>
        <item x="347"/>
        <item x="2161"/>
        <item x="2147"/>
        <item x="942"/>
        <item x="561"/>
        <item x="768"/>
        <item x="1629"/>
        <item x="682"/>
        <item x="1403"/>
        <item x="2178"/>
        <item x="2441"/>
        <item x="1791"/>
        <item x="1293"/>
        <item x="1099"/>
        <item x="1434"/>
        <item x="67"/>
        <item x="1248"/>
        <item x="1250"/>
        <item x="117"/>
        <item x="2194"/>
        <item x="1236"/>
        <item x="1648"/>
        <item x="948"/>
        <item x="850"/>
        <item x="1368"/>
        <item x="2100"/>
        <item x="1216"/>
        <item x="1219"/>
        <item x="411"/>
        <item x="821"/>
        <item x="457"/>
        <item x="317"/>
        <item x="714"/>
        <item x="343"/>
        <item x="939"/>
        <item x="935"/>
        <item x="1796"/>
        <item x="1330"/>
        <item x="390"/>
        <item x="1417"/>
        <item x="1657"/>
        <item x="741"/>
        <item x="1605"/>
        <item x="1775"/>
        <item x="705"/>
        <item x="2384"/>
        <item x="504"/>
        <item x="116"/>
        <item x="802"/>
        <item x="1151"/>
        <item x="2091"/>
        <item x="1838"/>
        <item x="680"/>
        <item x="800"/>
        <item x="897"/>
        <item x="2334"/>
        <item x="2346"/>
        <item x="1132"/>
        <item x="668"/>
        <item x="26"/>
        <item x="2102"/>
        <item x="566"/>
        <item x="1111"/>
        <item x="676"/>
        <item x="79"/>
        <item x="1697"/>
        <item x="1115"/>
        <item x="1087"/>
        <item x="493"/>
        <item x="1884"/>
        <item x="516"/>
        <item x="549"/>
        <item x="1359"/>
        <item x="849"/>
        <item x="1724"/>
        <item x="2029"/>
        <item x="2305"/>
        <item x="119"/>
        <item x="1273"/>
        <item x="967"/>
        <item x="8"/>
        <item x="596"/>
        <item x="1597"/>
        <item x="711"/>
        <item x="168"/>
        <item x="782"/>
        <item x="657"/>
        <item x="260"/>
        <item x="1594"/>
        <item x="2224"/>
        <item x="1029"/>
        <item x="1742"/>
        <item x="1386"/>
        <item x="1698"/>
        <item x="779"/>
        <item x="1093"/>
        <item x="285"/>
        <item x="739"/>
        <item x="2198"/>
        <item x="1951"/>
        <item x="1170"/>
        <item x="590"/>
        <item x="1358"/>
        <item x="551"/>
        <item x="2156"/>
        <item x="269"/>
        <item x="1169"/>
        <item x="1721"/>
        <item x="173"/>
        <item x="1606"/>
        <item x="2174"/>
        <item x="2502"/>
        <item x="895"/>
        <item x="726"/>
        <item x="146"/>
        <item x="2485"/>
        <item x="178"/>
        <item x="2361"/>
        <item x="720"/>
        <item x="2199"/>
        <item x="43"/>
        <item x="591"/>
        <item x="380"/>
        <item x="889"/>
        <item x="2323"/>
        <item x="1491"/>
        <item x="713"/>
        <item x="55"/>
        <item x="1720"/>
        <item x="263"/>
        <item x="1243"/>
        <item x="1057"/>
        <item x="274"/>
        <item x="929"/>
        <item x="578"/>
        <item x="724"/>
        <item x="1449"/>
        <item x="1987"/>
        <item x="88"/>
        <item x="524"/>
        <item x="1034"/>
        <item x="819"/>
        <item x="900"/>
        <item x="1813"/>
        <item x="388"/>
        <item x="1780"/>
        <item x="1101"/>
        <item x="1678"/>
        <item x="439"/>
        <item x="397"/>
        <item x="1024"/>
        <item x="214"/>
        <item x="1255"/>
        <item x="1727"/>
        <item x="632"/>
        <item x="877"/>
        <item x="1299"/>
        <item x="984"/>
        <item x="638"/>
        <item x="282"/>
        <item x="2414"/>
        <item x="803"/>
        <item x="2220"/>
        <item x="2508"/>
        <item x="579"/>
        <item x="892"/>
        <item x="1842"/>
        <item x="1666"/>
        <item x="1021"/>
        <item x="1241"/>
        <item x="1601"/>
        <item x="1834"/>
        <item x="1671"/>
        <item x="1419"/>
        <item x="1348"/>
        <item x="483"/>
        <item x="702"/>
        <item x="476"/>
        <item x="437"/>
        <item x="2106"/>
        <item x="2329"/>
        <item x="27"/>
        <item x="84"/>
        <item x="1588"/>
        <item x="21"/>
        <item x="327"/>
        <item x="325"/>
        <item x="381"/>
        <item x="396"/>
        <item x="1542"/>
        <item x="362"/>
        <item x="1501"/>
        <item x="2165"/>
        <item x="443"/>
        <item x="248"/>
        <item x="2167"/>
        <item x="1165"/>
        <item x="737"/>
        <item x="994"/>
        <item x="426"/>
        <item x="161"/>
        <item x="619"/>
        <item x="846"/>
        <item x="854"/>
        <item x="953"/>
        <item x="1576"/>
        <item x="2352"/>
        <item x="1546"/>
        <item x="369"/>
        <item x="833"/>
        <item x="401"/>
        <item x="1776"/>
        <item x="2117"/>
        <item x="1830"/>
        <item x="2187"/>
        <item x="238"/>
        <item x="1431"/>
        <item x="1744"/>
        <item x="2074"/>
        <item x="744"/>
        <item x="4"/>
        <item x="228"/>
        <item x="765"/>
        <item x="896"/>
        <item x="2024"/>
        <item x="1220"/>
        <item x="1438"/>
        <item x="1459"/>
        <item x="295"/>
        <item x="2362"/>
        <item x="465"/>
        <item x="2218"/>
        <item x="1833"/>
        <item x="2028"/>
        <item x="313"/>
        <item x="1535"/>
        <item x="147"/>
        <item x="1041"/>
        <item x="28"/>
        <item x="2442"/>
        <item x="2478"/>
        <item x="2280"/>
        <item x="1934"/>
        <item x="2371"/>
        <item x="2515"/>
        <item x="2175"/>
        <item x="1949"/>
        <item x="1039"/>
        <item x="2081"/>
        <item x="1841"/>
        <item x="1483"/>
        <item x="76"/>
        <item x="1756"/>
        <item x="2023"/>
        <item x="2001"/>
        <item x="1638"/>
        <item x="2534"/>
        <item x="1569"/>
        <item x="2045"/>
        <item x="961"/>
        <item x="2169"/>
        <item x="1138"/>
        <item x="1665"/>
        <item x="1343"/>
        <item x="217"/>
        <item x="2015"/>
        <item x="226"/>
        <item x="1073"/>
        <item x="78"/>
        <item x="19"/>
        <item x="421"/>
        <item x="114"/>
        <item x="1344"/>
        <item x="1929"/>
        <item x="1410"/>
        <item x="1000"/>
        <item x="2322"/>
        <item x="1707"/>
        <item x="1322"/>
        <item x="1163"/>
        <item x="1590"/>
        <item x="1559"/>
        <item x="932"/>
        <item x="2487"/>
        <item x="113"/>
        <item x="1786"/>
        <item x="2037"/>
        <item x="1204"/>
        <item x="761"/>
        <item x="1152"/>
        <item x="1235"/>
        <item x="1848"/>
        <item x="717"/>
        <item x="205"/>
        <item x="2402"/>
        <item x="1509"/>
        <item x="1922"/>
        <item x="2394"/>
        <item x="1900"/>
        <item x="1085"/>
        <item x="605"/>
        <item x="2282"/>
        <item x="2030"/>
        <item x="385"/>
        <item x="44"/>
        <item x="1217"/>
        <item x="901"/>
        <item x="392"/>
        <item x="2065"/>
        <item x="2076"/>
        <item x="2212"/>
        <item x="857"/>
        <item x="1684"/>
        <item x="2466"/>
        <item x="2205"/>
        <item x="1787"/>
        <item x="2506"/>
        <item x="218"/>
        <item x="1844"/>
        <item x="1110"/>
        <item x="804"/>
        <item x="1426"/>
        <item x="2469"/>
        <item x="2248"/>
        <item x="2531"/>
        <item x="49"/>
        <item x="330"/>
        <item x="1362"/>
        <item x="995"/>
        <item x="310"/>
        <item x="259"/>
        <item x="224"/>
        <item x="1233"/>
        <item x="1008"/>
        <item x="873"/>
        <item x="1432"/>
        <item x="2027"/>
        <item x="1261"/>
        <item x="461"/>
        <item x="2136"/>
        <item x="355"/>
        <item x="1840"/>
        <item x="2446"/>
        <item x="957"/>
        <item x="216"/>
        <item x="2518"/>
        <item x="24"/>
        <item x="1873"/>
        <item x="2096"/>
        <item x="345"/>
        <item x="1353"/>
        <item x="2278"/>
        <item x="1592"/>
        <item x="673"/>
        <item x="497"/>
        <item x="1880"/>
        <item x="1038"/>
        <item x="1319"/>
        <item x="2408"/>
        <item x="508"/>
        <item x="2222"/>
        <item x="1524"/>
        <item x="2458"/>
        <item x="2358"/>
        <item x="2133"/>
        <item x="2058"/>
        <item x="1577"/>
        <item x="1505"/>
        <item x="1677"/>
        <item x="972"/>
        <item x="1089"/>
        <item x="1860"/>
        <item x="361"/>
        <item x="771"/>
        <item x="735"/>
        <item x="2464"/>
        <item x="945"/>
        <item x="2168"/>
        <item x="2192"/>
        <item x="1384"/>
        <item x="219"/>
        <item x="1917"/>
        <item x="2185"/>
        <item x="2410"/>
        <item x="2082"/>
        <item x="1277"/>
        <item x="2295"/>
        <item x="1162"/>
        <item x="2137"/>
        <item x="869"/>
        <item x="772"/>
        <item x="704"/>
        <item x="913"/>
        <item x="244"/>
        <item x="1662"/>
        <item x="1635"/>
        <item x="906"/>
        <item x="2242"/>
        <item x="1817"/>
        <item x="1075"/>
        <item x="1718"/>
        <item x="252"/>
        <item x="1053"/>
        <item x="1985"/>
        <item x="464"/>
        <item x="1294"/>
        <item x="2139"/>
        <item x="2405"/>
        <item x="1437"/>
        <item x="2533"/>
        <item x="271"/>
        <item x="2238"/>
        <item x="1117"/>
        <item x="1751"/>
        <item x="776"/>
        <item x="891"/>
        <item x="1828"/>
        <item x="690"/>
        <item x="2050"/>
        <item x="1847"/>
        <item x="1919"/>
        <item x="2207"/>
        <item x="204"/>
        <item x="520"/>
        <item x="859"/>
        <item x="484"/>
        <item x="1613"/>
        <item x="1175"/>
        <item x="2251"/>
        <item x="1333"/>
        <item x="2356"/>
        <item x="1832"/>
        <item x="949"/>
        <item x="564"/>
        <item x="1013"/>
        <item x="1475"/>
        <item x="764"/>
        <item x="281"/>
        <item x="458"/>
        <item x="97"/>
        <item x="2475"/>
        <item x="187"/>
        <item x="719"/>
        <item x="48"/>
        <item x="1872"/>
        <item x="1284"/>
        <item x="2387"/>
        <item x="1397"/>
        <item x="2155"/>
        <item x="2159"/>
        <item x="1489"/>
        <item x="2299"/>
        <item x="2033"/>
        <item x="1532"/>
        <item x="1337"/>
        <item x="1691"/>
        <item x="1209"/>
        <item x="1846"/>
        <item x="868"/>
        <item x="834"/>
        <item x="236"/>
        <item x="334"/>
        <item x="2098"/>
        <item x="1945"/>
        <item x="296"/>
        <item x="1571"/>
        <item x="1529"/>
        <item x="1971"/>
        <item x="1221"/>
        <item x="2193"/>
        <item x="1246"/>
        <item x="1046"/>
        <item x="1954"/>
        <item x="37"/>
        <item x="1174"/>
        <item x="2145"/>
        <item x="110"/>
        <item x="1142"/>
        <item x="2300"/>
        <item x="2189"/>
        <item x="115"/>
        <item x="2473"/>
        <item x="297"/>
        <item x="569"/>
        <item x="1528"/>
        <item x="709"/>
        <item x="716"/>
        <item x="727"/>
        <item x="1238"/>
        <item x="312"/>
        <item x="2349"/>
        <item x="1373"/>
        <item x="2083"/>
        <item x="1612"/>
        <item x="2286"/>
        <item x="1011"/>
        <item x="589"/>
        <item x="801"/>
        <item x="823"/>
        <item x="732"/>
        <item x="721"/>
        <item x="1444"/>
        <item x="96"/>
        <item x="747"/>
        <item x="1918"/>
        <item x="797"/>
        <item x="1827"/>
        <item x="1502"/>
        <item x="1430"/>
        <item x="2042"/>
        <item x="2195"/>
        <item x="838"/>
        <item x="1575"/>
        <item x="2104"/>
        <item x="1196"/>
        <item x="1179"/>
        <item x="963"/>
        <item x="331"/>
        <item x="1928"/>
        <item x="1340"/>
        <item x="1871"/>
        <item x="1498"/>
        <item x="405"/>
        <item x="61"/>
        <item x="329"/>
        <item x="1402"/>
        <item x="1808"/>
        <item x="1266"/>
        <item x="307"/>
        <item x="783"/>
        <item x="308"/>
        <item x="2331"/>
        <item x="780"/>
        <item x="1468"/>
        <item x="1944"/>
        <item x="1302"/>
        <item x="518"/>
        <item x="792"/>
        <item x="1442"/>
        <item x="951"/>
        <item x="1377"/>
        <item x="2153"/>
        <item x="2285"/>
        <item x="2272"/>
        <item x="193"/>
        <item x="191"/>
        <item x="1700"/>
        <item x="1382"/>
        <item x="2432"/>
        <item x="1530"/>
        <item x="1520"/>
        <item x="90"/>
        <item x="758"/>
        <item x="2289"/>
        <item x="2477"/>
        <item x="914"/>
        <item x="1213"/>
        <item x="2008"/>
        <item x="2154"/>
        <item x="604"/>
        <item x="1212"/>
        <item x="16"/>
        <item x="2032"/>
        <item x="127"/>
        <item x="1469"/>
        <item x="1777"/>
        <item x="408"/>
        <item x="1869"/>
        <item x="1708"/>
        <item x="505"/>
        <item x="1167"/>
        <item x="568"/>
        <item x="2048"/>
        <item x="1225"/>
        <item x="2404"/>
        <item x="1560"/>
        <item x="1078"/>
        <item x="2115"/>
        <item x="1898"/>
        <item x="1854"/>
        <item x="432"/>
        <item x="195"/>
        <item x="23"/>
        <item x="1555"/>
        <item x="376"/>
        <item x="2377"/>
        <item x="403"/>
        <item x="332"/>
        <item x="1984"/>
        <item x="1653"/>
        <item x="1957"/>
        <item x="1980"/>
        <item x="1926"/>
        <item x="2254"/>
        <item x="679"/>
        <item x="1504"/>
        <item x="2239"/>
        <item x="1424"/>
        <item x="1116"/>
        <item x="1040"/>
        <item x="378"/>
        <item x="2080"/>
        <item x="2111"/>
        <item x="1487"/>
        <item x="706"/>
        <item x="1026"/>
        <item x="1470"/>
        <item x="2116"/>
        <item x="2344"/>
        <item x="595"/>
        <item x="444"/>
        <item x="1788"/>
        <item x="1307"/>
        <item x="2047"/>
        <item x="1297"/>
        <item x="459"/>
        <item x="835"/>
        <item x="2468"/>
        <item x="1324"/>
        <item x="1609"/>
        <item x="2241"/>
        <item x="428"/>
        <item x="1124"/>
        <item x="2335"/>
        <item x="1764"/>
        <item x="1905"/>
        <item x="981"/>
        <item x="730"/>
        <item x="2181"/>
        <item x="1999"/>
        <item x="2345"/>
        <item x="1709"/>
        <item x="1492"/>
        <item x="1398"/>
        <item x="791"/>
        <item x="1778"/>
        <item x="644"/>
        <item x="1806"/>
        <item x="2128"/>
        <item x="1154"/>
        <item x="2201"/>
        <item x="701"/>
        <item x="1956"/>
        <item x="1625"/>
        <item x="2488"/>
        <item x="796"/>
        <item x="1521"/>
        <item x="2503"/>
        <item x="45"/>
        <item x="1899"/>
        <item x="1318"/>
        <item x="15"/>
        <item x="583"/>
        <item x="1710"/>
        <item x="1816"/>
        <item x="1374"/>
        <item x="1292"/>
        <item x="936"/>
        <item x="2433"/>
        <item x="1688"/>
        <item x="2443"/>
        <item x="65"/>
        <item x="124"/>
        <item x="2524"/>
        <item x="829"/>
        <item x="2093"/>
        <item x="2146"/>
        <item x="1287"/>
        <item x="441"/>
        <item x="2308"/>
        <item x="2183"/>
        <item x="2318"/>
        <item x="1276"/>
        <item x="1015"/>
        <item x="820"/>
        <item x="126"/>
        <item x="580"/>
        <item x="451"/>
        <item x="1412"/>
        <item x="102"/>
        <item x="678"/>
        <item x="1228"/>
        <item x="1443"/>
        <item x="445"/>
        <item x="75"/>
        <item x="746"/>
        <item x="1146"/>
        <item x="166"/>
        <item x="2338"/>
        <item x="359"/>
        <item x="1030"/>
        <item x="29"/>
        <item x="1232"/>
        <item x="266"/>
        <item x="1839"/>
        <item x="2099"/>
        <item x="2527"/>
        <item x="413"/>
        <item x="502"/>
        <item x="663"/>
        <item x="871"/>
        <item x="2306"/>
        <item x="933"/>
        <item x="1607"/>
        <item x="2087"/>
        <item x="2267"/>
        <item x="1717"/>
        <item x="2342"/>
        <item x="1686"/>
        <item x="434"/>
        <item x="2471"/>
        <item x="221"/>
        <item x="558"/>
        <item x="998"/>
        <item x="867"/>
        <item x="1719"/>
        <item x="261"/>
        <item x="1351"/>
        <item x="1537"/>
        <item x="725"/>
        <item x="757"/>
        <item x="1795"/>
        <item x="1074"/>
        <item x="466"/>
        <item x="1623"/>
        <item x="677"/>
        <item x="46"/>
        <item x="1803"/>
        <item x="512"/>
        <item x="571"/>
        <item x="938"/>
        <item x="2453"/>
        <item x="2519"/>
        <item x="1187"/>
        <item x="918"/>
        <item x="1253"/>
        <item x="1863"/>
        <item x="515"/>
        <item x="540"/>
        <item x="1995"/>
        <item x="2016"/>
        <item x="1237"/>
        <item x="264"/>
        <item x="207"/>
        <item x="1275"/>
        <item x="107"/>
        <item x="1712"/>
        <item x="1380"/>
        <item x="2265"/>
        <item x="2526"/>
        <item x="309"/>
        <item x="1907"/>
        <item x="69"/>
        <item x="700"/>
        <item x="1937"/>
        <item x="1462"/>
        <item x="1822"/>
        <item x="853"/>
        <item x="478"/>
        <item x="2131"/>
        <item x="202"/>
        <item x="249"/>
        <item x="633"/>
        <item x="1497"/>
        <item x="1564"/>
        <item x="1178"/>
        <item x="715"/>
        <item x="1687"/>
        <item x="2316"/>
        <item x="31"/>
        <item x="1789"/>
        <item x="992"/>
        <item x="1766"/>
        <item x="1143"/>
        <item x="1265"/>
        <item x="1993"/>
        <item x="2040"/>
        <item x="157"/>
        <item x="2406"/>
        <item x="931"/>
        <item x="734"/>
        <item x="2260"/>
        <item x="366"/>
        <item x="2392"/>
        <item x="1336"/>
        <item x="552"/>
        <item x="2086"/>
        <item x="34"/>
        <item x="1129"/>
        <item x="1153"/>
        <item x="1166"/>
        <item x="2426"/>
        <item x="653"/>
        <item x="660"/>
        <item x="1006"/>
        <item x="2297"/>
        <item x="1119"/>
        <item x="2044"/>
        <item x="6"/>
        <item x="1950"/>
        <item x="1363"/>
        <item x="32"/>
        <item x="2353"/>
        <item x="2245"/>
        <item x="2191"/>
        <item x="267"/>
        <item x="2071"/>
        <item x="1009"/>
        <item x="787"/>
        <item x="902"/>
        <item x="790"/>
        <item x="1445"/>
        <item x="1814"/>
        <item x="1702"/>
        <item x="1964"/>
        <item x="104"/>
        <item x="2328"/>
        <item x="1306"/>
        <item x="323"/>
        <item x="991"/>
        <item x="863"/>
        <item x="822"/>
        <item x="1680"/>
        <item x="831"/>
        <item x="481"/>
        <item x="1035"/>
        <item x="818"/>
        <item x="152"/>
        <item x="2120"/>
        <item x="190"/>
        <item x="832"/>
        <item x="277"/>
        <item x="1567"/>
        <item x="1128"/>
        <item x="2162"/>
        <item x="1147"/>
        <item x="1227"/>
        <item x="2372"/>
        <item x="1189"/>
        <item x="1701"/>
        <item x="1016"/>
        <item x="2427"/>
        <item x="200"/>
        <item x="557"/>
        <item x="341"/>
        <item x="1673"/>
        <item x="1007"/>
        <item x="2014"/>
        <item x="2025"/>
        <item x="841"/>
        <item x="1736"/>
        <item x="1977"/>
        <item x="1088"/>
        <item x="2364"/>
        <item x="129"/>
        <item x="2219"/>
        <item x="2237"/>
        <item x="364"/>
        <item x="2417"/>
        <item x="449"/>
        <item x="2463"/>
        <item x="760"/>
        <item x="1551"/>
        <item x="528"/>
        <item x="2296"/>
        <item x="870"/>
        <item x="1886"/>
        <item x="287"/>
        <item x="2003"/>
        <item x="2270"/>
        <item x="1455"/>
        <item x="545"/>
        <item x="1960"/>
        <item x="2202"/>
        <item x="2293"/>
        <item x="370"/>
        <item x="1876"/>
        <item x="183"/>
        <item x="774"/>
        <item x="2495"/>
        <item x="582"/>
        <item x="1982"/>
        <item x="1681"/>
        <item x="1614"/>
        <item x="1451"/>
        <item x="294"/>
        <item x="1632"/>
        <item x="265"/>
        <item x="588"/>
        <item x="175"/>
        <item x="1499"/>
        <item x="181"/>
        <item x="1610"/>
        <item x="2250"/>
        <item x="206"/>
        <item x="1032"/>
        <item x="2374"/>
        <item x="2230"/>
        <item x="2252"/>
        <item x="298"/>
        <item x="1281"/>
        <item x="1772"/>
        <item x="1891"/>
        <item x="2505"/>
        <item x="2439"/>
        <item x="1383"/>
        <item x="93"/>
        <item x="1975"/>
        <item x="139"/>
        <item x="2276"/>
        <item x="912"/>
        <item x="2369"/>
        <item x="1682"/>
        <item x="2491"/>
        <item x="1963"/>
        <item x="2232"/>
        <item x="404"/>
        <item x="470"/>
        <item x="1927"/>
        <item x="1589"/>
        <item x="2196"/>
        <item x="1735"/>
        <item x="703"/>
        <item x="1820"/>
        <item x="1915"/>
        <item x="111"/>
        <item x="47"/>
        <item x="763"/>
        <item x="499"/>
        <item x="738"/>
        <item x="2253"/>
        <item x="2236"/>
        <item x="1743"/>
        <item x="985"/>
        <item x="1102"/>
        <item x="1558"/>
        <item x="194"/>
        <item x="1349"/>
        <item x="450"/>
        <item x="273"/>
        <item x="91"/>
        <item x="487"/>
        <item x="1263"/>
        <item x="1683"/>
        <item x="1197"/>
        <item x="1346"/>
        <item x="2379"/>
        <item x="650"/>
        <item x="1696"/>
        <item x="567"/>
        <item x="383"/>
        <item x="1965"/>
        <item x="1641"/>
        <item x="222"/>
        <item x="2440"/>
        <item x="639"/>
        <item x="1157"/>
        <item x="11"/>
        <item x="1753"/>
        <item x="250"/>
        <item x="926"/>
        <item x="594"/>
        <item x="1311"/>
        <item x="2287"/>
        <item x="2092"/>
        <item x="1440"/>
        <item x="1215"/>
        <item x="1511"/>
        <item x="1023"/>
        <item x="1757"/>
        <item x="357"/>
        <item x="1525"/>
        <item x="544"/>
        <item x="1892"/>
        <item x="1171"/>
        <item x="1366"/>
        <item x="2072"/>
        <item x="1476"/>
        <item x="1595"/>
        <item x="2354"/>
        <item x="1388"/>
        <item x="1894"/>
        <item x="80"/>
        <item x="1933"/>
        <item x="1457"/>
        <item x="2113"/>
        <item x="882"/>
        <item x="2234"/>
        <item x="881"/>
        <item x="2256"/>
        <item x="2398"/>
        <item x="907"/>
        <item x="336"/>
        <item x="1190"/>
        <item x="2227"/>
        <item x="688"/>
        <item x="1911"/>
        <item x="1953"/>
        <item x="1784"/>
        <item x="2226"/>
        <item x="905"/>
        <item x="1661"/>
        <item x="1746"/>
        <item x="356"/>
        <item x="643"/>
        <item x="519"/>
        <item x="836"/>
        <item x="1864"/>
        <item x="1114"/>
        <item x="233"/>
        <item x="3"/>
        <item x="30"/>
        <item x="2365"/>
        <item x="128"/>
        <item x="1334"/>
        <item x="563"/>
        <item x="1480"/>
        <item x="350"/>
        <item x="1289"/>
        <item x="2321"/>
        <item x="258"/>
        <item x="539"/>
        <item x="1329"/>
        <item x="409"/>
        <item x="1533"/>
        <item x="130"/>
        <item x="154"/>
        <item x="645"/>
        <item x="20"/>
        <item x="2445"/>
        <item x="1642"/>
        <item x="2197"/>
        <item x="2522"/>
        <item x="1655"/>
        <item x="2208"/>
        <item x="911"/>
        <item x="1754"/>
        <item x="2472"/>
        <item x="1256"/>
        <item x="1014"/>
        <item x="541"/>
        <item x="793"/>
        <item x="164"/>
        <item x="880"/>
        <item x="2339"/>
        <item x="2413"/>
        <item x="1342"/>
        <item x="2303"/>
        <item x="1797"/>
        <item x="2496"/>
        <item x="2247"/>
        <item x="1421"/>
        <item x="348"/>
        <item x="2118"/>
        <item x="418"/>
        <item x="1338"/>
        <item x="766"/>
        <item x="2474"/>
        <item x="83"/>
        <item x="767"/>
        <item x="1790"/>
        <item x="2291"/>
        <item x="982"/>
        <item x="523"/>
        <item x="2435"/>
        <item x="82"/>
        <item x="2240"/>
        <item x="2132"/>
        <item x="1572"/>
        <item x="729"/>
        <item x="2255"/>
        <item x="2312"/>
        <item x="807"/>
        <item x="2105"/>
        <item x="1433"/>
        <item x="1316"/>
        <item x="2206"/>
        <item x="1341"/>
        <item x="1991"/>
        <item x="1352"/>
        <item x="950"/>
        <item x="1920"/>
        <item x="2325"/>
        <item x="2119"/>
        <item x="2173"/>
        <item x="2327"/>
        <item x="180"/>
        <item x="722"/>
        <item x="2011"/>
        <item x="1856"/>
        <item x="2479"/>
        <item x="826"/>
        <item x="276"/>
        <item x="1659"/>
        <item x="570"/>
        <item x="930"/>
        <item x="344"/>
        <item x="1770"/>
        <item x="2142"/>
        <item x="1518"/>
        <item x="1327"/>
        <item x="1226"/>
        <item x="2363"/>
        <item x="305"/>
        <item x="2424"/>
        <item x="2144"/>
        <item x="365"/>
        <item x="659"/>
        <item x="1581"/>
        <item x="1396"/>
        <item x="816"/>
        <item x="1904"/>
        <item x="514"/>
        <item x="968"/>
        <item x="2467"/>
        <item x="1826"/>
        <item x="103"/>
        <item x="1301"/>
        <item x="1231"/>
        <item x="555"/>
        <item x="320"/>
        <item x="1539"/>
        <item x="360"/>
        <item x="1079"/>
        <item x="2336"/>
        <item x="462"/>
        <item x="2070"/>
        <item x="1506"/>
        <item x="1156"/>
        <item x="2340"/>
        <item x="1923"/>
        <item x="1624"/>
        <item x="2055"/>
        <item x="2411"/>
        <item x="172"/>
        <item x="52"/>
        <item x="1367"/>
        <item x="947"/>
        <item x="789"/>
        <item x="251"/>
        <item x="943"/>
        <item x="1852"/>
        <item x="2521"/>
        <item x="2421"/>
        <item x="542"/>
        <item x="375"/>
        <item x="346"/>
        <item x="2366"/>
        <item x="1145"/>
        <item x="1140"/>
        <item x="2264"/>
        <item x="1071"/>
        <item x="883"/>
        <item x="886"/>
        <item x="1931"/>
        <item x="1893"/>
        <item x="2428"/>
        <item x="919"/>
        <item x="1249"/>
        <item x="1371"/>
        <item x="696"/>
        <item x="864"/>
        <item x="72"/>
        <item x="1722"/>
        <item x="874"/>
        <item x="2012"/>
        <item x="498"/>
        <item x="2311"/>
        <item x="62"/>
        <item x="1875"/>
        <item x="878"/>
        <item x="1214"/>
        <item x="472"/>
        <item x="1126"/>
        <item x="1309"/>
        <item x="1211"/>
        <item x="18"/>
        <item x="2460"/>
        <item x="1792"/>
        <item x="1942"/>
        <item x="662"/>
        <item x="1805"/>
        <item x="1262"/>
        <item x="2209"/>
        <item x="736"/>
        <item x="2403"/>
        <item x="1107"/>
        <item x="988"/>
        <item x="134"/>
        <item x="993"/>
        <item x="898"/>
        <item x="2152"/>
        <item x="1821"/>
        <item x="609"/>
        <item x="614"/>
        <item x="1811"/>
        <item x="2315"/>
        <item x="440"/>
        <item x="2043"/>
        <item x="196"/>
        <item x="842"/>
        <item x="1012"/>
        <item x="1637"/>
        <item x="2166"/>
        <item x="2383"/>
        <item x="1598"/>
        <item x="980"/>
        <item x="1737"/>
        <item x="1574"/>
        <item x="2204"/>
        <item x="1538"/>
        <item x="2067"/>
        <item x="2480"/>
        <item x="1314"/>
        <item x="1729"/>
        <item x="1084"/>
        <item x="2462"/>
        <item x="1694"/>
        <item x="2215"/>
        <item x="888"/>
        <item x="1308"/>
        <item x="2233"/>
        <item x="2268"/>
        <item x="1472"/>
        <item x="500"/>
        <item x="1656"/>
        <item x="1405"/>
        <item x="2135"/>
        <item x="1127"/>
        <item x="479"/>
        <item x="2109"/>
        <item x="1959"/>
        <item x="412"/>
        <item x="1503"/>
        <item x="1486"/>
        <item x="2514"/>
        <item x="2283"/>
        <item x="996"/>
        <item x="1689"/>
        <item x="2150"/>
        <item x="2203"/>
        <item x="2130"/>
        <item x="2391"/>
        <item x="2512"/>
        <item x="923"/>
        <item x="2407"/>
        <item x="377"/>
        <item x="2492"/>
        <item x="1422"/>
        <item x="2388"/>
        <item x="1001"/>
        <item x="2381"/>
        <item x="1103"/>
        <item x="2484"/>
        <item x="1060"/>
        <item x="1320"/>
        <item x="1733"/>
        <item x="2160"/>
        <item x="1184"/>
        <item x="328"/>
        <item x="1824"/>
        <item x="2431"/>
        <item x="1409"/>
        <item x="2281"/>
        <item x="1910"/>
        <item x="2304"/>
        <item x="585"/>
        <item x="1254"/>
        <item x="1938"/>
        <item x="140"/>
        <item x="2061"/>
        <item x="1198"/>
        <item x="928"/>
        <item x="811"/>
        <item x="1759"/>
        <item x="2094"/>
        <item x="1966"/>
        <item x="602"/>
        <item x="693"/>
        <item x="473"/>
        <item x="415"/>
        <item x="109"/>
        <item x="316"/>
        <item x="2261"/>
        <item x="560"/>
        <item x="979"/>
        <item x="1870"/>
        <item x="1586"/>
        <item x="2459"/>
        <item x="1453"/>
        <item x="2317"/>
        <item x="769"/>
        <item x="1703"/>
        <item x="601"/>
        <item x="2319"/>
        <item x="1077"/>
        <item x="286"/>
        <item x="2415"/>
        <item x="491"/>
        <item x="1113"/>
        <item x="2077"/>
        <item x="1428"/>
        <item x="2129"/>
        <item x="1188"/>
        <item x="795"/>
        <item x="1027"/>
        <item x="2510"/>
        <item x="41"/>
        <item x="1793"/>
        <item x="521"/>
        <item x="616"/>
        <item x="492"/>
        <item x="319"/>
        <item x="135"/>
        <item x="2090"/>
        <item x="2393"/>
        <item x="1773"/>
        <item x="773"/>
        <item x="416"/>
        <item x="1350"/>
        <item x="815"/>
        <item x="830"/>
        <item x="184"/>
        <item x="1149"/>
        <item x="262"/>
        <item x="1201"/>
        <item x="1679"/>
        <item x="909"/>
        <item x="999"/>
        <item x="2005"/>
        <item x="1782"/>
        <item x="1484"/>
        <item x="1357"/>
        <item x="511"/>
        <item x="2490"/>
        <item x="1379"/>
        <item x="7"/>
        <item x="1947"/>
        <item x="1858"/>
        <item x="1761"/>
        <item x="2114"/>
        <item x="581"/>
        <item x="2373"/>
        <item x="2314"/>
        <item x="1082"/>
        <item x="525"/>
        <item x="243"/>
        <item x="1272"/>
        <item x="71"/>
        <item x="1210"/>
        <item x="1096"/>
        <item x="1668"/>
        <item x="2007"/>
        <item x="304"/>
        <item x="655"/>
        <item x="1199"/>
        <item x="494"/>
        <item x="1547"/>
        <item x="1968"/>
        <item x="485"/>
        <item x="2138"/>
        <item x="1068"/>
        <item x="1296"/>
        <item x="1135"/>
        <item x="1974"/>
        <item x="1474"/>
        <item x="587"/>
        <item x="1258"/>
        <item x="1970"/>
        <item x="598"/>
        <item x="1134"/>
        <item x="509"/>
        <item x="1404"/>
        <item x="2229"/>
        <item x="975"/>
        <item x="2035"/>
        <item x="2273"/>
        <item x="527"/>
        <item x="648"/>
        <item x="1516"/>
        <item x="2097"/>
        <item x="1879"/>
        <item x="1728"/>
        <item x="687"/>
        <item x="1452"/>
        <item x="1998"/>
        <item x="1427"/>
        <item x="387"/>
        <item x="1360"/>
        <item x="1378"/>
        <item x="123"/>
        <item x="33"/>
        <item x="1080"/>
        <item x="340"/>
        <item x="698"/>
        <item x="188"/>
        <item x="1240"/>
        <item x="1450"/>
        <item x="2451"/>
        <item x="1716"/>
        <item x="989"/>
        <item x="247"/>
        <item x="2271"/>
        <item x="2523"/>
        <item x="1222"/>
        <item x="1849"/>
        <item x="1881"/>
        <item x="215"/>
        <item x="256"/>
        <item x="1726"/>
        <item x="2332"/>
        <item x="1611"/>
        <item x="1800"/>
        <item x="1315"/>
        <item x="1599"/>
        <item x="2528"/>
        <item x="1604"/>
        <item x="954"/>
        <item x="291"/>
        <item x="2176"/>
        <item x="1603"/>
        <item x="1760"/>
        <item x="1969"/>
        <item x="1118"/>
        <item x="2423"/>
        <item x="1877"/>
        <item x="339"/>
        <item x="2122"/>
        <item x="695"/>
        <item x="1393"/>
        <item x="2320"/>
        <item x="1829"/>
        <item x="1566"/>
        <item x="977"/>
        <item x="489"/>
        <item x="1979"/>
        <item x="1514"/>
        <item x="2017"/>
        <item x="1740"/>
        <item x="1585"/>
        <item x="1765"/>
        <item x="1890"/>
        <item x="1454"/>
        <item x="1122"/>
        <item x="1531"/>
        <item x="2049"/>
        <item x="469"/>
        <item x="2294"/>
        <item x="1418"/>
        <item x="2313"/>
        <item x="1473"/>
        <item x="1887"/>
        <item x="209"/>
        <item x="1591"/>
        <item x="1866"/>
        <item x="1534"/>
        <item x="2457"/>
        <item x="1948"/>
        <item x="2360"/>
        <item x="1150"/>
        <item x="306"/>
        <item x="2444"/>
        <item x="2228"/>
        <item x="70"/>
        <item x="1958"/>
        <item x="1562"/>
        <item x="1967"/>
        <item x="1630"/>
        <item x="983"/>
        <item x="597"/>
        <item x="1356"/>
        <item x="467"/>
        <item x="301"/>
        <item x="1647"/>
        <item x="1347"/>
        <item x="1488"/>
        <item x="122"/>
        <item x="2455"/>
        <item x="255"/>
        <item x="1706"/>
        <item x="2171"/>
        <item x="920"/>
        <item x="488"/>
        <item x="2489"/>
        <item x="1818"/>
        <item x="1627"/>
        <item x="610"/>
        <item x="35"/>
        <item x="2448"/>
        <item x="1003"/>
        <item x="1059"/>
        <item x="1973"/>
        <item x="326"/>
        <item x="1745"/>
        <item x="2343"/>
        <item x="1037"/>
        <item x="1399"/>
        <item x="201"/>
        <item x="851"/>
        <item x="2525"/>
        <item x="861"/>
        <item x="1883"/>
        <item x="1106"/>
        <item x="2064"/>
        <item x="2013"/>
        <item x="288"/>
        <item x="658"/>
        <item x="2221"/>
        <item x="672"/>
        <item x="960"/>
        <item x="454"/>
        <item x="1549"/>
        <item x="1496"/>
        <item x="2341"/>
        <item x="2179"/>
        <item x="315"/>
        <item x="1108"/>
        <item x="1435"/>
        <item x="535"/>
        <item x="1355"/>
        <item x="1375"/>
        <item x="1526"/>
        <item x="1247"/>
        <item x="1755"/>
        <item x="2170"/>
        <item x="2034"/>
        <item x="1036"/>
        <item x="1997"/>
        <item x="112"/>
        <item x="2257"/>
        <item x="1912"/>
        <item x="1065"/>
        <item x="1186"/>
        <item x="2482"/>
        <item x="1161"/>
        <item x="966"/>
        <item x="2452"/>
        <item x="1545"/>
        <item x="2532"/>
        <item x="1313"/>
        <item x="1906"/>
        <item x="1288"/>
        <item x="1447"/>
        <item x="532"/>
        <item x="86"/>
        <item x="1593"/>
        <item x="652"/>
        <item x="182"/>
        <item x="785"/>
        <item x="2517"/>
        <item x="1785"/>
        <item x="1176"/>
        <item x="636"/>
        <item x="2307"/>
        <item x="290"/>
        <item x="2180"/>
        <item x="414"/>
        <item x="675"/>
        <item x="1522"/>
        <item x="543"/>
        <item x="2422"/>
        <item x="1908"/>
        <item x="1125"/>
        <item x="1477"/>
        <item x="840"/>
        <item x="1565"/>
        <item x="234"/>
        <item x="890"/>
        <item x="1345"/>
        <item x="2409"/>
        <item x="1141"/>
        <item x="684"/>
        <item x="1002"/>
        <item x="1582"/>
        <item x="1690"/>
        <item x="2333"/>
        <item x="759"/>
        <item x="1391"/>
        <item x="1620"/>
        <item x="2437"/>
        <item x="617"/>
        <item x="165"/>
        <item x="1579"/>
        <item x="1069"/>
        <item x="860"/>
        <item x="683"/>
        <item x="1699"/>
        <item x="654"/>
        <item x="875"/>
        <item x="1025"/>
        <item x="908"/>
        <item x="2368"/>
        <item x="647"/>
        <item x="1667"/>
        <item x="517"/>
        <item x="2275"/>
        <item x="2148"/>
        <item x="664"/>
        <item x="1177"/>
        <item x="723"/>
        <item x="1888"/>
        <item x="1420"/>
        <item x="1269"/>
        <item x="2126"/>
        <item x="2134"/>
        <item x="2386"/>
        <item x="2429"/>
        <item x="2493"/>
        <item x="417"/>
        <item x="2110"/>
        <item x="1989"/>
        <item x="1634"/>
        <item x="1602"/>
        <item x="1298"/>
        <item x="227"/>
        <item x="1090"/>
        <item x="1835"/>
        <item x="1091"/>
        <item x="2051"/>
        <item x="99"/>
        <item x="1017"/>
        <item x="199"/>
        <item x="223"/>
        <item x="354"/>
        <item x="894"/>
        <item x="447"/>
        <item x="60"/>
        <item x="1861"/>
        <item x="394"/>
        <item x="1976"/>
        <item x="133"/>
        <item x="2225"/>
        <item x="1553"/>
        <item x="603"/>
        <item x="2263"/>
        <item x="593"/>
        <item x="2121"/>
        <item x="884"/>
        <item x="625"/>
        <item x="1242"/>
        <item x="635"/>
        <item x="89"/>
        <item x="2151"/>
        <item x="2434"/>
        <item x="2210"/>
        <item x="2494"/>
        <item x="799"/>
        <item x="420"/>
        <item x="1692"/>
        <item x="2141"/>
        <item x="805"/>
        <item x="322"/>
        <item x="435"/>
        <item x="506"/>
        <item x="1381"/>
        <item x="1664"/>
        <item x="237"/>
        <item x="537"/>
        <item x="1050"/>
        <item x="1180"/>
        <item x="1903"/>
        <item x="2396"/>
        <item x="229"/>
        <item x="203"/>
        <item x="1660"/>
        <item x="1557"/>
        <item x="2390"/>
        <item x="1010"/>
        <item x="1750"/>
        <item x="812"/>
        <item x="1224"/>
        <item x="2062"/>
        <item x="1471"/>
        <item x="1245"/>
        <item x="1731"/>
        <item x="2266"/>
        <item x="1936"/>
        <item x="837"/>
        <item x="1519"/>
        <item t="default"/>
      </items>
    </pivotField>
    <pivotField showAll="0"/>
    <pivotField showAll="0"/>
    <pivotField showAll="0"/>
    <pivotField dataField="1" showAll="0">
      <items count="92">
        <item x="19"/>
        <item x="37"/>
        <item x="80"/>
        <item x="21"/>
        <item x="90"/>
        <item x="77"/>
        <item x="53"/>
        <item x="87"/>
        <item x="81"/>
        <item x="89"/>
        <item x="59"/>
        <item x="42"/>
        <item x="62"/>
        <item x="79"/>
        <item x="4"/>
        <item x="36"/>
        <item x="40"/>
        <item x="55"/>
        <item x="74"/>
        <item x="88"/>
        <item x="12"/>
        <item x="34"/>
        <item x="70"/>
        <item x="71"/>
        <item x="13"/>
        <item x="22"/>
        <item x="38"/>
        <item x="76"/>
        <item x="46"/>
        <item x="6"/>
        <item x="64"/>
        <item x="47"/>
        <item x="66"/>
        <item x="72"/>
        <item x="54"/>
        <item x="32"/>
        <item x="39"/>
        <item x="44"/>
        <item x="1"/>
        <item x="85"/>
        <item x="0"/>
        <item x="78"/>
        <item x="58"/>
        <item x="20"/>
        <item x="45"/>
        <item x="24"/>
        <item x="61"/>
        <item x="83"/>
        <item x="25"/>
        <item x="75"/>
        <item x="41"/>
        <item x="56"/>
        <item x="10"/>
        <item x="68"/>
        <item x="23"/>
        <item x="29"/>
        <item x="31"/>
        <item x="73"/>
        <item x="17"/>
        <item x="7"/>
        <item x="82"/>
        <item x="8"/>
        <item x="30"/>
        <item x="2"/>
        <item x="52"/>
        <item x="18"/>
        <item x="11"/>
        <item x="67"/>
        <item x="16"/>
        <item x="86"/>
        <item x="35"/>
        <item x="3"/>
        <item x="63"/>
        <item x="65"/>
        <item x="27"/>
        <item x="51"/>
        <item x="28"/>
        <item x="14"/>
        <item x="15"/>
        <item x="9"/>
        <item x="33"/>
        <item x="43"/>
        <item x="48"/>
        <item x="60"/>
        <item x="69"/>
        <item x="50"/>
        <item x="49"/>
        <item x="84"/>
        <item x="26"/>
        <item x="57"/>
        <item x="5"/>
        <item t="default"/>
      </items>
    </pivotField>
    <pivotField showAll="0"/>
    <pivotField showAll="0">
      <items count="5">
        <item x="3"/>
        <item x="2"/>
        <item x="1"/>
        <item x="0"/>
        <item t="default"/>
      </items>
    </pivotField>
    <pivotField showAll="0"/>
    <pivotField showAll="0"/>
    <pivotField showAll="0"/>
    <pivotField showAll="0"/>
    <pivotField showAll="0">
      <items count="523">
        <item x="147"/>
        <item x="320"/>
        <item x="150"/>
        <item x="453"/>
        <item x="514"/>
        <item x="417"/>
        <item x="487"/>
        <item x="506"/>
        <item x="195"/>
        <item x="458"/>
        <item x="499"/>
        <item x="307"/>
        <item x="490"/>
        <item x="485"/>
        <item x="456"/>
        <item x="508"/>
        <item x="489"/>
        <item x="443"/>
        <item x="488"/>
        <item x="504"/>
        <item x="518"/>
        <item x="482"/>
        <item x="472"/>
        <item x="291"/>
        <item x="500"/>
        <item x="342"/>
        <item x="421"/>
        <item x="509"/>
        <item x="430"/>
        <item x="511"/>
        <item x="404"/>
        <item x="476"/>
        <item x="469"/>
        <item x="442"/>
        <item x="71"/>
        <item x="390"/>
        <item x="474"/>
        <item x="199"/>
        <item x="80"/>
        <item x="498"/>
        <item x="203"/>
        <item x="501"/>
        <item x="323"/>
        <item x="492"/>
        <item x="89"/>
        <item x="416"/>
        <item x="466"/>
        <item x="422"/>
        <item x="359"/>
        <item x="217"/>
        <item x="424"/>
        <item x="521"/>
        <item x="12"/>
        <item x="65"/>
        <item x="82"/>
        <item x="478"/>
        <item x="262"/>
        <item x="408"/>
        <item x="486"/>
        <item x="507"/>
        <item x="477"/>
        <item x="160"/>
        <item x="330"/>
        <item x="362"/>
        <item x="69"/>
        <item x="145"/>
        <item x="78"/>
        <item x="402"/>
        <item x="332"/>
        <item x="438"/>
        <item x="375"/>
        <item x="30"/>
        <item x="285"/>
        <item x="358"/>
        <item x="243"/>
        <item x="345"/>
        <item x="517"/>
        <item x="46"/>
        <item x="431"/>
        <item x="170"/>
        <item x="295"/>
        <item x="245"/>
        <item x="222"/>
        <item x="461"/>
        <item x="471"/>
        <item x="113"/>
        <item x="432"/>
        <item x="346"/>
        <item x="400"/>
        <item x="93"/>
        <item x="312"/>
        <item x="328"/>
        <item x="41"/>
        <item x="64"/>
        <item x="339"/>
        <item x="344"/>
        <item x="197"/>
        <item x="355"/>
        <item x="321"/>
        <item x="329"/>
        <item x="315"/>
        <item x="6"/>
        <item x="212"/>
        <item x="92"/>
        <item x="418"/>
        <item x="57"/>
        <item x="230"/>
        <item x="354"/>
        <item x="126"/>
        <item x="20"/>
        <item x="115"/>
        <item x="276"/>
        <item x="84"/>
        <item x="63"/>
        <item x="213"/>
        <item x="475"/>
        <item x="162"/>
        <item x="220"/>
        <item x="24"/>
        <item x="239"/>
        <item x="302"/>
        <item x="272"/>
        <item x="327"/>
        <item x="101"/>
        <item x="343"/>
        <item x="465"/>
        <item x="314"/>
        <item x="247"/>
        <item x="176"/>
        <item x="70"/>
        <item x="403"/>
        <item x="136"/>
        <item x="116"/>
        <item x="38"/>
        <item x="34"/>
        <item x="167"/>
        <item x="129"/>
        <item x="135"/>
        <item x="23"/>
        <item x="128"/>
        <item x="451"/>
        <item x="16"/>
        <item x="444"/>
        <item x="58"/>
        <item x="340"/>
        <item x="413"/>
        <item x="366"/>
        <item x="252"/>
        <item x="201"/>
        <item x="369"/>
        <item x="349"/>
        <item x="73"/>
        <item x="149"/>
        <item x="110"/>
        <item x="278"/>
        <item x="379"/>
        <item x="470"/>
        <item x="264"/>
        <item x="254"/>
        <item x="480"/>
        <item x="348"/>
        <item x="223"/>
        <item x="385"/>
        <item x="361"/>
        <item x="3"/>
        <item x="215"/>
        <item x="350"/>
        <item x="237"/>
        <item x="42"/>
        <item x="144"/>
        <item x="142"/>
        <item x="380"/>
        <item x="460"/>
        <item x="336"/>
        <item x="99"/>
        <item x="337"/>
        <item x="401"/>
        <item x="68"/>
        <item x="123"/>
        <item x="97"/>
        <item x="31"/>
        <item x="102"/>
        <item x="185"/>
        <item x="279"/>
        <item x="296"/>
        <item x="373"/>
        <item x="299"/>
        <item x="196"/>
        <item x="356"/>
        <item x="249"/>
        <item x="298"/>
        <item x="88"/>
        <item x="148"/>
        <item x="446"/>
        <item x="186"/>
        <item x="300"/>
        <item x="374"/>
        <item x="301"/>
        <item x="441"/>
        <item x="316"/>
        <item x="76"/>
        <item x="141"/>
        <item x="4"/>
        <item x="40"/>
        <item x="74"/>
        <item x="281"/>
        <item x="269"/>
        <item x="143"/>
        <item x="260"/>
        <item x="363"/>
        <item x="134"/>
        <item x="79"/>
        <item x="382"/>
        <item x="50"/>
        <item x="179"/>
        <item x="322"/>
        <item x="60"/>
        <item x="206"/>
        <item x="294"/>
        <item x="127"/>
        <item x="32"/>
        <item x="67"/>
        <item x="273"/>
        <item x="325"/>
        <item x="303"/>
        <item x="45"/>
        <item x="59"/>
        <item x="19"/>
        <item x="72"/>
        <item x="292"/>
        <item x="333"/>
        <item x="132"/>
        <item x="173"/>
        <item x="27"/>
        <item x="21"/>
        <item x="406"/>
        <item x="426"/>
        <item x="138"/>
        <item x="410"/>
        <item x="335"/>
        <item x="109"/>
        <item x="229"/>
        <item x="56"/>
        <item x="155"/>
        <item x="326"/>
        <item x="191"/>
        <item x="341"/>
        <item x="218"/>
        <item x="15"/>
        <item x="51"/>
        <item x="35"/>
        <item x="83"/>
        <item x="153"/>
        <item x="47"/>
        <item x="207"/>
        <item x="0"/>
        <item x="29"/>
        <item x="146"/>
        <item x="1"/>
        <item x="271"/>
        <item x="436"/>
        <item x="496"/>
        <item x="106"/>
        <item x="122"/>
        <item x="308"/>
        <item x="159"/>
        <item x="168"/>
        <item x="114"/>
        <item x="319"/>
        <item x="228"/>
        <item x="227"/>
        <item x="190"/>
        <item x="423"/>
        <item x="54"/>
        <item x="9"/>
        <item x="100"/>
        <item x="282"/>
        <item x="85"/>
        <item x="225"/>
        <item x="108"/>
        <item x="280"/>
        <item x="121"/>
        <item x="14"/>
        <item x="174"/>
        <item x="234"/>
        <item x="255"/>
        <item x="204"/>
        <item x="55"/>
        <item x="246"/>
        <item x="447"/>
        <item x="183"/>
        <item x="235"/>
        <item x="188"/>
        <item x="131"/>
        <item x="387"/>
        <item x="391"/>
        <item x="318"/>
        <item x="261"/>
        <item x="7"/>
        <item x="86"/>
        <item x="240"/>
        <item x="383"/>
        <item x="94"/>
        <item x="184"/>
        <item x="77"/>
        <item x="81"/>
        <item x="39"/>
        <item x="232"/>
        <item x="256"/>
        <item x="248"/>
        <item x="169"/>
        <item x="156"/>
        <item x="125"/>
        <item x="36"/>
        <item x="310"/>
        <item x="192"/>
        <item x="467"/>
        <item x="396"/>
        <item x="26"/>
        <item x="309"/>
        <item x="216"/>
        <item x="105"/>
        <item x="8"/>
        <item x="274"/>
        <item x="259"/>
        <item x="166"/>
        <item x="287"/>
        <item x="111"/>
        <item x="397"/>
        <item x="119"/>
        <item x="434"/>
        <item x="18"/>
        <item x="43"/>
        <item x="17"/>
        <item x="289"/>
        <item x="311"/>
        <item x="22"/>
        <item x="182"/>
        <item x="163"/>
        <item x="52"/>
        <item x="118"/>
        <item x="5"/>
        <item x="95"/>
        <item x="267"/>
        <item x="317"/>
        <item x="398"/>
        <item x="257"/>
        <item x="202"/>
        <item x="231"/>
        <item x="96"/>
        <item x="452"/>
        <item x="37"/>
        <item x="305"/>
        <item x="120"/>
        <item x="258"/>
        <item x="53"/>
        <item x="368"/>
        <item x="211"/>
        <item x="288"/>
        <item x="244"/>
        <item x="290"/>
        <item x="241"/>
        <item x="473"/>
        <item x="265"/>
        <item x="158"/>
        <item x="44"/>
        <item x="331"/>
        <item x="181"/>
        <item x="205"/>
        <item x="180"/>
        <item x="392"/>
        <item x="367"/>
        <item x="428"/>
        <item x="66"/>
        <item x="161"/>
        <item x="464"/>
        <item x="11"/>
        <item x="152"/>
        <item x="165"/>
        <item x="221"/>
        <item x="433"/>
        <item x="208"/>
        <item x="263"/>
        <item x="75"/>
        <item x="98"/>
        <item x="357"/>
        <item x="2"/>
        <item x="112"/>
        <item x="194"/>
        <item x="157"/>
        <item x="107"/>
        <item x="177"/>
        <item x="10"/>
        <item x="242"/>
        <item x="187"/>
        <item x="429"/>
        <item x="386"/>
        <item x="91"/>
        <item x="130"/>
        <item x="338"/>
        <item x="510"/>
        <item x="384"/>
        <item x="25"/>
        <item x="283"/>
        <item x="209"/>
        <item x="304"/>
        <item x="133"/>
        <item x="104"/>
        <item x="33"/>
        <item x="198"/>
        <item x="463"/>
        <item x="61"/>
        <item x="137"/>
        <item x="297"/>
        <item x="103"/>
        <item x="286"/>
        <item x="347"/>
        <item x="49"/>
        <item x="233"/>
        <item x="200"/>
        <item x="395"/>
        <item x="236"/>
        <item x="420"/>
        <item x="266"/>
        <item x="371"/>
        <item x="284"/>
        <item x="171"/>
        <item x="214"/>
        <item x="376"/>
        <item x="251"/>
        <item x="450"/>
        <item x="449"/>
        <item x="513"/>
        <item x="139"/>
        <item x="412"/>
        <item x="324"/>
        <item x="87"/>
        <item x="253"/>
        <item x="360"/>
        <item x="377"/>
        <item x="28"/>
        <item x="439"/>
        <item x="238"/>
        <item x="154"/>
        <item x="370"/>
        <item x="164"/>
        <item x="189"/>
        <item x="462"/>
        <item x="140"/>
        <item x="378"/>
        <item x="219"/>
        <item x="483"/>
        <item x="353"/>
        <item x="117"/>
        <item x="351"/>
        <item x="13"/>
        <item x="425"/>
        <item x="124"/>
        <item x="454"/>
        <item x="270"/>
        <item x="457"/>
        <item x="268"/>
        <item x="389"/>
        <item x="419"/>
        <item x="512"/>
        <item x="62"/>
        <item x="405"/>
        <item x="250"/>
        <item x="388"/>
        <item x="411"/>
        <item x="365"/>
        <item x="175"/>
        <item x="455"/>
        <item x="193"/>
        <item x="226"/>
        <item x="381"/>
        <item x="484"/>
        <item x="407"/>
        <item x="394"/>
        <item x="519"/>
        <item x="440"/>
        <item x="491"/>
        <item x="172"/>
        <item x="306"/>
        <item x="479"/>
        <item x="495"/>
        <item x="503"/>
        <item x="468"/>
        <item x="409"/>
        <item x="364"/>
        <item x="427"/>
        <item x="224"/>
        <item x="313"/>
        <item x="293"/>
        <item x="520"/>
        <item x="352"/>
        <item x="48"/>
        <item x="210"/>
        <item x="151"/>
        <item x="393"/>
        <item x="178"/>
        <item x="437"/>
        <item x="459"/>
        <item x="502"/>
        <item x="515"/>
        <item x="494"/>
        <item x="90"/>
        <item x="275"/>
        <item x="516"/>
        <item x="493"/>
        <item x="277"/>
        <item x="505"/>
        <item x="497"/>
        <item x="445"/>
        <item x="334"/>
        <item x="415"/>
        <item x="372"/>
        <item x="448"/>
        <item x="414"/>
        <item x="435"/>
        <item x="481"/>
        <item x="399"/>
        <item t="default"/>
      </items>
    </pivotField>
    <pivotField showAll="0"/>
    <pivotField showAll="0"/>
    <pivotField showAll="0"/>
    <pivotField showAll="0"/>
  </pivotFields>
  <rowFields count="1">
    <field x="2"/>
  </rowFields>
  <rowItems count="7">
    <i>
      <x/>
    </i>
    <i>
      <x v="1"/>
    </i>
    <i>
      <x v="2"/>
    </i>
    <i>
      <x v="3"/>
    </i>
    <i>
      <x v="4"/>
    </i>
    <i>
      <x v="5"/>
    </i>
    <i>
      <x v="6"/>
    </i>
  </rowItems>
  <colItems count="1">
    <i/>
  </colItems>
  <dataFields count="1">
    <dataField name="AI Replacement Risk" fld="11" subtotal="average" baseField="2" baseItem="0"/>
  </dataFields>
  <formats count="7">
    <format dxfId="65">
      <pivotArea type="all" dataOnly="0" outline="0" fieldPosition="0"/>
    </format>
    <format dxfId="64">
      <pivotArea outline="0" collapsedLevelsAreSubtotals="1" fieldPosition="0"/>
    </format>
    <format dxfId="63">
      <pivotArea type="origin" dataOnly="0" labelOnly="1" outline="0" fieldPosition="0"/>
    </format>
    <format dxfId="62">
      <pivotArea field="2" type="button" dataOnly="0" labelOnly="1" outline="0" axis="axisRow" fieldPosition="0"/>
    </format>
    <format dxfId="61">
      <pivotArea type="topRight" dataOnly="0" labelOnly="1" outline="0" fieldPosition="0"/>
    </format>
    <format dxfId="60">
      <pivotArea field="6" type="button" dataOnly="0" labelOnly="1" outline="0"/>
    </format>
    <format dxfId="59">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EE38973-DAA2-45A0-8E72-D3985E8B254B}" sourceName="industry">
  <pivotTables>
    <pivotTable tabId="4" name="PivotTable2"/>
    <pivotTable tabId="4" name="Layoffs_per_year"/>
    <pivotTable tabId="4" name="rev_growth"/>
  </pivotTables>
  <data>
    <tabular pivotCacheId="1693231787">
      <items count="7">
        <i x="0" s="1"/>
        <i x="1" s="1"/>
        <i x="2" s="1"/>
        <i x="4" s="1"/>
        <i x="6"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59C048A1-A0A0-4A25-8E2D-D6CE2FF40E70}" cache="Slicer_industry" caption="Industry" startItem="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54D4A-C1B9-450B-B840-C07832EC561B}" name="data" displayName="data" ref="B4:X2993" totalsRowShown="0">
  <autoFilter ref="B4:X2993" xr:uid="{84C54D4A-C1B9-450B-B840-C07832EC561B}"/>
  <tableColumns count="23">
    <tableColumn id="1" xr3:uid="{D8C88528-D220-4332-8D83-87ADAC06A3C1}" name="record_id"/>
    <tableColumn id="2" xr3:uid="{6D41C129-3F2D-4C13-8FC2-9AE0BCD331B2}" name="company_name"/>
    <tableColumn id="3" xr3:uid="{91074E2E-F7E7-4338-B740-6AB04F13BDF2}" name="industry"/>
    <tableColumn id="4" xr3:uid="{6B74E86C-23EC-4B8B-8055-88105854820B}" name="country"/>
    <tableColumn id="5" xr3:uid="{AD95BBDC-2BA3-4C59-B6A8-298F691BC1A8}" name="company_size"/>
    <tableColumn id="6" xr3:uid="{E069D6FE-E093-448B-BCCB-30914E4719A7}" name="month"/>
    <tableColumn id="7" xr3:uid="{1BB31DEF-3FEF-4282-B3D3-B3E90641C0E9}" name="year"/>
    <tableColumn id="8" xr3:uid="{B84D0E43-655E-4CF2-806A-1EC94AA1526A}" name="layoffs_count"/>
    <tableColumn id="9" xr3:uid="{5A2BCC20-414E-446E-8C2D-A7E1D674C8A3}" name="layoff_percentage"/>
    <tableColumn id="10" xr3:uid="{266BAC00-23CD-4239-8B46-820D369CC206}" name="reason_for_layoffs"/>
    <tableColumn id="11" xr3:uid="{3205450A-C45B-471F-8ED8-72A1474002B5}" name="ai_automation_impact"/>
    <tableColumn id="12" xr3:uid="{41886D8A-462B-4CEA-8F15-958536267F79}" name="ai_replacement_risk"/>
    <tableColumn id="13" xr3:uid="{449F4D3B-D802-4476-AA6E-56B7758B7DF0}" name="open_roles"/>
    <tableColumn id="14" xr3:uid="{81F2F7EC-6379-4BDC-991C-755D7CAE9513}" name="hiring_trend"/>
    <tableColumn id="15" xr3:uid="{CAF3CDC0-0A7F-48AD-93FA-FC4F7F4F382B}" name="remote_jobs_percentage"/>
    <tableColumn id="16" xr3:uid="{03E16A62-EC55-44A3-AF3F-D2A051CBD640}" name="top_hiring_role"/>
    <tableColumn id="17" xr3:uid="{B37D5CBC-2D17-48F3-BB85-3C094312BF36}" name="stock_growth_percent"/>
    <tableColumn id="18" xr3:uid="{626DA845-E872-402B-BBF2-AABA747735E7}" name="revenue_growth_percent"/>
    <tableColumn id="19" xr3:uid="{C6EBFB7D-0371-4E3B-A458-AEB32FDDA9BC}" name="salary_budget_change"/>
    <tableColumn id="20" xr3:uid="{AF6FC408-4605-4EC7-83FC-F71A4B003EA3}" name="ai_adoption_level"/>
    <tableColumn id="21" xr3:uid="{E9578531-2C62-4856-9B29-1F07492C5A16}" name="employee_sentiment"/>
    <tableColumn id="22" xr3:uid="{1E4912E0-09A4-4064-89B3-C83A4A463C80}" name="job_security_score"/>
    <tableColumn id="23" xr3:uid="{2320B67C-C031-40C5-A60D-8C7ABAAE0AC6}" name="market_cond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67A9-9701-4C81-93B0-203628295D74}">
  <dimension ref="A1"/>
  <sheetViews>
    <sheetView showGridLines="0" zoomScale="85" zoomScaleNormal="85" workbookViewId="0">
      <selection activeCell="T9" sqref="T9"/>
    </sheetView>
  </sheetViews>
  <sheetFormatPr defaultRowHeight="14.4" x14ac:dyDescent="0.3"/>
  <cols>
    <col min="1" max="1"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1A54-C611-4BB4-B765-770B97FDF785}">
  <dimension ref="A4:L122"/>
  <sheetViews>
    <sheetView tabSelected="1" topLeftCell="A103" workbookViewId="0">
      <selection activeCell="J125" sqref="J125"/>
    </sheetView>
  </sheetViews>
  <sheetFormatPr defaultRowHeight="14.4" x14ac:dyDescent="0.3"/>
  <cols>
    <col min="1" max="1" width="8.88671875" style="6"/>
    <col min="2" max="2" width="18.6640625" bestFit="1" customWidth="1"/>
    <col min="3" max="3" width="26.44140625" bestFit="1" customWidth="1"/>
    <col min="4" max="4" width="8" bestFit="1" customWidth="1"/>
    <col min="5" max="5" width="22.44140625" bestFit="1" customWidth="1"/>
    <col min="6" max="6" width="12.77734375" bestFit="1" customWidth="1"/>
    <col min="7" max="7" width="9.44140625" bestFit="1" customWidth="1"/>
    <col min="8" max="8" width="14.44140625" bestFit="1" customWidth="1"/>
    <col min="9" max="9" width="11.6640625" bestFit="1" customWidth="1"/>
    <col min="10" max="10" width="5.5546875" bestFit="1" customWidth="1"/>
    <col min="11" max="11" width="15.88671875" bestFit="1" customWidth="1"/>
    <col min="12" max="12" width="6" bestFit="1" customWidth="1"/>
    <col min="13" max="13" width="6.44140625" bestFit="1" customWidth="1"/>
    <col min="14" max="14" width="7.109375" bestFit="1" customWidth="1"/>
    <col min="15" max="15" width="7.33203125" bestFit="1" customWidth="1"/>
    <col min="16" max="16" width="6.33203125" bestFit="1" customWidth="1"/>
    <col min="17" max="17" width="7.44140625" bestFit="1" customWidth="1"/>
    <col min="18" max="18" width="9.5546875" bestFit="1" customWidth="1"/>
    <col min="19" max="19" width="5.5546875" bestFit="1" customWidth="1"/>
    <col min="20" max="20" width="7" bestFit="1" customWidth="1"/>
    <col min="21" max="21" width="5.88671875" bestFit="1" customWidth="1"/>
    <col min="22" max="22" width="5.5546875" bestFit="1" customWidth="1"/>
    <col min="23" max="36" width="3" bestFit="1" customWidth="1"/>
    <col min="37" max="413" width="4" bestFit="1" customWidth="1"/>
    <col min="414" max="2026" width="5" bestFit="1" customWidth="1"/>
    <col min="2027" max="2538" width="6" bestFit="1" customWidth="1"/>
    <col min="2539" max="2539" width="10.77734375" bestFit="1" customWidth="1"/>
  </cols>
  <sheetData>
    <row r="4" spans="2:9" ht="14.4" customHeight="1" x14ac:dyDescent="0.35">
      <c r="B4" s="7" t="s">
        <v>3089</v>
      </c>
      <c r="C4" s="7"/>
      <c r="D4" s="7"/>
      <c r="E4" s="7"/>
      <c r="F4" s="7"/>
      <c r="G4" s="7"/>
      <c r="H4" s="7"/>
      <c r="I4" s="7"/>
    </row>
    <row r="5" spans="2:9" x14ac:dyDescent="0.3">
      <c r="B5" s="1" t="s">
        <v>3088</v>
      </c>
      <c r="C5" s="1" t="s">
        <v>1</v>
      </c>
      <c r="D5" s="2"/>
      <c r="E5" s="2"/>
      <c r="F5" s="2"/>
      <c r="G5" s="2"/>
      <c r="H5" s="2"/>
      <c r="I5" s="2"/>
    </row>
    <row r="6" spans="2:9" x14ac:dyDescent="0.3">
      <c r="B6" s="1" t="s">
        <v>3087</v>
      </c>
      <c r="C6" s="2" t="s">
        <v>2</v>
      </c>
      <c r="D6" s="2" t="s">
        <v>3</v>
      </c>
      <c r="E6" s="2" t="s">
        <v>4</v>
      </c>
      <c r="F6" s="2" t="s">
        <v>5</v>
      </c>
      <c r="G6" s="2" t="s">
        <v>6</v>
      </c>
      <c r="H6" s="2" t="s">
        <v>7</v>
      </c>
      <c r="I6" s="2" t="s">
        <v>8</v>
      </c>
    </row>
    <row r="7" spans="2:9" x14ac:dyDescent="0.3">
      <c r="B7" s="3">
        <v>2024</v>
      </c>
      <c r="C7" s="2">
        <v>1193869</v>
      </c>
      <c r="D7" s="2">
        <v>1009477</v>
      </c>
      <c r="E7" s="2">
        <v>687919</v>
      </c>
      <c r="F7" s="2">
        <v>381804</v>
      </c>
      <c r="G7" s="2">
        <v>434758</v>
      </c>
      <c r="H7" s="2">
        <v>680144</v>
      </c>
      <c r="I7" s="2">
        <v>590463</v>
      </c>
    </row>
    <row r="8" spans="2:9" x14ac:dyDescent="0.3">
      <c r="B8" s="3">
        <v>2025</v>
      </c>
      <c r="C8" s="2">
        <v>1133404</v>
      </c>
      <c r="D8" s="2">
        <v>1131116</v>
      </c>
      <c r="E8" s="2">
        <v>683067</v>
      </c>
      <c r="F8" s="2">
        <v>447539</v>
      </c>
      <c r="G8" s="2">
        <v>411586</v>
      </c>
      <c r="H8" s="2">
        <v>723550</v>
      </c>
      <c r="I8" s="2">
        <v>655538</v>
      </c>
    </row>
    <row r="9" spans="2:9" x14ac:dyDescent="0.3">
      <c r="B9" s="3">
        <v>2026</v>
      </c>
      <c r="C9" s="2">
        <v>1214160</v>
      </c>
      <c r="D9" s="2">
        <v>1066844</v>
      </c>
      <c r="E9" s="2">
        <v>677176</v>
      </c>
      <c r="F9" s="2">
        <v>326248</v>
      </c>
      <c r="G9" s="2">
        <v>485789</v>
      </c>
      <c r="H9" s="2">
        <v>557347</v>
      </c>
      <c r="I9" s="2">
        <v>578050</v>
      </c>
    </row>
    <row r="19" spans="2:3" ht="18" x14ac:dyDescent="0.35">
      <c r="B19" s="8" t="s">
        <v>3091</v>
      </c>
      <c r="C19" s="9"/>
    </row>
    <row r="20" spans="2:3" x14ac:dyDescent="0.3">
      <c r="B20" s="1" t="s">
        <v>3090</v>
      </c>
      <c r="C20" s="2" t="s">
        <v>3115</v>
      </c>
    </row>
    <row r="21" spans="2:3" x14ac:dyDescent="0.3">
      <c r="B21" s="3" t="s">
        <v>9</v>
      </c>
      <c r="C21" s="4">
        <v>5.7184986595174285</v>
      </c>
    </row>
    <row r="22" spans="2:3" x14ac:dyDescent="0.3">
      <c r="B22" s="3" t="s">
        <v>10</v>
      </c>
      <c r="C22" s="4">
        <v>5.2876190476190477</v>
      </c>
    </row>
    <row r="23" spans="2:3" x14ac:dyDescent="0.3">
      <c r="B23" s="3" t="s">
        <v>11</v>
      </c>
      <c r="C23" s="4">
        <v>6.2632198952879587</v>
      </c>
    </row>
    <row r="24" spans="2:3" x14ac:dyDescent="0.3">
      <c r="B24" s="3" t="s">
        <v>12</v>
      </c>
      <c r="C24" s="4">
        <v>5.5063172043010775</v>
      </c>
    </row>
    <row r="26" spans="2:3" ht="18" x14ac:dyDescent="0.35">
      <c r="B26" s="8" t="s">
        <v>3112</v>
      </c>
      <c r="C26" s="9"/>
    </row>
    <row r="27" spans="2:3" x14ac:dyDescent="0.3">
      <c r="B27" s="1" t="s">
        <v>3112</v>
      </c>
      <c r="C27" s="2" t="s">
        <v>3113</v>
      </c>
    </row>
    <row r="28" spans="2:3" x14ac:dyDescent="0.3">
      <c r="B28" s="3" t="s">
        <v>23</v>
      </c>
      <c r="C28" s="4">
        <v>623</v>
      </c>
    </row>
    <row r="29" spans="2:3" x14ac:dyDescent="0.3">
      <c r="B29" s="3" t="s">
        <v>22</v>
      </c>
      <c r="C29" s="4">
        <v>606</v>
      </c>
    </row>
    <row r="30" spans="2:3" x14ac:dyDescent="0.3">
      <c r="B30" s="3" t="s">
        <v>21</v>
      </c>
      <c r="C30" s="4">
        <v>601</v>
      </c>
    </row>
    <row r="31" spans="2:3" x14ac:dyDescent="0.3">
      <c r="B31" s="3" t="s">
        <v>25</v>
      </c>
      <c r="C31" s="4">
        <v>587</v>
      </c>
    </row>
    <row r="32" spans="2:3" x14ac:dyDescent="0.3">
      <c r="B32" s="3" t="s">
        <v>24</v>
      </c>
      <c r="C32" s="4">
        <v>572</v>
      </c>
    </row>
    <row r="36" spans="2:9" ht="18" x14ac:dyDescent="0.35">
      <c r="B36" s="8" t="s">
        <v>3109</v>
      </c>
      <c r="C36" s="9"/>
      <c r="E36" s="10" t="s">
        <v>3107</v>
      </c>
      <c r="F36" s="11"/>
      <c r="G36" s="11"/>
      <c r="H36" s="11"/>
      <c r="I36" s="11"/>
    </row>
    <row r="37" spans="2:9" x14ac:dyDescent="0.3">
      <c r="B37" s="1" t="s">
        <v>3110</v>
      </c>
      <c r="C37" s="2" t="s">
        <v>3111</v>
      </c>
      <c r="E37" s="1" t="s">
        <v>3108</v>
      </c>
      <c r="F37" s="1" t="s">
        <v>3090</v>
      </c>
      <c r="G37" s="2"/>
      <c r="H37" s="2"/>
      <c r="I37" s="2"/>
    </row>
    <row r="38" spans="2:9" x14ac:dyDescent="0.3">
      <c r="B38" s="3" t="s">
        <v>27</v>
      </c>
      <c r="C38" s="4">
        <v>12.770967741935475</v>
      </c>
      <c r="E38" s="1" t="s">
        <v>28</v>
      </c>
      <c r="F38" s="2" t="s">
        <v>9</v>
      </c>
      <c r="G38" s="2" t="s">
        <v>10</v>
      </c>
      <c r="H38" s="2" t="s">
        <v>11</v>
      </c>
      <c r="I38" s="2" t="s">
        <v>12</v>
      </c>
    </row>
    <row r="39" spans="2:9" x14ac:dyDescent="0.3">
      <c r="B39" s="3" t="s">
        <v>81</v>
      </c>
      <c r="C39" s="4">
        <v>12.58987341772152</v>
      </c>
      <c r="E39" s="3" t="s">
        <v>2</v>
      </c>
      <c r="F39" s="4">
        <v>5.7565476190476206</v>
      </c>
      <c r="G39" s="4">
        <v>5.8063583815028874</v>
      </c>
      <c r="H39" s="4">
        <v>5.9515789473684233</v>
      </c>
      <c r="I39" s="4">
        <v>5.9029239766081893</v>
      </c>
    </row>
    <row r="40" spans="2:9" x14ac:dyDescent="0.3">
      <c r="B40" s="3" t="s">
        <v>90</v>
      </c>
      <c r="C40" s="4">
        <v>12.403125000000003</v>
      </c>
      <c r="E40" s="3" t="s">
        <v>3</v>
      </c>
      <c r="F40" s="4">
        <v>5.7922222222222217</v>
      </c>
      <c r="G40" s="4">
        <v>5.9377245508982019</v>
      </c>
      <c r="H40" s="4">
        <v>5.7850574712643636</v>
      </c>
      <c r="I40" s="4">
        <v>5.8294117647058847</v>
      </c>
    </row>
    <row r="41" spans="2:9" x14ac:dyDescent="0.3">
      <c r="B41" s="3" t="s">
        <v>62</v>
      </c>
      <c r="C41" s="4">
        <v>11.980281690140842</v>
      </c>
      <c r="E41" s="3" t="s">
        <v>4</v>
      </c>
      <c r="F41" s="4">
        <v>5.8375000000000021</v>
      </c>
      <c r="G41" s="4">
        <v>5.8406250000000037</v>
      </c>
      <c r="H41" s="4">
        <v>5.6670329670329673</v>
      </c>
      <c r="I41" s="4">
        <v>5.6121495327102782</v>
      </c>
    </row>
    <row r="42" spans="2:9" x14ac:dyDescent="0.3">
      <c r="B42" s="3" t="s">
        <v>92</v>
      </c>
      <c r="C42" s="4">
        <v>11.179787234042552</v>
      </c>
      <c r="E42" s="3" t="s">
        <v>5</v>
      </c>
      <c r="F42" s="4">
        <v>5.8241935483870968</v>
      </c>
      <c r="G42" s="4">
        <v>5.3894736842105253</v>
      </c>
      <c r="H42" s="4">
        <v>5.8328125000000011</v>
      </c>
      <c r="I42" s="4">
        <v>5.6258620689655174</v>
      </c>
    </row>
    <row r="43" spans="2:9" x14ac:dyDescent="0.3">
      <c r="B43" s="3" t="s">
        <v>73</v>
      </c>
      <c r="C43" s="4">
        <v>13.61025641025641</v>
      </c>
      <c r="E43" s="3" t="s">
        <v>6</v>
      </c>
      <c r="F43" s="4">
        <v>5.462121212121211</v>
      </c>
      <c r="G43" s="4">
        <v>5.888059701492538</v>
      </c>
      <c r="H43" s="4">
        <v>6.0415384615384644</v>
      </c>
      <c r="I43" s="4">
        <v>5.6707692307692303</v>
      </c>
    </row>
    <row r="44" spans="2:9" x14ac:dyDescent="0.3">
      <c r="B44" s="3" t="s">
        <v>106</v>
      </c>
      <c r="C44" s="4">
        <v>12.829424778761057</v>
      </c>
      <c r="E44" s="3" t="s">
        <v>7</v>
      </c>
      <c r="F44" s="4">
        <v>5.8056179775280921</v>
      </c>
      <c r="G44" s="4">
        <v>6.0887640449438178</v>
      </c>
      <c r="H44" s="4">
        <v>5.7598039215686256</v>
      </c>
      <c r="I44" s="4">
        <v>6.1129032258064502</v>
      </c>
    </row>
    <row r="45" spans="2:9" x14ac:dyDescent="0.3">
      <c r="B45" s="3" t="s">
        <v>83</v>
      </c>
      <c r="C45" s="4">
        <v>11.590243902439028</v>
      </c>
      <c r="E45" s="3" t="s">
        <v>8</v>
      </c>
      <c r="F45" s="4">
        <v>5.7505882352941153</v>
      </c>
      <c r="G45" s="4">
        <v>5.5790697674418626</v>
      </c>
      <c r="H45" s="4">
        <v>5.8192307692307672</v>
      </c>
      <c r="I45" s="4">
        <v>5.5762499999999999</v>
      </c>
    </row>
    <row r="46" spans="2:9" x14ac:dyDescent="0.3">
      <c r="B46" s="3" t="s">
        <v>142</v>
      </c>
      <c r="C46" s="4">
        <v>13.832748538011696</v>
      </c>
    </row>
    <row r="47" spans="2:9" x14ac:dyDescent="0.3">
      <c r="B47" s="3" t="s">
        <v>53</v>
      </c>
      <c r="C47" s="4">
        <v>13.003892215568866</v>
      </c>
    </row>
    <row r="48" spans="2:9" x14ac:dyDescent="0.3">
      <c r="B48" s="3" t="s">
        <v>139</v>
      </c>
      <c r="C48" s="4">
        <v>14.674603174603174</v>
      </c>
    </row>
    <row r="49" spans="2:3" x14ac:dyDescent="0.3">
      <c r="B49" s="3" t="s">
        <v>159</v>
      </c>
      <c r="C49" s="4">
        <v>12.213291139240509</v>
      </c>
    </row>
    <row r="50" spans="2:3" x14ac:dyDescent="0.3">
      <c r="B50" s="3" t="s">
        <v>122</v>
      </c>
      <c r="C50" s="4">
        <v>13.531707317073176</v>
      </c>
    </row>
    <row r="51" spans="2:3" x14ac:dyDescent="0.3">
      <c r="B51" s="3" t="s">
        <v>137</v>
      </c>
      <c r="C51" s="4">
        <v>11.434591194968551</v>
      </c>
    </row>
    <row r="52" spans="2:3" x14ac:dyDescent="0.3">
      <c r="B52" s="3" t="s">
        <v>59</v>
      </c>
      <c r="C52" s="4">
        <v>14.002325581395347</v>
      </c>
    </row>
    <row r="53" spans="2:3" x14ac:dyDescent="0.3">
      <c r="B53" s="3" t="s">
        <v>100</v>
      </c>
      <c r="C53" s="4">
        <v>12.318446601941751</v>
      </c>
    </row>
    <row r="54" spans="2:3" x14ac:dyDescent="0.3">
      <c r="B54" s="3" t="s">
        <v>97</v>
      </c>
      <c r="C54" s="4">
        <v>12.570129870129863</v>
      </c>
    </row>
    <row r="55" spans="2:3" x14ac:dyDescent="0.3">
      <c r="B55" s="3" t="s">
        <v>68</v>
      </c>
      <c r="C55" s="4">
        <v>13.650000000000004</v>
      </c>
    </row>
    <row r="56" spans="2:3" x14ac:dyDescent="0.3">
      <c r="B56" s="3" t="s">
        <v>94</v>
      </c>
      <c r="C56" s="4">
        <v>12.365909090909089</v>
      </c>
    </row>
    <row r="57" spans="2:3" x14ac:dyDescent="0.3">
      <c r="B57" s="3" t="s">
        <v>71</v>
      </c>
      <c r="C57" s="4">
        <v>12.436000000000002</v>
      </c>
    </row>
    <row r="62" spans="2:3" ht="18" x14ac:dyDescent="0.35">
      <c r="B62" s="8" t="s">
        <v>20</v>
      </c>
      <c r="C62" s="9"/>
    </row>
    <row r="63" spans="2:3" x14ac:dyDescent="0.3">
      <c r="B63" s="1" t="s">
        <v>28</v>
      </c>
      <c r="C63" s="2" t="s">
        <v>20</v>
      </c>
    </row>
    <row r="64" spans="2:3" x14ac:dyDescent="0.3">
      <c r="B64" s="3" t="s">
        <v>2</v>
      </c>
      <c r="C64" s="4">
        <v>7.1649572649572635</v>
      </c>
    </row>
    <row r="65" spans="2:3" x14ac:dyDescent="0.3">
      <c r="B65" s="3" t="s">
        <v>3</v>
      </c>
      <c r="C65" s="4">
        <v>7.0720694645441409</v>
      </c>
    </row>
    <row r="66" spans="2:3" x14ac:dyDescent="0.3">
      <c r="B66" s="3" t="s">
        <v>4</v>
      </c>
      <c r="C66" s="4">
        <v>7.3461538461538458</v>
      </c>
    </row>
    <row r="67" spans="2:3" x14ac:dyDescent="0.3">
      <c r="B67" s="3" t="s">
        <v>5</v>
      </c>
      <c r="C67" s="4">
        <v>7.2062240663900416</v>
      </c>
    </row>
    <row r="68" spans="2:3" x14ac:dyDescent="0.3">
      <c r="B68" s="3" t="s">
        <v>6</v>
      </c>
      <c r="C68" s="4">
        <v>7.2220532319391619</v>
      </c>
    </row>
    <row r="69" spans="2:3" x14ac:dyDescent="0.3">
      <c r="B69" s="3" t="s">
        <v>7</v>
      </c>
      <c r="C69" s="4">
        <v>7.0592493297587113</v>
      </c>
    </row>
    <row r="70" spans="2:3" x14ac:dyDescent="0.3">
      <c r="B70" s="3" t="s">
        <v>8</v>
      </c>
      <c r="C70" s="4">
        <v>7.2927051671732501</v>
      </c>
    </row>
    <row r="80" spans="2:3" ht="18" x14ac:dyDescent="0.35">
      <c r="B80" s="8" t="s">
        <v>3093</v>
      </c>
      <c r="C80" s="9"/>
    </row>
    <row r="81" spans="2:3" x14ac:dyDescent="0.3">
      <c r="B81" s="1" t="s">
        <v>28</v>
      </c>
      <c r="C81" s="2" t="s">
        <v>3094</v>
      </c>
    </row>
    <row r="82" spans="2:3" x14ac:dyDescent="0.3">
      <c r="B82" s="3" t="s">
        <v>2</v>
      </c>
      <c r="C82" s="4">
        <v>6.5132478632478676</v>
      </c>
    </row>
    <row r="83" spans="2:3" x14ac:dyDescent="0.3">
      <c r="B83" s="3" t="s">
        <v>3</v>
      </c>
      <c r="C83" s="4">
        <v>6.1196816208393621</v>
      </c>
    </row>
    <row r="84" spans="2:3" x14ac:dyDescent="0.3">
      <c r="B84" s="3" t="s">
        <v>4</v>
      </c>
      <c r="C84" s="4">
        <v>6.2389743589743585</v>
      </c>
    </row>
    <row r="85" spans="2:3" x14ac:dyDescent="0.3">
      <c r="B85" s="3" t="s">
        <v>5</v>
      </c>
      <c r="C85" s="4">
        <v>6.4485477178423203</v>
      </c>
    </row>
    <row r="86" spans="2:3" x14ac:dyDescent="0.3">
      <c r="B86" s="3" t="s">
        <v>6</v>
      </c>
      <c r="C86" s="4">
        <v>6.4471482889733842</v>
      </c>
    </row>
    <row r="87" spans="2:3" x14ac:dyDescent="0.3">
      <c r="B87" s="3" t="s">
        <v>7</v>
      </c>
      <c r="C87" s="4">
        <v>6.4410187667560335</v>
      </c>
    </row>
    <row r="88" spans="2:3" x14ac:dyDescent="0.3">
      <c r="B88" s="3" t="s">
        <v>8</v>
      </c>
      <c r="C88" s="4">
        <v>5.9920972644376924</v>
      </c>
    </row>
    <row r="98" spans="2:3" ht="18" x14ac:dyDescent="0.35">
      <c r="B98" s="8" t="s">
        <v>3097</v>
      </c>
      <c r="C98" s="9"/>
    </row>
    <row r="99" spans="2:3" x14ac:dyDescent="0.3">
      <c r="B99" s="1" t="s">
        <v>3092</v>
      </c>
      <c r="C99" s="2" t="s">
        <v>3095</v>
      </c>
    </row>
    <row r="100" spans="2:3" x14ac:dyDescent="0.3">
      <c r="B100" s="3" t="s">
        <v>16</v>
      </c>
      <c r="C100" s="4">
        <v>17.944490644490639</v>
      </c>
    </row>
    <row r="101" spans="2:3" x14ac:dyDescent="0.3">
      <c r="B101" s="3" t="s">
        <v>17</v>
      </c>
      <c r="C101" s="4">
        <v>17.864087301587311</v>
      </c>
    </row>
    <row r="102" spans="2:3" x14ac:dyDescent="0.3">
      <c r="B102" s="3" t="s">
        <v>14</v>
      </c>
      <c r="C102" s="4">
        <v>17.815000000000001</v>
      </c>
    </row>
    <row r="103" spans="2:3" x14ac:dyDescent="0.3">
      <c r="B103" s="3" t="s">
        <v>19</v>
      </c>
      <c r="C103" s="4">
        <v>16.423188405797084</v>
      </c>
    </row>
    <row r="104" spans="2:3" x14ac:dyDescent="0.3">
      <c r="B104" s="3" t="s">
        <v>18</v>
      </c>
      <c r="C104" s="4">
        <v>16.28994197292069</v>
      </c>
    </row>
    <row r="105" spans="2:3" x14ac:dyDescent="0.3">
      <c r="B105" s="3" t="s">
        <v>15</v>
      </c>
      <c r="C105" s="4">
        <v>15.843650793650784</v>
      </c>
    </row>
    <row r="116" spans="2:12" ht="18" x14ac:dyDescent="0.35">
      <c r="B116" s="8" t="s">
        <v>3096</v>
      </c>
      <c r="C116" s="9"/>
      <c r="E116" s="7" t="s">
        <v>26</v>
      </c>
      <c r="F116" s="7"/>
      <c r="H116" s="7" t="s">
        <v>3102</v>
      </c>
      <c r="I116" s="7"/>
      <c r="K116" s="7" t="s">
        <v>3103</v>
      </c>
      <c r="L116" s="7"/>
    </row>
    <row r="117" spans="2:12" x14ac:dyDescent="0.3">
      <c r="B117" s="1" t="s">
        <v>3092</v>
      </c>
      <c r="C117" s="2" t="s">
        <v>3098</v>
      </c>
      <c r="E117" s="5" t="s">
        <v>0</v>
      </c>
      <c r="F117" s="2">
        <f>SUM(data[layoffs_count])</f>
        <v>15069848</v>
      </c>
      <c r="H117" s="5" t="s">
        <v>3104</v>
      </c>
      <c r="I117" s="2" t="s">
        <v>113</v>
      </c>
      <c r="K117" s="5" t="s">
        <v>3104</v>
      </c>
      <c r="L117" s="2" t="s">
        <v>163</v>
      </c>
    </row>
    <row r="118" spans="2:12" x14ac:dyDescent="0.3">
      <c r="B118" s="3" t="s">
        <v>21</v>
      </c>
      <c r="C118" s="4">
        <v>601</v>
      </c>
      <c r="E118" s="5" t="s">
        <v>3099</v>
      </c>
      <c r="F118" s="2">
        <f>SUM(data[open_roles])</f>
        <v>9509850</v>
      </c>
      <c r="H118" s="5" t="s">
        <v>3101</v>
      </c>
      <c r="I118" s="2" t="str">
        <f>IFERROR(VLOOKUP(I117,data[],2,FALSE), "Not Available")</f>
        <v>Apple</v>
      </c>
      <c r="K118" s="5" t="s">
        <v>1</v>
      </c>
      <c r="L118" s="2" t="str">
        <f>IFERROR(VLOOKUP(L117,data[],2,FALSE), "Not Available")</f>
        <v>Meta</v>
      </c>
    </row>
    <row r="119" spans="2:12" x14ac:dyDescent="0.3">
      <c r="B119" s="3" t="s">
        <v>24</v>
      </c>
      <c r="C119" s="4">
        <v>572</v>
      </c>
      <c r="E119" s="5" t="s">
        <v>3114</v>
      </c>
      <c r="F119" s="2" t="str">
        <f>B28</f>
        <v>Restructuring</v>
      </c>
      <c r="H119" s="5" t="s">
        <v>13</v>
      </c>
      <c r="I119" s="2" t="str">
        <f>INDEX(data[country],MATCH($I$117,data[record_id],0))</f>
        <v>Canada</v>
      </c>
      <c r="K119" s="5" t="s">
        <v>3105</v>
      </c>
      <c r="L119" s="2" t="str">
        <f>IFERROR(VLOOKUP(L117,data[],23,FALSE), "Not Available")</f>
        <v>Stable</v>
      </c>
    </row>
    <row r="120" spans="2:12" x14ac:dyDescent="0.3">
      <c r="B120" s="3" t="s">
        <v>25</v>
      </c>
      <c r="C120" s="4">
        <v>587</v>
      </c>
      <c r="E120" s="5" t="s">
        <v>3100</v>
      </c>
      <c r="F120" s="4">
        <f>AVERAGE(data[employee_sentiment])</f>
        <v>6.5166945466711423</v>
      </c>
      <c r="H120" s="5" t="s">
        <v>3116</v>
      </c>
      <c r="I120" s="2">
        <f>INDEX(data[layoffs_count],MATCH($I$117,data[record_id],0))</f>
        <v>1009</v>
      </c>
      <c r="K120" s="5" t="s">
        <v>3106</v>
      </c>
      <c r="L120" s="2" t="str">
        <f>(IF(L119="Bull Market", "Positive Outlook",IF(L119="Recession","High Risk",IF(L119="Stable","Stable","Not Available"))))</f>
        <v>Stable</v>
      </c>
    </row>
    <row r="121" spans="2:12" x14ac:dyDescent="0.3">
      <c r="B121" s="3" t="s">
        <v>22</v>
      </c>
      <c r="C121" s="4">
        <v>606</v>
      </c>
      <c r="H121" s="5" t="s">
        <v>3117</v>
      </c>
      <c r="I121" s="2">
        <f>INDEX(data[open_roles],MATCH($I$117,data[record_id],0))</f>
        <v>885</v>
      </c>
    </row>
    <row r="122" spans="2:12" x14ac:dyDescent="0.3">
      <c r="B122" s="3" t="s">
        <v>23</v>
      </c>
      <c r="C122" s="4">
        <v>623</v>
      </c>
      <c r="H122" s="5" t="s">
        <v>28</v>
      </c>
      <c r="I122" s="2" t="str">
        <f>INDEX(data[industry],MATCH($I$117,data[record_id],0))</f>
        <v>Gaming</v>
      </c>
    </row>
  </sheetData>
  <mergeCells count="12">
    <mergeCell ref="K116:L116"/>
    <mergeCell ref="B98:C98"/>
    <mergeCell ref="B116:C116"/>
    <mergeCell ref="B4:I4"/>
    <mergeCell ref="B19:C19"/>
    <mergeCell ref="B36:C36"/>
    <mergeCell ref="B62:C62"/>
    <mergeCell ref="B80:C80"/>
    <mergeCell ref="E116:F116"/>
    <mergeCell ref="H116:I116"/>
    <mergeCell ref="E36:I36"/>
    <mergeCell ref="B26:C26"/>
  </mergeCells>
  <conditionalFormatting pivot="1" sqref="C38:C57">
    <cfRule type="dataBar" priority="7">
      <dataBar>
        <cfvo type="min"/>
        <cfvo type="max"/>
        <color rgb="FFFF555A"/>
      </dataBar>
      <extLst>
        <ext xmlns:x14="http://schemas.microsoft.com/office/spreadsheetml/2009/9/main" uri="{B025F937-C7B1-47D3-B67F-A62EFF666E3E}">
          <x14:id>{63D9D14F-C4A6-4560-BD3D-CCAB0EA6EB37}</x14:id>
        </ext>
      </extLst>
    </cfRule>
  </conditionalFormatting>
  <conditionalFormatting pivot="1" sqref="F39:I45">
    <cfRule type="colorScale" priority="5">
      <colorScale>
        <cfvo type="min"/>
        <cfvo type="num" val="4"/>
        <cfvo type="max"/>
        <color rgb="FFF8696B"/>
        <color rgb="FFFFEB84"/>
        <color rgb="FF63BE7B"/>
      </colorScale>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63D9D14F-C4A6-4560-BD3D-CCAB0EA6EB37}">
            <x14:dataBar minLength="0" maxLength="100" border="1" negativeBarBorderColorSameAsPositive="0">
              <x14:cfvo type="autoMin"/>
              <x14:cfvo type="autoMax"/>
              <x14:borderColor rgb="FFFF555A"/>
              <x14:negativeFillColor rgb="FFFF0000"/>
              <x14:negativeBorderColor rgb="FFFF0000"/>
              <x14:axisColor rgb="FF000000"/>
            </x14:dataBar>
          </x14:cfRule>
          <xm:sqref>C38:C57</xm:sqref>
        </x14:conditionalFormatting>
        <x14:conditionalFormatting xmlns:xm="http://schemas.microsoft.com/office/excel/2006/main" pivot="1">
          <x14:cfRule type="iconSet" priority="1" id="{8A2C4EF0-9985-4024-9E2B-448C7FE037A9}">
            <x14:iconSet iconSet="3Triangles">
              <x14:cfvo type="percent">
                <xm:f>0</xm:f>
              </x14:cfvo>
              <x14:cfvo type="percent">
                <xm:f>33</xm:f>
              </x14:cfvo>
              <x14:cfvo type="percent">
                <xm:f>67</xm:f>
              </x14:cfvo>
            </x14:iconSet>
          </x14:cfRule>
          <xm:sqref>C21:C24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62DAE-864A-4CCF-BBAB-5E7B83B65AB8}">
  <sheetPr codeName="Sheet3"/>
  <dimension ref="A1:X2993"/>
  <sheetViews>
    <sheetView topLeftCell="A4" zoomScaleNormal="100" workbookViewId="0"/>
  </sheetViews>
  <sheetFormatPr defaultRowHeight="14.4" x14ac:dyDescent="0.3"/>
  <cols>
    <col min="1" max="1" width="8.88671875" style="6"/>
    <col min="2" max="2" width="11.21875" bestFit="1" customWidth="1"/>
    <col min="3" max="3" width="17" bestFit="1" customWidth="1"/>
    <col min="4" max="4" width="12" bestFit="1" customWidth="1"/>
    <col min="5" max="5" width="9.77734375" bestFit="1" customWidth="1"/>
    <col min="6" max="6" width="15.109375" bestFit="1" customWidth="1"/>
    <col min="8" max="8" width="6.88671875" bestFit="1" customWidth="1"/>
    <col min="9" max="9" width="14.77734375" bestFit="1" customWidth="1"/>
    <col min="10" max="10" width="18.6640625" bestFit="1" customWidth="1"/>
    <col min="11" max="11" width="19.109375" bestFit="1" customWidth="1"/>
    <col min="12" max="12" width="22.5546875" bestFit="1" customWidth="1"/>
    <col min="13" max="13" width="20.33203125" bestFit="1" customWidth="1"/>
    <col min="14" max="14" width="12.5546875" bestFit="1" customWidth="1"/>
    <col min="15" max="15" width="14.6640625" bestFit="1" customWidth="1"/>
    <col min="16" max="16" width="24.6640625" bestFit="1" customWidth="1"/>
    <col min="17" max="17" width="18.5546875" bestFit="1" customWidth="1"/>
    <col min="18" max="18" width="22.33203125" bestFit="1" customWidth="1"/>
    <col min="19" max="19" width="24.88671875" bestFit="1" customWidth="1"/>
    <col min="20" max="20" width="22.44140625" bestFit="1" customWidth="1"/>
    <col min="21" max="21" width="18.33203125" bestFit="1" customWidth="1"/>
    <col min="22" max="22" width="21.21875" bestFit="1" customWidth="1"/>
    <col min="23" max="23" width="19.109375" bestFit="1" customWidth="1"/>
    <col min="24" max="24" width="18.33203125" bestFit="1" customWidth="1"/>
  </cols>
  <sheetData>
    <row r="1" spans="2:24" x14ac:dyDescent="0.3">
      <c r="B1" s="6"/>
    </row>
    <row r="2" spans="2:24" x14ac:dyDescent="0.3">
      <c r="B2" s="6"/>
    </row>
    <row r="3" spans="2:24" x14ac:dyDescent="0.3">
      <c r="B3" s="6"/>
    </row>
    <row r="4" spans="2:24" x14ac:dyDescent="0.3">
      <c r="B4" t="s">
        <v>29</v>
      </c>
      <c r="C4" t="s">
        <v>30</v>
      </c>
      <c r="D4" t="s">
        <v>31</v>
      </c>
      <c r="E4" t="s">
        <v>32</v>
      </c>
      <c r="F4" t="s">
        <v>33</v>
      </c>
      <c r="G4" t="s">
        <v>34</v>
      </c>
      <c r="H4" t="s">
        <v>35</v>
      </c>
      <c r="I4" t="s">
        <v>36</v>
      </c>
      <c r="J4" t="s">
        <v>37</v>
      </c>
      <c r="K4" t="s">
        <v>38</v>
      </c>
      <c r="L4" t="s">
        <v>39</v>
      </c>
      <c r="M4" t="s">
        <v>40</v>
      </c>
      <c r="N4" t="s">
        <v>41</v>
      </c>
      <c r="O4" t="s">
        <v>42</v>
      </c>
      <c r="P4" t="s">
        <v>43</v>
      </c>
      <c r="Q4" t="s">
        <v>44</v>
      </c>
      <c r="R4" t="s">
        <v>45</v>
      </c>
      <c r="S4" t="s">
        <v>46</v>
      </c>
      <c r="T4" t="s">
        <v>47</v>
      </c>
      <c r="U4" t="s">
        <v>48</v>
      </c>
      <c r="V4" t="s">
        <v>49</v>
      </c>
      <c r="W4" t="s">
        <v>50</v>
      </c>
      <c r="X4" t="s">
        <v>51</v>
      </c>
    </row>
    <row r="5" spans="2:24" x14ac:dyDescent="0.3">
      <c r="B5" t="s">
        <v>52</v>
      </c>
      <c r="C5" t="s">
        <v>53</v>
      </c>
      <c r="D5" t="s">
        <v>2</v>
      </c>
      <c r="E5" t="s">
        <v>17</v>
      </c>
      <c r="F5" t="s">
        <v>10</v>
      </c>
      <c r="G5" t="s">
        <v>54</v>
      </c>
      <c r="H5">
        <v>2026</v>
      </c>
      <c r="I5">
        <v>860</v>
      </c>
      <c r="J5">
        <v>1.8</v>
      </c>
      <c r="K5" t="s">
        <v>21</v>
      </c>
      <c r="L5">
        <v>6.4</v>
      </c>
      <c r="M5">
        <v>5</v>
      </c>
      <c r="N5">
        <v>5426</v>
      </c>
      <c r="O5" t="s">
        <v>55</v>
      </c>
      <c r="P5">
        <v>46.7</v>
      </c>
      <c r="Q5" t="s">
        <v>56</v>
      </c>
      <c r="R5">
        <v>-25.7</v>
      </c>
      <c r="S5">
        <v>30.3</v>
      </c>
      <c r="T5">
        <v>4.9000000000000004</v>
      </c>
      <c r="U5">
        <v>4.4000000000000004</v>
      </c>
      <c r="V5">
        <v>8.6999999999999993</v>
      </c>
      <c r="W5">
        <v>8.6</v>
      </c>
      <c r="X5" t="s">
        <v>57</v>
      </c>
    </row>
    <row r="6" spans="2:24" x14ac:dyDescent="0.3">
      <c r="B6" t="s">
        <v>58</v>
      </c>
      <c r="C6" t="s">
        <v>90</v>
      </c>
      <c r="D6" t="s">
        <v>3</v>
      </c>
      <c r="E6" t="s">
        <v>14</v>
      </c>
      <c r="F6" t="s">
        <v>10</v>
      </c>
      <c r="G6" t="s">
        <v>74</v>
      </c>
      <c r="H6">
        <v>2026</v>
      </c>
      <c r="I6">
        <v>1153</v>
      </c>
      <c r="J6">
        <v>5.3</v>
      </c>
      <c r="K6" t="s">
        <v>23</v>
      </c>
      <c r="L6">
        <v>3.5</v>
      </c>
      <c r="M6">
        <v>4.8</v>
      </c>
      <c r="N6">
        <v>3710</v>
      </c>
      <c r="O6" t="s">
        <v>64</v>
      </c>
      <c r="P6">
        <v>70.900000000000006</v>
      </c>
      <c r="Q6" t="s">
        <v>86</v>
      </c>
      <c r="R6">
        <v>53.3</v>
      </c>
      <c r="S6">
        <v>6.3</v>
      </c>
      <c r="T6">
        <v>5.2</v>
      </c>
      <c r="U6">
        <v>3.2</v>
      </c>
      <c r="V6">
        <v>7.3</v>
      </c>
      <c r="W6">
        <v>6.8</v>
      </c>
      <c r="X6" t="s">
        <v>57</v>
      </c>
    </row>
    <row r="7" spans="2:24" x14ac:dyDescent="0.3">
      <c r="B7" t="s">
        <v>61</v>
      </c>
      <c r="C7" t="s">
        <v>106</v>
      </c>
      <c r="D7" t="s">
        <v>2</v>
      </c>
      <c r="E7" t="s">
        <v>18</v>
      </c>
      <c r="F7" t="s">
        <v>10</v>
      </c>
      <c r="G7" t="s">
        <v>63</v>
      </c>
      <c r="H7">
        <v>2026</v>
      </c>
      <c r="I7">
        <v>625</v>
      </c>
      <c r="J7">
        <v>6.2</v>
      </c>
      <c r="K7" t="s">
        <v>21</v>
      </c>
      <c r="L7">
        <v>15.9</v>
      </c>
      <c r="M7">
        <v>7.3</v>
      </c>
      <c r="N7">
        <v>2409</v>
      </c>
      <c r="O7" t="s">
        <v>55</v>
      </c>
      <c r="P7">
        <v>35.799999999999997</v>
      </c>
      <c r="Q7" t="s">
        <v>56</v>
      </c>
      <c r="R7">
        <v>-26.6</v>
      </c>
      <c r="S7">
        <v>35.299999999999997</v>
      </c>
      <c r="T7">
        <v>18</v>
      </c>
      <c r="U7">
        <v>9.4</v>
      </c>
      <c r="V7">
        <v>6.7</v>
      </c>
      <c r="W7">
        <v>6.8</v>
      </c>
      <c r="X7" t="s">
        <v>57</v>
      </c>
    </row>
    <row r="8" spans="2:24" x14ac:dyDescent="0.3">
      <c r="B8" t="s">
        <v>67</v>
      </c>
      <c r="C8" t="s">
        <v>106</v>
      </c>
      <c r="D8" t="s">
        <v>4</v>
      </c>
      <c r="E8" t="s">
        <v>14</v>
      </c>
      <c r="F8" t="s">
        <v>11</v>
      </c>
      <c r="G8" t="s">
        <v>101</v>
      </c>
      <c r="H8">
        <v>2024</v>
      </c>
      <c r="I8">
        <v>6949</v>
      </c>
      <c r="J8">
        <v>34.799999999999997</v>
      </c>
      <c r="K8" t="s">
        <v>21</v>
      </c>
      <c r="L8">
        <v>3.7</v>
      </c>
      <c r="M8">
        <v>8.1</v>
      </c>
      <c r="N8">
        <v>562</v>
      </c>
      <c r="O8" t="s">
        <v>75</v>
      </c>
      <c r="P8">
        <v>45.4</v>
      </c>
      <c r="Q8" t="s">
        <v>79</v>
      </c>
      <c r="R8">
        <v>-32.299999999999997</v>
      </c>
      <c r="S8">
        <v>-9.5</v>
      </c>
      <c r="T8">
        <v>-4.2</v>
      </c>
      <c r="U8">
        <v>2.7</v>
      </c>
      <c r="V8">
        <v>4.5</v>
      </c>
      <c r="W8">
        <v>2.6</v>
      </c>
      <c r="X8" t="s">
        <v>66</v>
      </c>
    </row>
    <row r="9" spans="2:24" x14ac:dyDescent="0.3">
      <c r="B9" t="s">
        <v>70</v>
      </c>
      <c r="C9" t="s">
        <v>53</v>
      </c>
      <c r="D9" t="s">
        <v>2</v>
      </c>
      <c r="E9" t="s">
        <v>15</v>
      </c>
      <c r="F9" t="s">
        <v>10</v>
      </c>
      <c r="G9" t="s">
        <v>63</v>
      </c>
      <c r="H9">
        <v>2024</v>
      </c>
      <c r="I9">
        <v>2444</v>
      </c>
      <c r="J9">
        <v>2.1</v>
      </c>
      <c r="K9" t="s">
        <v>22</v>
      </c>
      <c r="L9">
        <v>2.8</v>
      </c>
      <c r="M9">
        <v>2.4</v>
      </c>
      <c r="N9">
        <v>9967</v>
      </c>
      <c r="O9" t="s">
        <v>118</v>
      </c>
      <c r="P9">
        <v>40.799999999999997</v>
      </c>
      <c r="Q9" t="s">
        <v>56</v>
      </c>
      <c r="R9">
        <v>1</v>
      </c>
      <c r="S9">
        <v>-2.8</v>
      </c>
      <c r="T9">
        <v>-0.4</v>
      </c>
      <c r="U9">
        <v>2.8</v>
      </c>
      <c r="V9">
        <v>7.5</v>
      </c>
      <c r="W9">
        <v>6.9</v>
      </c>
      <c r="X9" t="s">
        <v>57</v>
      </c>
    </row>
    <row r="10" spans="2:24" x14ac:dyDescent="0.3">
      <c r="B10" t="s">
        <v>72</v>
      </c>
      <c r="C10" t="s">
        <v>97</v>
      </c>
      <c r="D10" t="s">
        <v>3</v>
      </c>
      <c r="E10" t="s">
        <v>15</v>
      </c>
      <c r="F10" t="s">
        <v>11</v>
      </c>
      <c r="G10" t="s">
        <v>63</v>
      </c>
      <c r="H10">
        <v>2024</v>
      </c>
      <c r="I10">
        <v>828</v>
      </c>
      <c r="J10">
        <v>14.7</v>
      </c>
      <c r="K10" t="s">
        <v>23</v>
      </c>
      <c r="L10">
        <v>8.6</v>
      </c>
      <c r="M10">
        <v>10</v>
      </c>
      <c r="N10">
        <v>2986</v>
      </c>
      <c r="O10" t="s">
        <v>55</v>
      </c>
      <c r="P10">
        <v>89.2</v>
      </c>
      <c r="Q10" t="s">
        <v>86</v>
      </c>
      <c r="R10">
        <v>5.2</v>
      </c>
      <c r="S10">
        <v>41</v>
      </c>
      <c r="T10">
        <v>13.5</v>
      </c>
      <c r="U10">
        <v>9.4</v>
      </c>
      <c r="V10">
        <v>8.8000000000000007</v>
      </c>
      <c r="W10">
        <v>6.5</v>
      </c>
      <c r="X10" t="s">
        <v>116</v>
      </c>
    </row>
    <row r="11" spans="2:24" x14ac:dyDescent="0.3">
      <c r="B11" t="s">
        <v>77</v>
      </c>
      <c r="C11" t="s">
        <v>73</v>
      </c>
      <c r="D11" t="s">
        <v>2</v>
      </c>
      <c r="E11" t="s">
        <v>15</v>
      </c>
      <c r="F11" t="s">
        <v>10</v>
      </c>
      <c r="G11" t="s">
        <v>98</v>
      </c>
      <c r="H11">
        <v>2026</v>
      </c>
      <c r="I11">
        <v>5751</v>
      </c>
      <c r="J11">
        <v>2.2999999999999998</v>
      </c>
      <c r="K11" t="s">
        <v>25</v>
      </c>
      <c r="L11">
        <v>4.7</v>
      </c>
      <c r="M11">
        <v>3.9</v>
      </c>
      <c r="N11">
        <v>4584</v>
      </c>
      <c r="O11" t="s">
        <v>55</v>
      </c>
      <c r="P11">
        <v>60.2</v>
      </c>
      <c r="Q11" t="s">
        <v>56</v>
      </c>
      <c r="R11">
        <v>76.7</v>
      </c>
      <c r="S11">
        <v>-21.1</v>
      </c>
      <c r="T11">
        <v>-10.5</v>
      </c>
      <c r="U11">
        <v>6</v>
      </c>
      <c r="V11">
        <v>8</v>
      </c>
      <c r="W11">
        <v>7.1</v>
      </c>
      <c r="X11" t="s">
        <v>116</v>
      </c>
    </row>
    <row r="12" spans="2:24" x14ac:dyDescent="0.3">
      <c r="B12" t="s">
        <v>80</v>
      </c>
      <c r="C12" t="s">
        <v>139</v>
      </c>
      <c r="D12" t="s">
        <v>8</v>
      </c>
      <c r="E12" t="s">
        <v>15</v>
      </c>
      <c r="F12" t="s">
        <v>9</v>
      </c>
      <c r="G12" t="s">
        <v>60</v>
      </c>
      <c r="H12">
        <v>2024</v>
      </c>
      <c r="I12">
        <v>13015</v>
      </c>
      <c r="J12">
        <v>18.899999999999999</v>
      </c>
      <c r="K12" t="s">
        <v>24</v>
      </c>
      <c r="L12">
        <v>8</v>
      </c>
      <c r="M12">
        <v>10</v>
      </c>
      <c r="N12">
        <v>1447</v>
      </c>
      <c r="O12" t="s">
        <v>64</v>
      </c>
      <c r="P12">
        <v>65.8</v>
      </c>
      <c r="Q12" t="s">
        <v>88</v>
      </c>
      <c r="R12">
        <v>49</v>
      </c>
      <c r="S12">
        <v>10</v>
      </c>
      <c r="T12">
        <v>9.1999999999999993</v>
      </c>
      <c r="U12">
        <v>6.7</v>
      </c>
      <c r="V12">
        <v>5.8</v>
      </c>
      <c r="W12">
        <v>5.4</v>
      </c>
      <c r="X12" t="s">
        <v>66</v>
      </c>
    </row>
    <row r="13" spans="2:24" x14ac:dyDescent="0.3">
      <c r="B13" t="s">
        <v>82</v>
      </c>
      <c r="C13" t="s">
        <v>137</v>
      </c>
      <c r="D13" t="s">
        <v>4</v>
      </c>
      <c r="E13" t="s">
        <v>14</v>
      </c>
      <c r="F13" t="s">
        <v>12</v>
      </c>
      <c r="G13" t="s">
        <v>112</v>
      </c>
      <c r="H13">
        <v>2024</v>
      </c>
      <c r="I13">
        <v>2160</v>
      </c>
      <c r="J13">
        <v>12.6</v>
      </c>
      <c r="K13" t="s">
        <v>23</v>
      </c>
      <c r="L13">
        <v>6.9</v>
      </c>
      <c r="M13">
        <v>6.9</v>
      </c>
      <c r="N13">
        <v>3024</v>
      </c>
      <c r="O13" t="s">
        <v>55</v>
      </c>
      <c r="P13">
        <v>57.7</v>
      </c>
      <c r="Q13" t="s">
        <v>79</v>
      </c>
      <c r="R13">
        <v>10.6</v>
      </c>
      <c r="S13">
        <v>4.7</v>
      </c>
      <c r="T13">
        <v>11.6</v>
      </c>
      <c r="U13">
        <v>9.9</v>
      </c>
      <c r="V13">
        <v>7.5</v>
      </c>
      <c r="W13">
        <v>6.4</v>
      </c>
      <c r="X13" t="s">
        <v>116</v>
      </c>
    </row>
    <row r="14" spans="2:24" x14ac:dyDescent="0.3">
      <c r="B14" t="s">
        <v>85</v>
      </c>
      <c r="C14" t="s">
        <v>106</v>
      </c>
      <c r="D14" t="s">
        <v>4</v>
      </c>
      <c r="E14" t="s">
        <v>14</v>
      </c>
      <c r="F14" t="s">
        <v>11</v>
      </c>
      <c r="G14" t="s">
        <v>60</v>
      </c>
      <c r="H14">
        <v>2026</v>
      </c>
      <c r="I14">
        <v>475</v>
      </c>
      <c r="J14">
        <v>17.8</v>
      </c>
      <c r="K14" t="s">
        <v>25</v>
      </c>
      <c r="L14">
        <v>1.7</v>
      </c>
      <c r="M14">
        <v>7.1</v>
      </c>
      <c r="N14">
        <v>3591</v>
      </c>
      <c r="O14" t="s">
        <v>64</v>
      </c>
      <c r="P14">
        <v>56</v>
      </c>
      <c r="Q14" t="s">
        <v>65</v>
      </c>
      <c r="R14">
        <v>-26.1</v>
      </c>
      <c r="S14">
        <v>42.6</v>
      </c>
      <c r="T14">
        <v>6.8</v>
      </c>
      <c r="U14">
        <v>2.1</v>
      </c>
      <c r="V14">
        <v>5.5</v>
      </c>
      <c r="W14">
        <v>5.4</v>
      </c>
      <c r="X14" t="s">
        <v>116</v>
      </c>
    </row>
    <row r="15" spans="2:24" x14ac:dyDescent="0.3">
      <c r="B15" t="s">
        <v>87</v>
      </c>
      <c r="C15" t="s">
        <v>81</v>
      </c>
      <c r="D15" t="s">
        <v>5</v>
      </c>
      <c r="E15" t="s">
        <v>14</v>
      </c>
      <c r="F15" t="s">
        <v>12</v>
      </c>
      <c r="G15" t="s">
        <v>98</v>
      </c>
      <c r="H15">
        <v>2026</v>
      </c>
      <c r="I15">
        <v>1305</v>
      </c>
      <c r="J15">
        <v>15.2</v>
      </c>
      <c r="K15" t="s">
        <v>24</v>
      </c>
      <c r="L15">
        <v>8.3000000000000007</v>
      </c>
      <c r="M15">
        <v>8.9</v>
      </c>
      <c r="N15">
        <v>2908</v>
      </c>
      <c r="O15" t="s">
        <v>55</v>
      </c>
      <c r="P15">
        <v>40.299999999999997</v>
      </c>
      <c r="Q15" t="s">
        <v>65</v>
      </c>
      <c r="R15">
        <v>-17.2</v>
      </c>
      <c r="S15">
        <v>42</v>
      </c>
      <c r="T15">
        <v>18.600000000000001</v>
      </c>
      <c r="U15">
        <v>8.6</v>
      </c>
      <c r="V15">
        <v>5.5</v>
      </c>
      <c r="W15">
        <v>5.8</v>
      </c>
      <c r="X15" t="s">
        <v>116</v>
      </c>
    </row>
    <row r="16" spans="2:24" x14ac:dyDescent="0.3">
      <c r="B16" t="s">
        <v>89</v>
      </c>
      <c r="C16" t="s">
        <v>90</v>
      </c>
      <c r="D16" t="s">
        <v>3</v>
      </c>
      <c r="E16" t="s">
        <v>16</v>
      </c>
      <c r="F16" t="s">
        <v>11</v>
      </c>
      <c r="G16" t="s">
        <v>78</v>
      </c>
      <c r="H16">
        <v>2024</v>
      </c>
      <c r="I16">
        <v>6712</v>
      </c>
      <c r="J16">
        <v>7.9</v>
      </c>
      <c r="K16" t="s">
        <v>21</v>
      </c>
      <c r="L16">
        <v>6.7</v>
      </c>
      <c r="M16">
        <v>6.2</v>
      </c>
      <c r="N16">
        <v>2398</v>
      </c>
      <c r="O16" t="s">
        <v>64</v>
      </c>
      <c r="P16">
        <v>77.900000000000006</v>
      </c>
      <c r="Q16" t="s">
        <v>56</v>
      </c>
      <c r="R16">
        <v>73.3</v>
      </c>
      <c r="S16">
        <v>29.6</v>
      </c>
      <c r="T16">
        <v>17</v>
      </c>
      <c r="U16">
        <v>7</v>
      </c>
      <c r="V16">
        <v>8.9</v>
      </c>
      <c r="W16">
        <v>7.1</v>
      </c>
      <c r="X16" t="s">
        <v>116</v>
      </c>
    </row>
    <row r="17" spans="2:24" x14ac:dyDescent="0.3">
      <c r="B17" t="s">
        <v>91</v>
      </c>
      <c r="C17" t="s">
        <v>137</v>
      </c>
      <c r="D17" t="s">
        <v>4</v>
      </c>
      <c r="E17" t="s">
        <v>17</v>
      </c>
      <c r="F17" t="s">
        <v>11</v>
      </c>
      <c r="G17" t="s">
        <v>112</v>
      </c>
      <c r="H17">
        <v>2025</v>
      </c>
      <c r="I17">
        <v>174</v>
      </c>
      <c r="J17">
        <v>15</v>
      </c>
      <c r="K17" t="s">
        <v>23</v>
      </c>
      <c r="L17">
        <v>4.0999999999999996</v>
      </c>
      <c r="M17">
        <v>7.6</v>
      </c>
      <c r="N17">
        <v>2281</v>
      </c>
      <c r="O17" t="s">
        <v>64</v>
      </c>
      <c r="P17">
        <v>54.3</v>
      </c>
      <c r="Q17" t="s">
        <v>79</v>
      </c>
      <c r="R17">
        <v>67</v>
      </c>
      <c r="S17">
        <v>-7.5</v>
      </c>
      <c r="T17">
        <v>-15.5</v>
      </c>
      <c r="U17">
        <v>3.5</v>
      </c>
      <c r="V17">
        <v>4.0999999999999996</v>
      </c>
      <c r="W17">
        <v>5.6</v>
      </c>
      <c r="X17" t="s">
        <v>116</v>
      </c>
    </row>
    <row r="18" spans="2:24" x14ac:dyDescent="0.3">
      <c r="B18" t="s">
        <v>93</v>
      </c>
      <c r="C18" t="s">
        <v>106</v>
      </c>
      <c r="D18" t="s">
        <v>4</v>
      </c>
      <c r="E18" t="s">
        <v>16</v>
      </c>
      <c r="F18" t="s">
        <v>11</v>
      </c>
      <c r="G18" t="s">
        <v>98</v>
      </c>
      <c r="H18">
        <v>2024</v>
      </c>
      <c r="I18">
        <v>1817</v>
      </c>
      <c r="J18">
        <v>5.7</v>
      </c>
      <c r="K18" t="s">
        <v>22</v>
      </c>
      <c r="L18">
        <v>14.9</v>
      </c>
      <c r="M18">
        <v>6.9</v>
      </c>
      <c r="N18">
        <v>4432</v>
      </c>
      <c r="O18" t="s">
        <v>55</v>
      </c>
      <c r="P18">
        <v>25.4</v>
      </c>
      <c r="Q18" t="s">
        <v>86</v>
      </c>
      <c r="R18">
        <v>11.9</v>
      </c>
      <c r="S18">
        <v>42.6</v>
      </c>
      <c r="T18">
        <v>24.9</v>
      </c>
      <c r="U18">
        <v>9.3000000000000007</v>
      </c>
      <c r="V18">
        <v>6</v>
      </c>
      <c r="W18">
        <v>7.2</v>
      </c>
      <c r="X18" t="s">
        <v>57</v>
      </c>
    </row>
    <row r="19" spans="2:24" x14ac:dyDescent="0.3">
      <c r="B19" t="s">
        <v>95</v>
      </c>
      <c r="C19" t="s">
        <v>71</v>
      </c>
      <c r="D19" t="s">
        <v>5</v>
      </c>
      <c r="E19" t="s">
        <v>17</v>
      </c>
      <c r="F19" t="s">
        <v>10</v>
      </c>
      <c r="G19" t="s">
        <v>104</v>
      </c>
      <c r="H19">
        <v>2026</v>
      </c>
      <c r="I19">
        <v>714</v>
      </c>
      <c r="J19">
        <v>1.6</v>
      </c>
      <c r="K19" t="s">
        <v>21</v>
      </c>
      <c r="L19">
        <v>7.2</v>
      </c>
      <c r="M19">
        <v>3</v>
      </c>
      <c r="N19">
        <v>5417</v>
      </c>
      <c r="O19" t="s">
        <v>55</v>
      </c>
      <c r="P19">
        <v>80.8</v>
      </c>
      <c r="Q19" t="s">
        <v>56</v>
      </c>
      <c r="R19">
        <v>14.5</v>
      </c>
      <c r="S19">
        <v>9.4</v>
      </c>
      <c r="T19">
        <v>7.6</v>
      </c>
      <c r="U19">
        <v>5.7</v>
      </c>
      <c r="V19">
        <v>8.4</v>
      </c>
      <c r="W19">
        <v>7.6</v>
      </c>
      <c r="X19" t="s">
        <v>116</v>
      </c>
    </row>
    <row r="20" spans="2:24" x14ac:dyDescent="0.3">
      <c r="B20" t="s">
        <v>96</v>
      </c>
      <c r="C20" t="s">
        <v>27</v>
      </c>
      <c r="D20" t="s">
        <v>3</v>
      </c>
      <c r="E20" t="s">
        <v>15</v>
      </c>
      <c r="F20" t="s">
        <v>11</v>
      </c>
      <c r="G20" t="s">
        <v>115</v>
      </c>
      <c r="H20">
        <v>2026</v>
      </c>
      <c r="I20">
        <v>4870</v>
      </c>
      <c r="J20">
        <v>3.2</v>
      </c>
      <c r="K20" t="s">
        <v>22</v>
      </c>
      <c r="L20">
        <v>5.4</v>
      </c>
      <c r="M20">
        <v>3.4</v>
      </c>
      <c r="N20">
        <v>5289</v>
      </c>
      <c r="O20" t="s">
        <v>55</v>
      </c>
      <c r="P20">
        <v>37.299999999999997</v>
      </c>
      <c r="Q20" t="s">
        <v>125</v>
      </c>
      <c r="R20">
        <v>80.8</v>
      </c>
      <c r="S20">
        <v>-16.3</v>
      </c>
      <c r="T20">
        <v>4.2</v>
      </c>
      <c r="U20">
        <v>5.9</v>
      </c>
      <c r="V20">
        <v>7</v>
      </c>
      <c r="W20">
        <v>5.6</v>
      </c>
      <c r="X20" t="s">
        <v>116</v>
      </c>
    </row>
    <row r="21" spans="2:24" x14ac:dyDescent="0.3">
      <c r="B21" t="s">
        <v>99</v>
      </c>
      <c r="C21" t="s">
        <v>53</v>
      </c>
      <c r="D21" t="s">
        <v>7</v>
      </c>
      <c r="E21" t="s">
        <v>19</v>
      </c>
      <c r="F21" t="s">
        <v>9</v>
      </c>
      <c r="G21" t="s">
        <v>104</v>
      </c>
      <c r="H21">
        <v>2026</v>
      </c>
      <c r="I21">
        <v>4297</v>
      </c>
      <c r="J21">
        <v>16.399999999999999</v>
      </c>
      <c r="K21" t="s">
        <v>21</v>
      </c>
      <c r="L21">
        <v>12.2</v>
      </c>
      <c r="M21">
        <v>10</v>
      </c>
      <c r="N21">
        <v>3136</v>
      </c>
      <c r="O21" t="s">
        <v>64</v>
      </c>
      <c r="P21">
        <v>55.7</v>
      </c>
      <c r="Q21" t="s">
        <v>76</v>
      </c>
      <c r="R21">
        <v>20.100000000000001</v>
      </c>
      <c r="S21">
        <v>-7.1</v>
      </c>
      <c r="T21">
        <v>-6.5</v>
      </c>
      <c r="U21">
        <v>8.6999999999999993</v>
      </c>
      <c r="V21">
        <v>6.6</v>
      </c>
      <c r="W21">
        <v>5</v>
      </c>
      <c r="X21" t="s">
        <v>116</v>
      </c>
    </row>
    <row r="22" spans="2:24" x14ac:dyDescent="0.3">
      <c r="B22" t="s">
        <v>102</v>
      </c>
      <c r="C22" t="s">
        <v>68</v>
      </c>
      <c r="D22" t="s">
        <v>8</v>
      </c>
      <c r="E22" t="s">
        <v>19</v>
      </c>
      <c r="F22" t="s">
        <v>11</v>
      </c>
      <c r="G22" t="s">
        <v>131</v>
      </c>
      <c r="H22">
        <v>2024</v>
      </c>
      <c r="I22">
        <v>684</v>
      </c>
      <c r="J22">
        <v>1.8</v>
      </c>
      <c r="K22" t="s">
        <v>24</v>
      </c>
      <c r="L22">
        <v>14.4</v>
      </c>
      <c r="M22">
        <v>10</v>
      </c>
      <c r="N22">
        <v>3865</v>
      </c>
      <c r="O22" t="s">
        <v>118</v>
      </c>
      <c r="P22">
        <v>11.7</v>
      </c>
      <c r="Q22" t="s">
        <v>56</v>
      </c>
      <c r="R22">
        <v>-0.1</v>
      </c>
      <c r="S22">
        <v>21.1</v>
      </c>
      <c r="T22">
        <v>12.7</v>
      </c>
      <c r="U22">
        <v>9.8000000000000007</v>
      </c>
      <c r="V22">
        <v>5.8</v>
      </c>
      <c r="W22">
        <v>6.3</v>
      </c>
      <c r="X22" t="s">
        <v>57</v>
      </c>
    </row>
    <row r="23" spans="2:24" x14ac:dyDescent="0.3">
      <c r="B23" t="s">
        <v>103</v>
      </c>
      <c r="C23" t="s">
        <v>106</v>
      </c>
      <c r="D23" t="s">
        <v>7</v>
      </c>
      <c r="E23" t="s">
        <v>17</v>
      </c>
      <c r="F23" t="s">
        <v>10</v>
      </c>
      <c r="G23" t="s">
        <v>54</v>
      </c>
      <c r="H23">
        <v>2025</v>
      </c>
      <c r="I23">
        <v>10200</v>
      </c>
      <c r="J23">
        <v>26.7</v>
      </c>
      <c r="K23" t="s">
        <v>22</v>
      </c>
      <c r="L23">
        <v>5.2</v>
      </c>
      <c r="M23">
        <v>8.6999999999999993</v>
      </c>
      <c r="N23">
        <v>1324</v>
      </c>
      <c r="O23" t="s">
        <v>64</v>
      </c>
      <c r="P23">
        <v>10.4</v>
      </c>
      <c r="Q23" t="s">
        <v>88</v>
      </c>
      <c r="R23">
        <v>41.3</v>
      </c>
      <c r="S23">
        <v>48.8</v>
      </c>
      <c r="T23">
        <v>12.5</v>
      </c>
      <c r="U23">
        <v>3.8</v>
      </c>
      <c r="V23">
        <v>6.4</v>
      </c>
      <c r="W23">
        <v>5</v>
      </c>
      <c r="X23" t="s">
        <v>66</v>
      </c>
    </row>
    <row r="24" spans="2:24" x14ac:dyDescent="0.3">
      <c r="B24" t="s">
        <v>105</v>
      </c>
      <c r="C24" t="s">
        <v>53</v>
      </c>
      <c r="D24" t="s">
        <v>7</v>
      </c>
      <c r="E24" t="s">
        <v>15</v>
      </c>
      <c r="F24" t="s">
        <v>12</v>
      </c>
      <c r="G24" t="s">
        <v>74</v>
      </c>
      <c r="H24">
        <v>2024</v>
      </c>
      <c r="I24">
        <v>2667</v>
      </c>
      <c r="J24">
        <v>29.4</v>
      </c>
      <c r="K24" t="s">
        <v>24</v>
      </c>
      <c r="L24">
        <v>6.8</v>
      </c>
      <c r="M24">
        <v>10</v>
      </c>
      <c r="N24">
        <v>900</v>
      </c>
      <c r="O24" t="s">
        <v>75</v>
      </c>
      <c r="P24">
        <v>79.5</v>
      </c>
      <c r="Q24" t="s">
        <v>86</v>
      </c>
      <c r="R24">
        <v>-4.9000000000000004</v>
      </c>
      <c r="S24">
        <v>30.2</v>
      </c>
      <c r="T24">
        <v>2.1</v>
      </c>
      <c r="U24">
        <v>4.5999999999999996</v>
      </c>
      <c r="V24">
        <v>6.1</v>
      </c>
      <c r="W24">
        <v>4.2</v>
      </c>
      <c r="X24" t="s">
        <v>66</v>
      </c>
    </row>
    <row r="25" spans="2:24" x14ac:dyDescent="0.3">
      <c r="B25" t="s">
        <v>107</v>
      </c>
      <c r="C25" t="s">
        <v>90</v>
      </c>
      <c r="D25" t="s">
        <v>5</v>
      </c>
      <c r="E25" t="s">
        <v>18</v>
      </c>
      <c r="F25" t="s">
        <v>10</v>
      </c>
      <c r="G25" t="s">
        <v>78</v>
      </c>
      <c r="H25">
        <v>2025</v>
      </c>
      <c r="I25">
        <v>7140</v>
      </c>
      <c r="J25">
        <v>32.6</v>
      </c>
      <c r="K25" t="s">
        <v>23</v>
      </c>
      <c r="L25">
        <v>1.6</v>
      </c>
      <c r="M25">
        <v>8.8000000000000007</v>
      </c>
      <c r="N25">
        <v>295</v>
      </c>
      <c r="O25" t="s">
        <v>75</v>
      </c>
      <c r="P25">
        <v>73.2</v>
      </c>
      <c r="Q25" t="s">
        <v>65</v>
      </c>
      <c r="R25">
        <v>46.9</v>
      </c>
      <c r="S25">
        <v>-8.9</v>
      </c>
      <c r="T25">
        <v>-9.6999999999999993</v>
      </c>
      <c r="U25">
        <v>2.6</v>
      </c>
      <c r="V25">
        <v>3.4</v>
      </c>
      <c r="W25">
        <v>3.4</v>
      </c>
      <c r="X25" t="s">
        <v>66</v>
      </c>
    </row>
    <row r="26" spans="2:24" x14ac:dyDescent="0.3">
      <c r="B26" t="s">
        <v>108</v>
      </c>
      <c r="C26" t="s">
        <v>27</v>
      </c>
      <c r="D26" t="s">
        <v>3</v>
      </c>
      <c r="E26" t="s">
        <v>15</v>
      </c>
      <c r="F26" t="s">
        <v>9</v>
      </c>
      <c r="G26" t="s">
        <v>74</v>
      </c>
      <c r="H26">
        <v>2026</v>
      </c>
      <c r="I26">
        <v>2385</v>
      </c>
      <c r="J26">
        <v>0.6</v>
      </c>
      <c r="K26" t="s">
        <v>25</v>
      </c>
      <c r="L26">
        <v>4.3</v>
      </c>
      <c r="M26">
        <v>5</v>
      </c>
      <c r="N26">
        <v>2642</v>
      </c>
      <c r="O26" t="s">
        <v>55</v>
      </c>
      <c r="P26">
        <v>46.4</v>
      </c>
      <c r="Q26" t="s">
        <v>79</v>
      </c>
      <c r="R26">
        <v>-31.8</v>
      </c>
      <c r="S26">
        <v>16.5</v>
      </c>
      <c r="T26">
        <v>2.8</v>
      </c>
      <c r="U26">
        <v>6.7</v>
      </c>
      <c r="V26">
        <v>6.7</v>
      </c>
      <c r="W26">
        <v>7.9</v>
      </c>
      <c r="X26" t="s">
        <v>57</v>
      </c>
    </row>
    <row r="27" spans="2:24" x14ac:dyDescent="0.3">
      <c r="B27" t="s">
        <v>109</v>
      </c>
      <c r="C27" t="s">
        <v>94</v>
      </c>
      <c r="D27" t="s">
        <v>6</v>
      </c>
      <c r="E27" t="s">
        <v>17</v>
      </c>
      <c r="F27" t="s">
        <v>10</v>
      </c>
      <c r="G27" t="s">
        <v>112</v>
      </c>
      <c r="H27">
        <v>2024</v>
      </c>
      <c r="I27">
        <v>1768</v>
      </c>
      <c r="J27">
        <v>6.1</v>
      </c>
      <c r="K27" t="s">
        <v>22</v>
      </c>
      <c r="L27">
        <v>8.1999999999999993</v>
      </c>
      <c r="M27">
        <v>7.8</v>
      </c>
      <c r="N27">
        <v>2872</v>
      </c>
      <c r="O27" t="s">
        <v>55</v>
      </c>
      <c r="P27">
        <v>86.4</v>
      </c>
      <c r="Q27" t="s">
        <v>65</v>
      </c>
      <c r="R27">
        <v>-2.4</v>
      </c>
      <c r="S27">
        <v>33.5</v>
      </c>
      <c r="T27">
        <v>13</v>
      </c>
      <c r="U27">
        <v>5.3</v>
      </c>
      <c r="V27">
        <v>6.5</v>
      </c>
      <c r="W27">
        <v>7.5</v>
      </c>
      <c r="X27" t="s">
        <v>57</v>
      </c>
    </row>
    <row r="28" spans="2:24" x14ac:dyDescent="0.3">
      <c r="B28" t="s">
        <v>110</v>
      </c>
      <c r="C28" t="s">
        <v>159</v>
      </c>
      <c r="D28" t="s">
        <v>2</v>
      </c>
      <c r="E28" t="s">
        <v>18</v>
      </c>
      <c r="F28" t="s">
        <v>12</v>
      </c>
      <c r="G28" t="s">
        <v>98</v>
      </c>
      <c r="H28">
        <v>2026</v>
      </c>
      <c r="I28">
        <v>4430</v>
      </c>
      <c r="J28">
        <v>5.6</v>
      </c>
      <c r="K28" t="s">
        <v>25</v>
      </c>
      <c r="L28">
        <v>7</v>
      </c>
      <c r="M28">
        <v>6.8</v>
      </c>
      <c r="N28">
        <v>5558</v>
      </c>
      <c r="O28" t="s">
        <v>118</v>
      </c>
      <c r="P28">
        <v>17.3</v>
      </c>
      <c r="Q28" t="s">
        <v>76</v>
      </c>
      <c r="R28">
        <v>20.9</v>
      </c>
      <c r="S28">
        <v>-12.2</v>
      </c>
      <c r="T28">
        <v>-6.8</v>
      </c>
      <c r="U28">
        <v>5.9</v>
      </c>
      <c r="V28">
        <v>5.8</v>
      </c>
      <c r="W28">
        <v>6.2</v>
      </c>
      <c r="X28" t="s">
        <v>116</v>
      </c>
    </row>
    <row r="29" spans="2:24" x14ac:dyDescent="0.3">
      <c r="B29" t="s">
        <v>111</v>
      </c>
      <c r="C29" t="s">
        <v>137</v>
      </c>
      <c r="D29" t="s">
        <v>4</v>
      </c>
      <c r="E29" t="s">
        <v>17</v>
      </c>
      <c r="F29" t="s">
        <v>11</v>
      </c>
      <c r="G29" t="s">
        <v>115</v>
      </c>
      <c r="H29">
        <v>2026</v>
      </c>
      <c r="I29">
        <v>3047</v>
      </c>
      <c r="J29">
        <v>1.9</v>
      </c>
      <c r="K29" t="s">
        <v>23</v>
      </c>
      <c r="L29">
        <v>6.9</v>
      </c>
      <c r="M29">
        <v>7.5</v>
      </c>
      <c r="N29">
        <v>3459</v>
      </c>
      <c r="O29" t="s">
        <v>55</v>
      </c>
      <c r="P29">
        <v>76</v>
      </c>
      <c r="Q29" t="s">
        <v>76</v>
      </c>
      <c r="R29">
        <v>-34.6</v>
      </c>
      <c r="S29">
        <v>-20</v>
      </c>
      <c r="T29">
        <v>-8.8000000000000007</v>
      </c>
      <c r="U29">
        <v>6.1</v>
      </c>
      <c r="V29">
        <v>7.4</v>
      </c>
      <c r="W29">
        <v>6.1</v>
      </c>
      <c r="X29" t="s">
        <v>116</v>
      </c>
    </row>
    <row r="30" spans="2:24" x14ac:dyDescent="0.3">
      <c r="B30" t="s">
        <v>113</v>
      </c>
      <c r="C30" t="s">
        <v>92</v>
      </c>
      <c r="D30" t="s">
        <v>7</v>
      </c>
      <c r="E30" t="s">
        <v>14</v>
      </c>
      <c r="F30" t="s">
        <v>11</v>
      </c>
      <c r="G30" t="s">
        <v>104</v>
      </c>
      <c r="H30">
        <v>2024</v>
      </c>
      <c r="I30">
        <v>1009</v>
      </c>
      <c r="J30">
        <v>9.1</v>
      </c>
      <c r="K30" t="s">
        <v>24</v>
      </c>
      <c r="L30">
        <v>2.5</v>
      </c>
      <c r="M30">
        <v>1</v>
      </c>
      <c r="N30">
        <v>885</v>
      </c>
      <c r="O30" t="s">
        <v>75</v>
      </c>
      <c r="P30">
        <v>58.8</v>
      </c>
      <c r="Q30" t="s">
        <v>79</v>
      </c>
      <c r="R30">
        <v>56.4</v>
      </c>
      <c r="S30">
        <v>30.8</v>
      </c>
      <c r="T30">
        <v>19.600000000000001</v>
      </c>
      <c r="U30">
        <v>1.7</v>
      </c>
      <c r="V30">
        <v>5.5</v>
      </c>
      <c r="W30">
        <v>6.9</v>
      </c>
      <c r="X30" t="s">
        <v>57</v>
      </c>
    </row>
    <row r="31" spans="2:24" x14ac:dyDescent="0.3">
      <c r="B31" t="s">
        <v>114</v>
      </c>
      <c r="C31" t="s">
        <v>90</v>
      </c>
      <c r="D31" t="s">
        <v>2</v>
      </c>
      <c r="E31" t="s">
        <v>18</v>
      </c>
      <c r="F31" t="s">
        <v>11</v>
      </c>
      <c r="G31" t="s">
        <v>112</v>
      </c>
      <c r="H31">
        <v>2026</v>
      </c>
      <c r="I31">
        <v>2113</v>
      </c>
      <c r="J31">
        <v>0.7</v>
      </c>
      <c r="K31" t="s">
        <v>22</v>
      </c>
      <c r="L31">
        <v>6.7</v>
      </c>
      <c r="M31">
        <v>8.8000000000000007</v>
      </c>
      <c r="N31">
        <v>3274</v>
      </c>
      <c r="O31" t="s">
        <v>55</v>
      </c>
      <c r="P31">
        <v>18.399999999999999</v>
      </c>
      <c r="Q31" t="s">
        <v>56</v>
      </c>
      <c r="R31">
        <v>66</v>
      </c>
      <c r="S31">
        <v>7.3</v>
      </c>
      <c r="T31">
        <v>11.2</v>
      </c>
      <c r="U31">
        <v>6</v>
      </c>
      <c r="V31">
        <v>9</v>
      </c>
      <c r="W31">
        <v>5.8</v>
      </c>
      <c r="X31" t="s">
        <v>57</v>
      </c>
    </row>
    <row r="32" spans="2:24" x14ac:dyDescent="0.3">
      <c r="B32" t="s">
        <v>117</v>
      </c>
      <c r="C32" t="s">
        <v>90</v>
      </c>
      <c r="D32" t="s">
        <v>3</v>
      </c>
      <c r="E32" t="s">
        <v>17</v>
      </c>
      <c r="F32" t="s">
        <v>12</v>
      </c>
      <c r="G32" t="s">
        <v>74</v>
      </c>
      <c r="H32">
        <v>2025</v>
      </c>
      <c r="I32">
        <v>2381</v>
      </c>
      <c r="J32">
        <v>7.4</v>
      </c>
      <c r="K32" t="s">
        <v>23</v>
      </c>
      <c r="L32">
        <v>1.1000000000000001</v>
      </c>
      <c r="M32">
        <v>5.3</v>
      </c>
      <c r="N32">
        <v>5917</v>
      </c>
      <c r="O32" t="s">
        <v>64</v>
      </c>
      <c r="P32">
        <v>81.400000000000006</v>
      </c>
      <c r="Q32" t="s">
        <v>79</v>
      </c>
      <c r="R32">
        <v>-34.299999999999997</v>
      </c>
      <c r="S32">
        <v>-4.5999999999999996</v>
      </c>
      <c r="T32">
        <v>2.7</v>
      </c>
      <c r="U32">
        <v>1.7</v>
      </c>
      <c r="V32">
        <v>4.4000000000000004</v>
      </c>
      <c r="W32">
        <v>6.2</v>
      </c>
      <c r="X32" t="s">
        <v>57</v>
      </c>
    </row>
    <row r="33" spans="2:24" x14ac:dyDescent="0.3">
      <c r="B33" t="s">
        <v>119</v>
      </c>
      <c r="C33" t="s">
        <v>100</v>
      </c>
      <c r="D33" t="s">
        <v>3</v>
      </c>
      <c r="E33" t="s">
        <v>18</v>
      </c>
      <c r="F33" t="s">
        <v>10</v>
      </c>
      <c r="G33" t="s">
        <v>104</v>
      </c>
      <c r="H33">
        <v>2026</v>
      </c>
      <c r="I33">
        <v>2492</v>
      </c>
      <c r="J33">
        <v>24.7</v>
      </c>
      <c r="K33" t="s">
        <v>21</v>
      </c>
      <c r="L33">
        <v>6.7</v>
      </c>
      <c r="M33">
        <v>10</v>
      </c>
      <c r="N33">
        <v>1062</v>
      </c>
      <c r="O33" t="s">
        <v>64</v>
      </c>
      <c r="P33">
        <v>17.5</v>
      </c>
      <c r="Q33" t="s">
        <v>125</v>
      </c>
      <c r="R33">
        <v>45.3</v>
      </c>
      <c r="S33">
        <v>45.5</v>
      </c>
      <c r="T33">
        <v>23.4</v>
      </c>
      <c r="U33">
        <v>10</v>
      </c>
      <c r="V33">
        <v>6.7</v>
      </c>
      <c r="W33">
        <v>4.9000000000000004</v>
      </c>
      <c r="X33" t="s">
        <v>66</v>
      </c>
    </row>
    <row r="34" spans="2:24" x14ac:dyDescent="0.3">
      <c r="B34" t="s">
        <v>120</v>
      </c>
      <c r="C34" t="s">
        <v>73</v>
      </c>
      <c r="D34" t="s">
        <v>2</v>
      </c>
      <c r="E34" t="s">
        <v>19</v>
      </c>
      <c r="F34" t="s">
        <v>11</v>
      </c>
      <c r="G34" t="s">
        <v>54</v>
      </c>
      <c r="H34">
        <v>2025</v>
      </c>
      <c r="I34">
        <v>5087</v>
      </c>
      <c r="J34">
        <v>5.8</v>
      </c>
      <c r="K34" t="s">
        <v>25</v>
      </c>
      <c r="L34">
        <v>1.4</v>
      </c>
      <c r="M34">
        <v>1.3</v>
      </c>
      <c r="N34">
        <v>6482</v>
      </c>
      <c r="O34" t="s">
        <v>55</v>
      </c>
      <c r="P34">
        <v>13.6</v>
      </c>
      <c r="Q34" t="s">
        <v>56</v>
      </c>
      <c r="R34">
        <v>65.3</v>
      </c>
      <c r="S34">
        <v>-0.8</v>
      </c>
      <c r="T34">
        <v>5</v>
      </c>
      <c r="U34">
        <v>1.3</v>
      </c>
      <c r="V34">
        <v>6.6</v>
      </c>
      <c r="W34">
        <v>7.9</v>
      </c>
      <c r="X34" t="s">
        <v>116</v>
      </c>
    </row>
    <row r="35" spans="2:24" x14ac:dyDescent="0.3">
      <c r="B35" t="s">
        <v>121</v>
      </c>
      <c r="C35" t="s">
        <v>27</v>
      </c>
      <c r="D35" t="s">
        <v>2</v>
      </c>
      <c r="E35" t="s">
        <v>15</v>
      </c>
      <c r="F35" t="s">
        <v>12</v>
      </c>
      <c r="G35" t="s">
        <v>104</v>
      </c>
      <c r="H35">
        <v>2025</v>
      </c>
      <c r="I35">
        <v>6956</v>
      </c>
      <c r="J35">
        <v>11.4</v>
      </c>
      <c r="K35" t="s">
        <v>25</v>
      </c>
      <c r="L35">
        <v>3.4</v>
      </c>
      <c r="M35">
        <v>3.5</v>
      </c>
      <c r="N35">
        <v>2628</v>
      </c>
      <c r="O35" t="s">
        <v>64</v>
      </c>
      <c r="P35">
        <v>15.3</v>
      </c>
      <c r="Q35" t="s">
        <v>56</v>
      </c>
      <c r="R35">
        <v>-25.8</v>
      </c>
      <c r="S35">
        <v>-24</v>
      </c>
      <c r="T35">
        <v>-13.5</v>
      </c>
      <c r="U35">
        <v>2.2000000000000002</v>
      </c>
      <c r="V35">
        <v>4.5</v>
      </c>
      <c r="W35">
        <v>5.4</v>
      </c>
      <c r="X35" t="s">
        <v>116</v>
      </c>
    </row>
    <row r="36" spans="2:24" x14ac:dyDescent="0.3">
      <c r="B36" t="s">
        <v>123</v>
      </c>
      <c r="C36" t="s">
        <v>90</v>
      </c>
      <c r="D36" t="s">
        <v>5</v>
      </c>
      <c r="E36" t="s">
        <v>19</v>
      </c>
      <c r="F36" t="s">
        <v>11</v>
      </c>
      <c r="G36" t="s">
        <v>131</v>
      </c>
      <c r="H36">
        <v>2024</v>
      </c>
      <c r="I36">
        <v>5576</v>
      </c>
      <c r="J36">
        <v>3.1</v>
      </c>
      <c r="K36" t="s">
        <v>23</v>
      </c>
      <c r="L36">
        <v>7.5</v>
      </c>
      <c r="M36">
        <v>6.8</v>
      </c>
      <c r="N36">
        <v>5824</v>
      </c>
      <c r="O36" t="s">
        <v>55</v>
      </c>
      <c r="P36">
        <v>15.4</v>
      </c>
      <c r="Q36" t="s">
        <v>65</v>
      </c>
      <c r="R36">
        <v>70</v>
      </c>
      <c r="S36">
        <v>9.3000000000000007</v>
      </c>
      <c r="T36">
        <v>-2.6</v>
      </c>
      <c r="U36">
        <v>6.2</v>
      </c>
      <c r="V36">
        <v>7.2</v>
      </c>
      <c r="W36">
        <v>7.3</v>
      </c>
      <c r="X36" t="s">
        <v>116</v>
      </c>
    </row>
    <row r="37" spans="2:24" x14ac:dyDescent="0.3">
      <c r="B37" t="s">
        <v>124</v>
      </c>
      <c r="C37" t="s">
        <v>83</v>
      </c>
      <c r="D37" t="s">
        <v>4</v>
      </c>
      <c r="E37" t="s">
        <v>19</v>
      </c>
      <c r="F37" t="s">
        <v>10</v>
      </c>
      <c r="G37" t="s">
        <v>101</v>
      </c>
      <c r="H37">
        <v>2024</v>
      </c>
      <c r="I37">
        <v>5773</v>
      </c>
      <c r="J37">
        <v>15.1</v>
      </c>
      <c r="K37" t="s">
        <v>25</v>
      </c>
      <c r="L37">
        <v>6.9</v>
      </c>
      <c r="M37">
        <v>6.4</v>
      </c>
      <c r="N37">
        <v>582</v>
      </c>
      <c r="O37" t="s">
        <v>64</v>
      </c>
      <c r="P37">
        <v>31.6</v>
      </c>
      <c r="Q37" t="s">
        <v>86</v>
      </c>
      <c r="R37">
        <v>30.3</v>
      </c>
      <c r="S37">
        <v>4.5</v>
      </c>
      <c r="T37">
        <v>1.4</v>
      </c>
      <c r="U37">
        <v>5</v>
      </c>
      <c r="V37">
        <v>4.5</v>
      </c>
      <c r="W37">
        <v>5.2</v>
      </c>
      <c r="X37" t="s">
        <v>116</v>
      </c>
    </row>
    <row r="38" spans="2:24" x14ac:dyDescent="0.3">
      <c r="B38" t="s">
        <v>126</v>
      </c>
      <c r="C38" t="s">
        <v>27</v>
      </c>
      <c r="D38" t="s">
        <v>2</v>
      </c>
      <c r="E38" t="s">
        <v>17</v>
      </c>
      <c r="F38" t="s">
        <v>12</v>
      </c>
      <c r="G38" t="s">
        <v>115</v>
      </c>
      <c r="H38">
        <v>2026</v>
      </c>
      <c r="I38">
        <v>14283</v>
      </c>
      <c r="J38">
        <v>20.9</v>
      </c>
      <c r="K38" t="s">
        <v>22</v>
      </c>
      <c r="L38">
        <v>11.2</v>
      </c>
      <c r="M38">
        <v>10</v>
      </c>
      <c r="N38">
        <v>7905</v>
      </c>
      <c r="O38" t="s">
        <v>55</v>
      </c>
      <c r="P38">
        <v>46.9</v>
      </c>
      <c r="Q38" t="s">
        <v>76</v>
      </c>
      <c r="R38">
        <v>-25</v>
      </c>
      <c r="S38">
        <v>47.5</v>
      </c>
      <c r="T38">
        <v>20.2</v>
      </c>
      <c r="U38">
        <v>6.6</v>
      </c>
      <c r="V38">
        <v>8.4</v>
      </c>
      <c r="W38">
        <v>4.5999999999999996</v>
      </c>
      <c r="X38" t="s">
        <v>66</v>
      </c>
    </row>
    <row r="39" spans="2:24" x14ac:dyDescent="0.3">
      <c r="B39" t="s">
        <v>127</v>
      </c>
      <c r="C39" t="s">
        <v>97</v>
      </c>
      <c r="D39" t="s">
        <v>3</v>
      </c>
      <c r="E39" t="s">
        <v>14</v>
      </c>
      <c r="F39" t="s">
        <v>11</v>
      </c>
      <c r="G39" t="s">
        <v>63</v>
      </c>
      <c r="H39">
        <v>2025</v>
      </c>
      <c r="I39">
        <v>5671</v>
      </c>
      <c r="J39">
        <v>14.4</v>
      </c>
      <c r="K39" t="s">
        <v>22</v>
      </c>
      <c r="L39">
        <v>13.9</v>
      </c>
      <c r="M39">
        <v>10</v>
      </c>
      <c r="N39">
        <v>2871</v>
      </c>
      <c r="O39" t="s">
        <v>55</v>
      </c>
      <c r="P39">
        <v>84.9</v>
      </c>
      <c r="Q39" t="s">
        <v>86</v>
      </c>
      <c r="R39">
        <v>-29.3</v>
      </c>
      <c r="S39">
        <v>-21.4</v>
      </c>
      <c r="T39">
        <v>-7.2</v>
      </c>
      <c r="U39">
        <v>8.8000000000000007</v>
      </c>
      <c r="V39">
        <v>6.9</v>
      </c>
      <c r="W39">
        <v>4.5999999999999996</v>
      </c>
      <c r="X39" t="s">
        <v>116</v>
      </c>
    </row>
    <row r="40" spans="2:24" x14ac:dyDescent="0.3">
      <c r="B40" t="s">
        <v>128</v>
      </c>
      <c r="C40" t="s">
        <v>92</v>
      </c>
      <c r="D40" t="s">
        <v>7</v>
      </c>
      <c r="E40" t="s">
        <v>18</v>
      </c>
      <c r="F40" t="s">
        <v>12</v>
      </c>
      <c r="G40" t="s">
        <v>69</v>
      </c>
      <c r="H40">
        <v>2026</v>
      </c>
      <c r="I40">
        <v>16206</v>
      </c>
      <c r="J40">
        <v>24</v>
      </c>
      <c r="K40" t="s">
        <v>21</v>
      </c>
      <c r="L40">
        <v>2</v>
      </c>
      <c r="M40">
        <v>5.5</v>
      </c>
      <c r="N40">
        <v>276</v>
      </c>
      <c r="O40" t="s">
        <v>75</v>
      </c>
      <c r="P40">
        <v>39.6</v>
      </c>
      <c r="Q40" t="s">
        <v>86</v>
      </c>
      <c r="R40">
        <v>58.6</v>
      </c>
      <c r="S40">
        <v>10.4</v>
      </c>
      <c r="T40">
        <v>4.4000000000000004</v>
      </c>
      <c r="U40">
        <v>1.9</v>
      </c>
      <c r="V40">
        <v>6.8</v>
      </c>
      <c r="W40">
        <v>4.2</v>
      </c>
      <c r="X40" t="s">
        <v>66</v>
      </c>
    </row>
    <row r="41" spans="2:24" x14ac:dyDescent="0.3">
      <c r="B41" t="s">
        <v>129</v>
      </c>
      <c r="C41" t="s">
        <v>92</v>
      </c>
      <c r="D41" t="s">
        <v>7</v>
      </c>
      <c r="E41" t="s">
        <v>15</v>
      </c>
      <c r="F41" t="s">
        <v>12</v>
      </c>
      <c r="G41" t="s">
        <v>69</v>
      </c>
      <c r="H41">
        <v>2024</v>
      </c>
      <c r="I41">
        <v>1461</v>
      </c>
      <c r="J41">
        <v>5.8</v>
      </c>
      <c r="K41" t="s">
        <v>23</v>
      </c>
      <c r="L41">
        <v>5.0999999999999996</v>
      </c>
      <c r="M41">
        <v>5.8</v>
      </c>
      <c r="N41">
        <v>2296</v>
      </c>
      <c r="O41" t="s">
        <v>55</v>
      </c>
      <c r="P41">
        <v>18.899999999999999</v>
      </c>
      <c r="Q41" t="s">
        <v>86</v>
      </c>
      <c r="R41">
        <v>-8.9</v>
      </c>
      <c r="S41">
        <v>46</v>
      </c>
      <c r="T41">
        <v>10.7</v>
      </c>
      <c r="U41">
        <v>7.4</v>
      </c>
      <c r="V41">
        <v>7.4</v>
      </c>
      <c r="W41">
        <v>7.3</v>
      </c>
      <c r="X41" t="s">
        <v>57</v>
      </c>
    </row>
    <row r="42" spans="2:24" x14ac:dyDescent="0.3">
      <c r="B42" t="s">
        <v>130</v>
      </c>
      <c r="C42" t="s">
        <v>92</v>
      </c>
      <c r="D42" t="s">
        <v>7</v>
      </c>
      <c r="E42" t="s">
        <v>17</v>
      </c>
      <c r="F42" t="s">
        <v>9</v>
      </c>
      <c r="G42" t="s">
        <v>60</v>
      </c>
      <c r="H42">
        <v>2024</v>
      </c>
      <c r="I42">
        <v>3809</v>
      </c>
      <c r="J42">
        <v>10.7</v>
      </c>
      <c r="K42" t="s">
        <v>25</v>
      </c>
      <c r="L42">
        <v>5</v>
      </c>
      <c r="M42">
        <v>7.1</v>
      </c>
      <c r="N42">
        <v>4602</v>
      </c>
      <c r="O42" t="s">
        <v>55</v>
      </c>
      <c r="P42">
        <v>11.9</v>
      </c>
      <c r="Q42" t="s">
        <v>88</v>
      </c>
      <c r="R42">
        <v>60.7</v>
      </c>
      <c r="S42">
        <v>41.3</v>
      </c>
      <c r="T42">
        <v>14.5</v>
      </c>
      <c r="U42">
        <v>4.0999999999999996</v>
      </c>
      <c r="V42">
        <v>7</v>
      </c>
      <c r="W42">
        <v>6.4</v>
      </c>
      <c r="X42" t="s">
        <v>116</v>
      </c>
    </row>
    <row r="43" spans="2:24" x14ac:dyDescent="0.3">
      <c r="B43" t="s">
        <v>132</v>
      </c>
      <c r="C43" t="s">
        <v>106</v>
      </c>
      <c r="D43" t="s">
        <v>8</v>
      </c>
      <c r="E43" t="s">
        <v>14</v>
      </c>
      <c r="F43" t="s">
        <v>11</v>
      </c>
      <c r="G43" t="s">
        <v>112</v>
      </c>
      <c r="H43">
        <v>2025</v>
      </c>
      <c r="I43">
        <v>1215</v>
      </c>
      <c r="J43">
        <v>31.2</v>
      </c>
      <c r="K43" t="s">
        <v>21</v>
      </c>
      <c r="L43">
        <v>9.9</v>
      </c>
      <c r="M43">
        <v>10</v>
      </c>
      <c r="N43">
        <v>843</v>
      </c>
      <c r="O43" t="s">
        <v>75</v>
      </c>
      <c r="P43">
        <v>21.8</v>
      </c>
      <c r="Q43" t="s">
        <v>56</v>
      </c>
      <c r="R43">
        <v>40.200000000000003</v>
      </c>
      <c r="S43">
        <v>13.1</v>
      </c>
      <c r="T43">
        <v>-7.3</v>
      </c>
      <c r="U43">
        <v>8.3000000000000007</v>
      </c>
      <c r="V43">
        <v>6.7</v>
      </c>
      <c r="W43">
        <v>3.3</v>
      </c>
      <c r="X43" t="s">
        <v>66</v>
      </c>
    </row>
    <row r="44" spans="2:24" x14ac:dyDescent="0.3">
      <c r="B44" t="s">
        <v>133</v>
      </c>
      <c r="C44" t="s">
        <v>27</v>
      </c>
      <c r="D44" t="s">
        <v>3</v>
      </c>
      <c r="E44" t="s">
        <v>19</v>
      </c>
      <c r="F44" t="s">
        <v>11</v>
      </c>
      <c r="G44" t="s">
        <v>112</v>
      </c>
      <c r="H44">
        <v>2026</v>
      </c>
      <c r="I44">
        <v>1522</v>
      </c>
      <c r="J44">
        <v>4.9000000000000004</v>
      </c>
      <c r="K44" t="s">
        <v>23</v>
      </c>
      <c r="L44">
        <v>10.8</v>
      </c>
      <c r="M44">
        <v>10</v>
      </c>
      <c r="N44">
        <v>2651</v>
      </c>
      <c r="O44" t="s">
        <v>55</v>
      </c>
      <c r="P44">
        <v>70.3</v>
      </c>
      <c r="Q44" t="s">
        <v>125</v>
      </c>
      <c r="R44">
        <v>83.4</v>
      </c>
      <c r="S44">
        <v>24.1</v>
      </c>
      <c r="T44">
        <v>10</v>
      </c>
      <c r="U44">
        <v>9.3000000000000007</v>
      </c>
      <c r="V44">
        <v>8.5</v>
      </c>
      <c r="W44">
        <v>5.7</v>
      </c>
      <c r="X44" t="s">
        <v>57</v>
      </c>
    </row>
    <row r="45" spans="2:24" x14ac:dyDescent="0.3">
      <c r="B45" t="s">
        <v>134</v>
      </c>
      <c r="C45" t="s">
        <v>100</v>
      </c>
      <c r="D45" t="s">
        <v>3</v>
      </c>
      <c r="E45" t="s">
        <v>15</v>
      </c>
      <c r="F45" t="s">
        <v>9</v>
      </c>
      <c r="G45" t="s">
        <v>60</v>
      </c>
      <c r="H45">
        <v>2026</v>
      </c>
      <c r="I45">
        <v>183</v>
      </c>
      <c r="J45">
        <v>9.5</v>
      </c>
      <c r="K45" t="s">
        <v>23</v>
      </c>
      <c r="L45">
        <v>6.9</v>
      </c>
      <c r="M45">
        <v>9.8000000000000007</v>
      </c>
      <c r="N45">
        <v>3418</v>
      </c>
      <c r="O45" t="s">
        <v>64</v>
      </c>
      <c r="P45">
        <v>57.5</v>
      </c>
      <c r="Q45" t="s">
        <v>84</v>
      </c>
      <c r="R45">
        <v>40.9</v>
      </c>
      <c r="S45">
        <v>6</v>
      </c>
      <c r="T45">
        <v>-0.3</v>
      </c>
      <c r="U45">
        <v>8.4</v>
      </c>
      <c r="V45">
        <v>7.9</v>
      </c>
      <c r="W45">
        <v>5.2</v>
      </c>
      <c r="X45" t="s">
        <v>116</v>
      </c>
    </row>
    <row r="46" spans="2:24" x14ac:dyDescent="0.3">
      <c r="B46" t="s">
        <v>135</v>
      </c>
      <c r="C46" t="s">
        <v>90</v>
      </c>
      <c r="D46" t="s">
        <v>5</v>
      </c>
      <c r="E46" t="s">
        <v>14</v>
      </c>
      <c r="F46" t="s">
        <v>11</v>
      </c>
      <c r="G46" t="s">
        <v>69</v>
      </c>
      <c r="H46">
        <v>2024</v>
      </c>
      <c r="I46">
        <v>12546</v>
      </c>
      <c r="J46">
        <v>34.700000000000003</v>
      </c>
      <c r="K46" t="s">
        <v>21</v>
      </c>
      <c r="L46">
        <v>1.8</v>
      </c>
      <c r="M46">
        <v>10</v>
      </c>
      <c r="N46">
        <v>1077</v>
      </c>
      <c r="O46" t="s">
        <v>75</v>
      </c>
      <c r="P46">
        <v>22.1</v>
      </c>
      <c r="Q46" t="s">
        <v>84</v>
      </c>
      <c r="R46">
        <v>27.8</v>
      </c>
      <c r="S46">
        <v>-1</v>
      </c>
      <c r="T46">
        <v>-11.4</v>
      </c>
      <c r="U46">
        <v>1.9</v>
      </c>
      <c r="V46">
        <v>2.2999999999999998</v>
      </c>
      <c r="W46">
        <v>1.8</v>
      </c>
      <c r="X46" t="s">
        <v>66</v>
      </c>
    </row>
    <row r="47" spans="2:24" x14ac:dyDescent="0.3">
      <c r="B47" t="s">
        <v>136</v>
      </c>
      <c r="C47" t="s">
        <v>139</v>
      </c>
      <c r="D47" t="s">
        <v>8</v>
      </c>
      <c r="E47" t="s">
        <v>15</v>
      </c>
      <c r="F47" t="s">
        <v>12</v>
      </c>
      <c r="G47" t="s">
        <v>98</v>
      </c>
      <c r="H47">
        <v>2025</v>
      </c>
      <c r="I47">
        <v>1112</v>
      </c>
      <c r="J47">
        <v>8.6</v>
      </c>
      <c r="K47" t="s">
        <v>21</v>
      </c>
      <c r="L47">
        <v>1.5</v>
      </c>
      <c r="M47">
        <v>2.4</v>
      </c>
      <c r="N47">
        <v>951</v>
      </c>
      <c r="O47" t="s">
        <v>64</v>
      </c>
      <c r="P47">
        <v>36.700000000000003</v>
      </c>
      <c r="Q47" t="s">
        <v>125</v>
      </c>
      <c r="R47">
        <v>9.6</v>
      </c>
      <c r="S47">
        <v>-19.2</v>
      </c>
      <c r="T47">
        <v>-3.8</v>
      </c>
      <c r="U47">
        <v>1.5</v>
      </c>
      <c r="V47">
        <v>4.9000000000000004</v>
      </c>
      <c r="W47">
        <v>5.9</v>
      </c>
      <c r="X47" t="s">
        <v>66</v>
      </c>
    </row>
    <row r="48" spans="2:24" x14ac:dyDescent="0.3">
      <c r="B48" t="s">
        <v>138</v>
      </c>
      <c r="C48" t="s">
        <v>59</v>
      </c>
      <c r="D48" t="s">
        <v>4</v>
      </c>
      <c r="E48" t="s">
        <v>18</v>
      </c>
      <c r="F48" t="s">
        <v>10</v>
      </c>
      <c r="G48" t="s">
        <v>69</v>
      </c>
      <c r="H48">
        <v>2026</v>
      </c>
      <c r="I48">
        <v>2244</v>
      </c>
      <c r="J48">
        <v>0.7</v>
      </c>
      <c r="K48" t="s">
        <v>24</v>
      </c>
      <c r="L48">
        <v>5.9</v>
      </c>
      <c r="M48">
        <v>8.4</v>
      </c>
      <c r="N48">
        <v>5403</v>
      </c>
      <c r="O48" t="s">
        <v>118</v>
      </c>
      <c r="P48">
        <v>63.7</v>
      </c>
      <c r="Q48" t="s">
        <v>56</v>
      </c>
      <c r="R48">
        <v>-18.100000000000001</v>
      </c>
      <c r="S48">
        <v>10.6</v>
      </c>
      <c r="T48">
        <v>12.6</v>
      </c>
      <c r="U48">
        <v>7.2</v>
      </c>
      <c r="V48">
        <v>5.7</v>
      </c>
      <c r="W48">
        <v>6.1</v>
      </c>
      <c r="X48" t="s">
        <v>57</v>
      </c>
    </row>
    <row r="49" spans="2:24" x14ac:dyDescent="0.3">
      <c r="B49" t="s">
        <v>140</v>
      </c>
      <c r="C49" t="s">
        <v>53</v>
      </c>
      <c r="D49" t="s">
        <v>3</v>
      </c>
      <c r="E49" t="s">
        <v>16</v>
      </c>
      <c r="F49" t="s">
        <v>11</v>
      </c>
      <c r="G49" t="s">
        <v>69</v>
      </c>
      <c r="H49">
        <v>2026</v>
      </c>
      <c r="I49">
        <v>2861</v>
      </c>
      <c r="J49">
        <v>16.600000000000001</v>
      </c>
      <c r="K49" t="s">
        <v>22</v>
      </c>
      <c r="L49">
        <v>2.1</v>
      </c>
      <c r="M49">
        <v>8.6</v>
      </c>
      <c r="N49">
        <v>2569</v>
      </c>
      <c r="O49" t="s">
        <v>64</v>
      </c>
      <c r="P49">
        <v>87.7</v>
      </c>
      <c r="Q49" t="s">
        <v>88</v>
      </c>
      <c r="R49">
        <v>9.5</v>
      </c>
      <c r="S49">
        <v>37.700000000000003</v>
      </c>
      <c r="T49">
        <v>15.9</v>
      </c>
      <c r="U49">
        <v>3.5</v>
      </c>
      <c r="V49">
        <v>6.5</v>
      </c>
      <c r="W49">
        <v>5.4</v>
      </c>
      <c r="X49" t="s">
        <v>116</v>
      </c>
    </row>
    <row r="50" spans="2:24" x14ac:dyDescent="0.3">
      <c r="B50" t="s">
        <v>141</v>
      </c>
      <c r="C50" t="s">
        <v>83</v>
      </c>
      <c r="D50" t="s">
        <v>4</v>
      </c>
      <c r="E50" t="s">
        <v>18</v>
      </c>
      <c r="F50" t="s">
        <v>12</v>
      </c>
      <c r="G50" t="s">
        <v>98</v>
      </c>
      <c r="H50">
        <v>2026</v>
      </c>
      <c r="I50">
        <v>4839</v>
      </c>
      <c r="J50">
        <v>8.4</v>
      </c>
      <c r="K50" t="s">
        <v>25</v>
      </c>
      <c r="L50">
        <v>12.3</v>
      </c>
      <c r="M50">
        <v>6.5</v>
      </c>
      <c r="N50">
        <v>4056</v>
      </c>
      <c r="O50" t="s">
        <v>55</v>
      </c>
      <c r="P50">
        <v>53.8</v>
      </c>
      <c r="Q50" t="s">
        <v>79</v>
      </c>
      <c r="R50">
        <v>49.6</v>
      </c>
      <c r="S50">
        <v>-7.7</v>
      </c>
      <c r="T50">
        <v>1.9</v>
      </c>
      <c r="U50">
        <v>8.8000000000000007</v>
      </c>
      <c r="V50">
        <v>7.4</v>
      </c>
      <c r="W50">
        <v>4.7</v>
      </c>
      <c r="X50" t="s">
        <v>116</v>
      </c>
    </row>
    <row r="51" spans="2:24" x14ac:dyDescent="0.3">
      <c r="B51" t="s">
        <v>143</v>
      </c>
      <c r="C51" t="s">
        <v>139</v>
      </c>
      <c r="D51" t="s">
        <v>8</v>
      </c>
      <c r="E51" t="s">
        <v>14</v>
      </c>
      <c r="F51" t="s">
        <v>10</v>
      </c>
      <c r="G51" t="s">
        <v>101</v>
      </c>
      <c r="H51">
        <v>2024</v>
      </c>
      <c r="I51">
        <v>5370</v>
      </c>
      <c r="J51">
        <v>23.8</v>
      </c>
      <c r="K51" t="s">
        <v>21</v>
      </c>
      <c r="L51">
        <v>8.1999999999999993</v>
      </c>
      <c r="M51">
        <v>10</v>
      </c>
      <c r="N51">
        <v>919</v>
      </c>
      <c r="O51" t="s">
        <v>64</v>
      </c>
      <c r="P51">
        <v>69.400000000000006</v>
      </c>
      <c r="Q51" t="s">
        <v>88</v>
      </c>
      <c r="R51">
        <v>25.4</v>
      </c>
      <c r="S51">
        <v>-19.2</v>
      </c>
      <c r="T51">
        <v>-12.9</v>
      </c>
      <c r="U51">
        <v>9</v>
      </c>
      <c r="V51">
        <v>6.2</v>
      </c>
      <c r="W51">
        <v>3.2</v>
      </c>
      <c r="X51" t="s">
        <v>66</v>
      </c>
    </row>
    <row r="52" spans="2:24" x14ac:dyDescent="0.3">
      <c r="B52" t="s">
        <v>144</v>
      </c>
      <c r="C52" t="s">
        <v>94</v>
      </c>
      <c r="D52" t="s">
        <v>6</v>
      </c>
      <c r="E52" t="s">
        <v>17</v>
      </c>
      <c r="F52" t="s">
        <v>11</v>
      </c>
      <c r="G52" t="s">
        <v>104</v>
      </c>
      <c r="H52">
        <v>2026</v>
      </c>
      <c r="I52">
        <v>6488</v>
      </c>
      <c r="J52">
        <v>35.700000000000003</v>
      </c>
      <c r="K52" t="s">
        <v>21</v>
      </c>
      <c r="L52">
        <v>9.3000000000000007</v>
      </c>
      <c r="M52">
        <v>10</v>
      </c>
      <c r="N52">
        <v>1260</v>
      </c>
      <c r="O52" t="s">
        <v>75</v>
      </c>
      <c r="P52">
        <v>46.3</v>
      </c>
      <c r="Q52" t="s">
        <v>65</v>
      </c>
      <c r="R52">
        <v>-11.5</v>
      </c>
      <c r="S52">
        <v>35</v>
      </c>
      <c r="T52">
        <v>4.7</v>
      </c>
      <c r="U52">
        <v>5.8</v>
      </c>
      <c r="V52">
        <v>5</v>
      </c>
      <c r="W52">
        <v>3.8</v>
      </c>
      <c r="X52" t="s">
        <v>66</v>
      </c>
    </row>
    <row r="53" spans="2:24" x14ac:dyDescent="0.3">
      <c r="B53" t="s">
        <v>145</v>
      </c>
      <c r="C53" t="s">
        <v>71</v>
      </c>
      <c r="D53" t="s">
        <v>6</v>
      </c>
      <c r="E53" t="s">
        <v>14</v>
      </c>
      <c r="F53" t="s">
        <v>11</v>
      </c>
      <c r="G53" t="s">
        <v>78</v>
      </c>
      <c r="H53">
        <v>2025</v>
      </c>
      <c r="I53">
        <v>3615</v>
      </c>
      <c r="J53">
        <v>8.5</v>
      </c>
      <c r="K53" t="s">
        <v>23</v>
      </c>
      <c r="L53">
        <v>4.5999999999999996</v>
      </c>
      <c r="M53">
        <v>5.5</v>
      </c>
      <c r="N53">
        <v>2113</v>
      </c>
      <c r="O53" t="s">
        <v>55</v>
      </c>
      <c r="P53">
        <v>76.3</v>
      </c>
      <c r="Q53" t="s">
        <v>125</v>
      </c>
      <c r="R53">
        <v>-3.4</v>
      </c>
      <c r="S53">
        <v>52.7</v>
      </c>
      <c r="T53">
        <v>29.5</v>
      </c>
      <c r="U53">
        <v>3.8</v>
      </c>
      <c r="V53">
        <v>7.2</v>
      </c>
      <c r="W53">
        <v>7.3</v>
      </c>
      <c r="X53" t="s">
        <v>116</v>
      </c>
    </row>
    <row r="54" spans="2:24" x14ac:dyDescent="0.3">
      <c r="B54" t="s">
        <v>146</v>
      </c>
      <c r="C54" t="s">
        <v>92</v>
      </c>
      <c r="D54" t="s">
        <v>7</v>
      </c>
      <c r="E54" t="s">
        <v>18</v>
      </c>
      <c r="F54" t="s">
        <v>12</v>
      </c>
      <c r="G54" t="s">
        <v>115</v>
      </c>
      <c r="H54">
        <v>2024</v>
      </c>
      <c r="I54">
        <v>2954</v>
      </c>
      <c r="J54">
        <v>4.9000000000000004</v>
      </c>
      <c r="K54" t="s">
        <v>25</v>
      </c>
      <c r="L54">
        <v>5.3</v>
      </c>
      <c r="M54">
        <v>7.2</v>
      </c>
      <c r="N54">
        <v>2356</v>
      </c>
      <c r="O54" t="s">
        <v>64</v>
      </c>
      <c r="P54">
        <v>50.3</v>
      </c>
      <c r="Q54" t="s">
        <v>79</v>
      </c>
      <c r="R54">
        <v>70.900000000000006</v>
      </c>
      <c r="S54">
        <v>32.5</v>
      </c>
      <c r="T54">
        <v>21.1</v>
      </c>
      <c r="U54">
        <v>5.6</v>
      </c>
      <c r="V54">
        <v>9</v>
      </c>
      <c r="W54">
        <v>7.5</v>
      </c>
      <c r="X54" t="s">
        <v>116</v>
      </c>
    </row>
    <row r="55" spans="2:24" x14ac:dyDescent="0.3">
      <c r="B55" t="s">
        <v>147</v>
      </c>
      <c r="C55" t="s">
        <v>97</v>
      </c>
      <c r="D55" t="s">
        <v>3</v>
      </c>
      <c r="E55" t="s">
        <v>16</v>
      </c>
      <c r="F55" t="s">
        <v>12</v>
      </c>
      <c r="G55" t="s">
        <v>74</v>
      </c>
      <c r="H55">
        <v>2026</v>
      </c>
      <c r="I55">
        <v>1308</v>
      </c>
      <c r="J55">
        <v>4.5999999999999996</v>
      </c>
      <c r="K55" t="s">
        <v>23</v>
      </c>
      <c r="L55">
        <v>5.3</v>
      </c>
      <c r="M55">
        <v>6.6</v>
      </c>
      <c r="N55">
        <v>1847</v>
      </c>
      <c r="O55" t="s">
        <v>64</v>
      </c>
      <c r="P55">
        <v>19.399999999999999</v>
      </c>
      <c r="Q55" t="s">
        <v>84</v>
      </c>
      <c r="R55">
        <v>-44.7</v>
      </c>
      <c r="S55">
        <v>36.1</v>
      </c>
      <c r="T55">
        <v>20.2</v>
      </c>
      <c r="U55">
        <v>5</v>
      </c>
      <c r="V55">
        <v>7.8</v>
      </c>
      <c r="W55">
        <v>6.6</v>
      </c>
      <c r="X55" t="s">
        <v>57</v>
      </c>
    </row>
    <row r="56" spans="2:24" x14ac:dyDescent="0.3">
      <c r="B56" t="s">
        <v>148</v>
      </c>
      <c r="C56" t="s">
        <v>97</v>
      </c>
      <c r="D56" t="s">
        <v>3</v>
      </c>
      <c r="E56" t="s">
        <v>16</v>
      </c>
      <c r="F56" t="s">
        <v>10</v>
      </c>
      <c r="G56" t="s">
        <v>112</v>
      </c>
      <c r="H56">
        <v>2025</v>
      </c>
      <c r="I56">
        <v>92</v>
      </c>
      <c r="J56">
        <v>5.3</v>
      </c>
      <c r="K56" t="s">
        <v>22</v>
      </c>
      <c r="L56">
        <v>4.5</v>
      </c>
      <c r="M56">
        <v>6.4</v>
      </c>
      <c r="N56">
        <v>3172</v>
      </c>
      <c r="O56" t="s">
        <v>55</v>
      </c>
      <c r="P56">
        <v>45.1</v>
      </c>
      <c r="Q56" t="s">
        <v>88</v>
      </c>
      <c r="R56">
        <v>24.2</v>
      </c>
      <c r="S56">
        <v>-15.3</v>
      </c>
      <c r="T56">
        <v>0.7</v>
      </c>
      <c r="U56">
        <v>6.2</v>
      </c>
      <c r="V56">
        <v>6.8</v>
      </c>
      <c r="W56">
        <v>6.3</v>
      </c>
      <c r="X56" t="s">
        <v>57</v>
      </c>
    </row>
    <row r="57" spans="2:24" x14ac:dyDescent="0.3">
      <c r="B57" t="s">
        <v>149</v>
      </c>
      <c r="C57" t="s">
        <v>90</v>
      </c>
      <c r="D57" t="s">
        <v>5</v>
      </c>
      <c r="E57" t="s">
        <v>14</v>
      </c>
      <c r="F57" t="s">
        <v>9</v>
      </c>
      <c r="G57" t="s">
        <v>104</v>
      </c>
      <c r="H57">
        <v>2026</v>
      </c>
      <c r="I57">
        <v>9385</v>
      </c>
      <c r="J57">
        <v>10.1</v>
      </c>
      <c r="K57" t="s">
        <v>22</v>
      </c>
      <c r="L57">
        <v>5.5</v>
      </c>
      <c r="M57">
        <v>5.3</v>
      </c>
      <c r="N57">
        <v>341</v>
      </c>
      <c r="O57" t="s">
        <v>64</v>
      </c>
      <c r="P57">
        <v>77.8</v>
      </c>
      <c r="Q57" t="s">
        <v>84</v>
      </c>
      <c r="R57">
        <v>87.5</v>
      </c>
      <c r="S57">
        <v>13.3</v>
      </c>
      <c r="T57">
        <v>4.3</v>
      </c>
      <c r="U57">
        <v>3.5</v>
      </c>
      <c r="V57">
        <v>8.5</v>
      </c>
      <c r="W57">
        <v>5.8</v>
      </c>
      <c r="X57" t="s">
        <v>66</v>
      </c>
    </row>
    <row r="58" spans="2:24" x14ac:dyDescent="0.3">
      <c r="B58" t="s">
        <v>150</v>
      </c>
      <c r="C58" t="s">
        <v>53</v>
      </c>
      <c r="D58" t="s">
        <v>3</v>
      </c>
      <c r="E58" t="s">
        <v>19</v>
      </c>
      <c r="F58" t="s">
        <v>9</v>
      </c>
      <c r="G58" t="s">
        <v>131</v>
      </c>
      <c r="H58">
        <v>2025</v>
      </c>
      <c r="I58">
        <v>1869</v>
      </c>
      <c r="J58">
        <v>6.5</v>
      </c>
      <c r="K58" t="s">
        <v>24</v>
      </c>
      <c r="L58">
        <v>8</v>
      </c>
      <c r="M58">
        <v>8.9</v>
      </c>
      <c r="N58">
        <v>2821</v>
      </c>
      <c r="O58" t="s">
        <v>55</v>
      </c>
      <c r="P58">
        <v>40</v>
      </c>
      <c r="Q58" t="s">
        <v>125</v>
      </c>
      <c r="R58">
        <v>-38.9</v>
      </c>
      <c r="S58">
        <v>4.7</v>
      </c>
      <c r="T58">
        <v>13.3</v>
      </c>
      <c r="U58">
        <v>9.5</v>
      </c>
      <c r="V58">
        <v>6.1</v>
      </c>
      <c r="W58">
        <v>6.4</v>
      </c>
      <c r="X58" t="s">
        <v>116</v>
      </c>
    </row>
    <row r="59" spans="2:24" x14ac:dyDescent="0.3">
      <c r="B59" t="s">
        <v>151</v>
      </c>
      <c r="C59" t="s">
        <v>137</v>
      </c>
      <c r="D59" t="s">
        <v>4</v>
      </c>
      <c r="E59" t="s">
        <v>18</v>
      </c>
      <c r="F59" t="s">
        <v>12</v>
      </c>
      <c r="G59" t="s">
        <v>112</v>
      </c>
      <c r="H59">
        <v>2026</v>
      </c>
      <c r="I59">
        <v>1922</v>
      </c>
      <c r="J59">
        <v>27</v>
      </c>
      <c r="K59" t="s">
        <v>22</v>
      </c>
      <c r="L59">
        <v>3.1</v>
      </c>
      <c r="M59">
        <v>10</v>
      </c>
      <c r="N59">
        <v>437</v>
      </c>
      <c r="O59" t="s">
        <v>64</v>
      </c>
      <c r="P59">
        <v>46.9</v>
      </c>
      <c r="Q59" t="s">
        <v>86</v>
      </c>
      <c r="R59">
        <v>61.2</v>
      </c>
      <c r="S59">
        <v>40.799999999999997</v>
      </c>
      <c r="T59">
        <v>14.9</v>
      </c>
      <c r="U59">
        <v>3.5</v>
      </c>
      <c r="V59">
        <v>4.7</v>
      </c>
      <c r="W59">
        <v>4</v>
      </c>
      <c r="X59" t="s">
        <v>66</v>
      </c>
    </row>
    <row r="60" spans="2:24" x14ac:dyDescent="0.3">
      <c r="B60" t="s">
        <v>152</v>
      </c>
      <c r="C60" t="s">
        <v>92</v>
      </c>
      <c r="D60" t="s">
        <v>7</v>
      </c>
      <c r="E60" t="s">
        <v>17</v>
      </c>
      <c r="F60" t="s">
        <v>9</v>
      </c>
      <c r="G60" t="s">
        <v>115</v>
      </c>
      <c r="H60">
        <v>2025</v>
      </c>
      <c r="I60">
        <v>2258</v>
      </c>
      <c r="J60">
        <v>10.8</v>
      </c>
      <c r="K60" t="s">
        <v>23</v>
      </c>
      <c r="L60">
        <v>2.2999999999999998</v>
      </c>
      <c r="M60">
        <v>7.3</v>
      </c>
      <c r="N60">
        <v>5654</v>
      </c>
      <c r="O60" t="s">
        <v>55</v>
      </c>
      <c r="P60">
        <v>75.7</v>
      </c>
      <c r="Q60" t="s">
        <v>65</v>
      </c>
      <c r="R60">
        <v>2.4</v>
      </c>
      <c r="S60">
        <v>5.8</v>
      </c>
      <c r="T60">
        <v>6.7</v>
      </c>
      <c r="U60">
        <v>3</v>
      </c>
      <c r="V60">
        <v>5.6</v>
      </c>
      <c r="W60">
        <v>5.0999999999999996</v>
      </c>
      <c r="X60" t="s">
        <v>116</v>
      </c>
    </row>
    <row r="61" spans="2:24" x14ac:dyDescent="0.3">
      <c r="B61" t="s">
        <v>153</v>
      </c>
      <c r="C61" t="s">
        <v>137</v>
      </c>
      <c r="D61" t="s">
        <v>4</v>
      </c>
      <c r="E61" t="s">
        <v>15</v>
      </c>
      <c r="F61" t="s">
        <v>11</v>
      </c>
      <c r="G61" t="s">
        <v>69</v>
      </c>
      <c r="H61">
        <v>2024</v>
      </c>
      <c r="I61">
        <v>574</v>
      </c>
      <c r="J61">
        <v>9.4</v>
      </c>
      <c r="K61" t="s">
        <v>25</v>
      </c>
      <c r="L61">
        <v>7.4</v>
      </c>
      <c r="M61">
        <v>4.5</v>
      </c>
      <c r="N61">
        <v>1835</v>
      </c>
      <c r="O61" t="s">
        <v>55</v>
      </c>
      <c r="P61">
        <v>64.5</v>
      </c>
      <c r="Q61" t="s">
        <v>86</v>
      </c>
      <c r="R61">
        <v>-38.700000000000003</v>
      </c>
      <c r="S61">
        <v>2.2000000000000002</v>
      </c>
      <c r="T61">
        <v>-0.4</v>
      </c>
      <c r="U61">
        <v>5.6</v>
      </c>
      <c r="V61">
        <v>7.9</v>
      </c>
      <c r="W61">
        <v>7.2</v>
      </c>
      <c r="X61" t="s">
        <v>57</v>
      </c>
    </row>
    <row r="62" spans="2:24" x14ac:dyDescent="0.3">
      <c r="B62" t="s">
        <v>154</v>
      </c>
      <c r="C62" t="s">
        <v>94</v>
      </c>
      <c r="D62" t="s">
        <v>6</v>
      </c>
      <c r="E62" t="s">
        <v>14</v>
      </c>
      <c r="F62" t="s">
        <v>10</v>
      </c>
      <c r="G62" t="s">
        <v>54</v>
      </c>
      <c r="H62">
        <v>2026</v>
      </c>
      <c r="I62">
        <v>1764</v>
      </c>
      <c r="J62">
        <v>9</v>
      </c>
      <c r="K62" t="s">
        <v>22</v>
      </c>
      <c r="L62">
        <v>4.7</v>
      </c>
      <c r="M62">
        <v>9.8000000000000007</v>
      </c>
      <c r="N62">
        <v>3377</v>
      </c>
      <c r="O62" t="s">
        <v>55</v>
      </c>
      <c r="P62">
        <v>10.5</v>
      </c>
      <c r="Q62" t="s">
        <v>84</v>
      </c>
      <c r="R62">
        <v>85.4</v>
      </c>
      <c r="S62">
        <v>8.6</v>
      </c>
      <c r="T62">
        <v>8.1</v>
      </c>
      <c r="U62">
        <v>5.6</v>
      </c>
      <c r="V62">
        <v>5.9</v>
      </c>
      <c r="W62">
        <v>5.7</v>
      </c>
      <c r="X62" t="s">
        <v>57</v>
      </c>
    </row>
    <row r="63" spans="2:24" x14ac:dyDescent="0.3">
      <c r="B63" t="s">
        <v>155</v>
      </c>
      <c r="C63" t="s">
        <v>81</v>
      </c>
      <c r="D63" t="s">
        <v>5</v>
      </c>
      <c r="E63" t="s">
        <v>18</v>
      </c>
      <c r="F63" t="s">
        <v>10</v>
      </c>
      <c r="G63" t="s">
        <v>98</v>
      </c>
      <c r="H63">
        <v>2026</v>
      </c>
      <c r="I63">
        <v>1216</v>
      </c>
      <c r="J63">
        <v>4</v>
      </c>
      <c r="K63" t="s">
        <v>23</v>
      </c>
      <c r="L63">
        <v>12</v>
      </c>
      <c r="M63">
        <v>9</v>
      </c>
      <c r="N63">
        <v>5834</v>
      </c>
      <c r="O63" t="s">
        <v>55</v>
      </c>
      <c r="P63">
        <v>89.8</v>
      </c>
      <c r="Q63" t="s">
        <v>56</v>
      </c>
      <c r="R63">
        <v>17.100000000000001</v>
      </c>
      <c r="S63">
        <v>11.6</v>
      </c>
      <c r="T63">
        <v>3.6</v>
      </c>
      <c r="U63">
        <v>8.1999999999999993</v>
      </c>
      <c r="V63">
        <v>5.8</v>
      </c>
      <c r="W63">
        <v>5.3</v>
      </c>
      <c r="X63" t="s">
        <v>57</v>
      </c>
    </row>
    <row r="64" spans="2:24" x14ac:dyDescent="0.3">
      <c r="B64" t="s">
        <v>156</v>
      </c>
      <c r="C64" t="s">
        <v>137</v>
      </c>
      <c r="D64" t="s">
        <v>3</v>
      </c>
      <c r="E64" t="s">
        <v>18</v>
      </c>
      <c r="F64" t="s">
        <v>9</v>
      </c>
      <c r="G64" t="s">
        <v>63</v>
      </c>
      <c r="H64">
        <v>2024</v>
      </c>
      <c r="I64">
        <v>115</v>
      </c>
      <c r="J64">
        <v>3.4</v>
      </c>
      <c r="K64" t="s">
        <v>25</v>
      </c>
      <c r="L64">
        <v>1</v>
      </c>
      <c r="M64">
        <v>3.1</v>
      </c>
      <c r="N64">
        <v>4980</v>
      </c>
      <c r="O64" t="s">
        <v>64</v>
      </c>
      <c r="P64">
        <v>34.4</v>
      </c>
      <c r="Q64" t="s">
        <v>86</v>
      </c>
      <c r="R64">
        <v>-7.2</v>
      </c>
      <c r="S64">
        <v>-1.4</v>
      </c>
      <c r="T64">
        <v>-10.1</v>
      </c>
      <c r="U64">
        <v>1.5</v>
      </c>
      <c r="V64">
        <v>8.4</v>
      </c>
      <c r="W64">
        <v>6.4</v>
      </c>
      <c r="X64" t="s">
        <v>57</v>
      </c>
    </row>
    <row r="65" spans="2:24" x14ac:dyDescent="0.3">
      <c r="B65" t="s">
        <v>157</v>
      </c>
      <c r="C65" t="s">
        <v>92</v>
      </c>
      <c r="D65" t="s">
        <v>7</v>
      </c>
      <c r="E65" t="s">
        <v>15</v>
      </c>
      <c r="F65" t="s">
        <v>12</v>
      </c>
      <c r="G65" t="s">
        <v>74</v>
      </c>
      <c r="H65">
        <v>2026</v>
      </c>
      <c r="I65">
        <v>18937</v>
      </c>
      <c r="J65">
        <v>35.5</v>
      </c>
      <c r="K65" t="s">
        <v>22</v>
      </c>
      <c r="L65">
        <v>6.7</v>
      </c>
      <c r="M65">
        <v>10</v>
      </c>
      <c r="N65">
        <v>540</v>
      </c>
      <c r="O65" t="s">
        <v>75</v>
      </c>
      <c r="P65">
        <v>34.5</v>
      </c>
      <c r="Q65" t="s">
        <v>65</v>
      </c>
      <c r="R65">
        <v>34.4</v>
      </c>
      <c r="S65">
        <v>8.8000000000000007</v>
      </c>
      <c r="T65">
        <v>4.7</v>
      </c>
      <c r="U65">
        <v>4.8</v>
      </c>
      <c r="V65">
        <v>4.5999999999999996</v>
      </c>
      <c r="W65">
        <v>2.2999999999999998</v>
      </c>
      <c r="X65" t="s">
        <v>66</v>
      </c>
    </row>
    <row r="66" spans="2:24" x14ac:dyDescent="0.3">
      <c r="B66" t="s">
        <v>158</v>
      </c>
      <c r="C66" t="s">
        <v>73</v>
      </c>
      <c r="D66" t="s">
        <v>2</v>
      </c>
      <c r="E66" t="s">
        <v>19</v>
      </c>
      <c r="F66" t="s">
        <v>11</v>
      </c>
      <c r="G66" t="s">
        <v>115</v>
      </c>
      <c r="H66">
        <v>2024</v>
      </c>
      <c r="I66">
        <v>4092</v>
      </c>
      <c r="J66">
        <v>33.799999999999997</v>
      </c>
      <c r="K66" t="s">
        <v>25</v>
      </c>
      <c r="L66">
        <v>4.2</v>
      </c>
      <c r="M66">
        <v>7.3</v>
      </c>
      <c r="N66">
        <v>5933</v>
      </c>
      <c r="O66" t="s">
        <v>64</v>
      </c>
      <c r="P66">
        <v>37.700000000000003</v>
      </c>
      <c r="Q66" t="s">
        <v>56</v>
      </c>
      <c r="R66">
        <v>-28</v>
      </c>
      <c r="S66">
        <v>-10.4</v>
      </c>
      <c r="T66">
        <v>-6.3</v>
      </c>
      <c r="U66">
        <v>2.9</v>
      </c>
      <c r="V66">
        <v>4.3</v>
      </c>
      <c r="W66">
        <v>2.5</v>
      </c>
      <c r="X66" t="s">
        <v>66</v>
      </c>
    </row>
    <row r="67" spans="2:24" x14ac:dyDescent="0.3">
      <c r="B67" t="s">
        <v>160</v>
      </c>
      <c r="C67" t="s">
        <v>27</v>
      </c>
      <c r="D67" t="s">
        <v>2</v>
      </c>
      <c r="E67" t="s">
        <v>16</v>
      </c>
      <c r="F67" t="s">
        <v>11</v>
      </c>
      <c r="G67" t="s">
        <v>78</v>
      </c>
      <c r="H67">
        <v>2025</v>
      </c>
      <c r="I67">
        <v>10021</v>
      </c>
      <c r="J67">
        <v>39.200000000000003</v>
      </c>
      <c r="K67" t="s">
        <v>24</v>
      </c>
      <c r="L67">
        <v>8</v>
      </c>
      <c r="M67">
        <v>10</v>
      </c>
      <c r="N67">
        <v>8910</v>
      </c>
      <c r="O67" t="s">
        <v>55</v>
      </c>
      <c r="P67">
        <v>18.899999999999999</v>
      </c>
      <c r="Q67" t="s">
        <v>56</v>
      </c>
      <c r="R67">
        <v>73.099999999999994</v>
      </c>
      <c r="S67">
        <v>42.2</v>
      </c>
      <c r="T67">
        <v>2</v>
      </c>
      <c r="U67">
        <v>8.1999999999999993</v>
      </c>
      <c r="V67">
        <v>5.3</v>
      </c>
      <c r="W67">
        <v>2.6</v>
      </c>
      <c r="X67" t="s">
        <v>66</v>
      </c>
    </row>
    <row r="68" spans="2:24" x14ac:dyDescent="0.3">
      <c r="B68" t="s">
        <v>161</v>
      </c>
      <c r="C68" t="s">
        <v>53</v>
      </c>
      <c r="D68" t="s">
        <v>7</v>
      </c>
      <c r="E68" t="s">
        <v>17</v>
      </c>
      <c r="F68" t="s">
        <v>9</v>
      </c>
      <c r="G68" t="s">
        <v>69</v>
      </c>
      <c r="H68">
        <v>2025</v>
      </c>
      <c r="I68">
        <v>1007</v>
      </c>
      <c r="J68">
        <v>1.7</v>
      </c>
      <c r="K68" t="s">
        <v>23</v>
      </c>
      <c r="L68">
        <v>9</v>
      </c>
      <c r="M68">
        <v>8</v>
      </c>
      <c r="N68">
        <v>4259</v>
      </c>
      <c r="O68" t="s">
        <v>55</v>
      </c>
      <c r="P68">
        <v>72.5</v>
      </c>
      <c r="Q68" t="s">
        <v>79</v>
      </c>
      <c r="R68">
        <v>36.299999999999997</v>
      </c>
      <c r="S68">
        <v>18.5</v>
      </c>
      <c r="T68">
        <v>1</v>
      </c>
      <c r="U68">
        <v>5.7</v>
      </c>
      <c r="V68">
        <v>6.6</v>
      </c>
      <c r="W68">
        <v>6</v>
      </c>
      <c r="X68" t="s">
        <v>116</v>
      </c>
    </row>
    <row r="69" spans="2:24" x14ac:dyDescent="0.3">
      <c r="B69" t="s">
        <v>162</v>
      </c>
      <c r="C69" t="s">
        <v>97</v>
      </c>
      <c r="D69" t="s">
        <v>3</v>
      </c>
      <c r="E69" t="s">
        <v>17</v>
      </c>
      <c r="F69" t="s">
        <v>10</v>
      </c>
      <c r="G69" t="s">
        <v>78</v>
      </c>
      <c r="H69">
        <v>2026</v>
      </c>
      <c r="I69">
        <v>1892</v>
      </c>
      <c r="J69">
        <v>6</v>
      </c>
      <c r="K69" t="s">
        <v>23</v>
      </c>
      <c r="L69">
        <v>1.2</v>
      </c>
      <c r="M69">
        <v>2.5</v>
      </c>
      <c r="N69">
        <v>5773</v>
      </c>
      <c r="O69" t="s">
        <v>64</v>
      </c>
      <c r="P69">
        <v>67.2</v>
      </c>
      <c r="Q69" t="s">
        <v>56</v>
      </c>
      <c r="R69">
        <v>25.9</v>
      </c>
      <c r="S69">
        <v>34.299999999999997</v>
      </c>
      <c r="T69">
        <v>20.5</v>
      </c>
      <c r="U69">
        <v>1.2</v>
      </c>
      <c r="V69">
        <v>8.6999999999999993</v>
      </c>
      <c r="W69">
        <v>8.3000000000000007</v>
      </c>
      <c r="X69" t="s">
        <v>57</v>
      </c>
    </row>
    <row r="70" spans="2:24" x14ac:dyDescent="0.3">
      <c r="B70" t="s">
        <v>163</v>
      </c>
      <c r="C70" t="s">
        <v>142</v>
      </c>
      <c r="D70" t="s">
        <v>2</v>
      </c>
      <c r="E70" t="s">
        <v>15</v>
      </c>
      <c r="F70" t="s">
        <v>9</v>
      </c>
      <c r="G70" t="s">
        <v>101</v>
      </c>
      <c r="H70">
        <v>2026</v>
      </c>
      <c r="I70">
        <v>4937</v>
      </c>
      <c r="J70">
        <v>12.1</v>
      </c>
      <c r="K70" t="s">
        <v>21</v>
      </c>
      <c r="L70">
        <v>2.5</v>
      </c>
      <c r="M70">
        <v>7.5</v>
      </c>
      <c r="N70">
        <v>4957</v>
      </c>
      <c r="O70" t="s">
        <v>64</v>
      </c>
      <c r="P70">
        <v>81.5</v>
      </c>
      <c r="Q70" t="s">
        <v>76</v>
      </c>
      <c r="R70">
        <v>77.5</v>
      </c>
      <c r="S70">
        <v>59.7</v>
      </c>
      <c r="T70">
        <v>25.9</v>
      </c>
      <c r="U70">
        <v>3.3</v>
      </c>
      <c r="V70">
        <v>8.9</v>
      </c>
      <c r="W70">
        <v>6.8</v>
      </c>
      <c r="X70" t="s">
        <v>116</v>
      </c>
    </row>
    <row r="71" spans="2:24" x14ac:dyDescent="0.3">
      <c r="B71" t="s">
        <v>164</v>
      </c>
      <c r="C71" t="s">
        <v>59</v>
      </c>
      <c r="D71" t="s">
        <v>4</v>
      </c>
      <c r="E71" t="s">
        <v>17</v>
      </c>
      <c r="F71" t="s">
        <v>12</v>
      </c>
      <c r="G71" t="s">
        <v>101</v>
      </c>
      <c r="H71">
        <v>2024</v>
      </c>
      <c r="I71">
        <v>506</v>
      </c>
      <c r="J71">
        <v>6.6</v>
      </c>
      <c r="K71" t="s">
        <v>22</v>
      </c>
      <c r="L71">
        <v>5.0999999999999996</v>
      </c>
      <c r="M71">
        <v>5</v>
      </c>
      <c r="N71">
        <v>3358</v>
      </c>
      <c r="O71" t="s">
        <v>55</v>
      </c>
      <c r="P71">
        <v>43.2</v>
      </c>
      <c r="Q71" t="s">
        <v>125</v>
      </c>
      <c r="R71">
        <v>-26.7</v>
      </c>
      <c r="S71">
        <v>-8.1999999999999993</v>
      </c>
      <c r="T71">
        <v>-9.3000000000000007</v>
      </c>
      <c r="U71">
        <v>4.7</v>
      </c>
      <c r="V71">
        <v>5.3</v>
      </c>
      <c r="W71">
        <v>6.1</v>
      </c>
      <c r="X71" t="s">
        <v>57</v>
      </c>
    </row>
    <row r="72" spans="2:24" x14ac:dyDescent="0.3">
      <c r="B72" t="s">
        <v>165</v>
      </c>
      <c r="C72" t="s">
        <v>92</v>
      </c>
      <c r="D72" t="s">
        <v>7</v>
      </c>
      <c r="E72" t="s">
        <v>17</v>
      </c>
      <c r="F72" t="s">
        <v>9</v>
      </c>
      <c r="G72" t="s">
        <v>54</v>
      </c>
      <c r="H72">
        <v>2026</v>
      </c>
      <c r="I72">
        <v>2010</v>
      </c>
      <c r="J72">
        <v>3.4</v>
      </c>
      <c r="K72" t="s">
        <v>24</v>
      </c>
      <c r="L72">
        <v>1.5</v>
      </c>
      <c r="M72">
        <v>1.1000000000000001</v>
      </c>
      <c r="N72">
        <v>1112</v>
      </c>
      <c r="O72" t="s">
        <v>64</v>
      </c>
      <c r="P72">
        <v>59.6</v>
      </c>
      <c r="Q72" t="s">
        <v>84</v>
      </c>
      <c r="R72">
        <v>-16</v>
      </c>
      <c r="S72">
        <v>-21.4</v>
      </c>
      <c r="T72">
        <v>-11.3</v>
      </c>
      <c r="U72">
        <v>2</v>
      </c>
      <c r="V72">
        <v>4.5</v>
      </c>
      <c r="W72">
        <v>6</v>
      </c>
      <c r="X72" t="s">
        <v>57</v>
      </c>
    </row>
    <row r="73" spans="2:24" x14ac:dyDescent="0.3">
      <c r="B73" t="s">
        <v>166</v>
      </c>
      <c r="C73" t="s">
        <v>90</v>
      </c>
      <c r="D73" t="s">
        <v>2</v>
      </c>
      <c r="E73" t="s">
        <v>18</v>
      </c>
      <c r="F73" t="s">
        <v>9</v>
      </c>
      <c r="G73" t="s">
        <v>60</v>
      </c>
      <c r="H73">
        <v>2024</v>
      </c>
      <c r="I73">
        <v>134</v>
      </c>
      <c r="J73">
        <v>1.9</v>
      </c>
      <c r="K73" t="s">
        <v>21</v>
      </c>
      <c r="L73">
        <v>3.3</v>
      </c>
      <c r="M73">
        <v>3.6</v>
      </c>
      <c r="N73">
        <v>7663</v>
      </c>
      <c r="O73" t="s">
        <v>55</v>
      </c>
      <c r="P73">
        <v>77.099999999999994</v>
      </c>
      <c r="Q73" t="s">
        <v>76</v>
      </c>
      <c r="R73">
        <v>23.3</v>
      </c>
      <c r="S73">
        <v>-19.7</v>
      </c>
      <c r="T73">
        <v>-15.4</v>
      </c>
      <c r="U73">
        <v>3.2</v>
      </c>
      <c r="V73">
        <v>6.6</v>
      </c>
      <c r="W73">
        <v>6.6</v>
      </c>
      <c r="X73" t="s">
        <v>116</v>
      </c>
    </row>
    <row r="74" spans="2:24" x14ac:dyDescent="0.3">
      <c r="B74" t="s">
        <v>167</v>
      </c>
      <c r="C74" t="s">
        <v>90</v>
      </c>
      <c r="D74" t="s">
        <v>5</v>
      </c>
      <c r="E74" t="s">
        <v>14</v>
      </c>
      <c r="F74" t="s">
        <v>9</v>
      </c>
      <c r="G74" t="s">
        <v>131</v>
      </c>
      <c r="H74">
        <v>2026</v>
      </c>
      <c r="I74">
        <v>5476</v>
      </c>
      <c r="J74">
        <v>34</v>
      </c>
      <c r="K74" t="s">
        <v>23</v>
      </c>
      <c r="L74">
        <v>2.2000000000000002</v>
      </c>
      <c r="M74">
        <v>10</v>
      </c>
      <c r="N74">
        <v>1210</v>
      </c>
      <c r="O74" t="s">
        <v>75</v>
      </c>
      <c r="P74">
        <v>33.5</v>
      </c>
      <c r="Q74" t="s">
        <v>65</v>
      </c>
      <c r="R74">
        <v>-0.1</v>
      </c>
      <c r="S74">
        <v>22.4</v>
      </c>
      <c r="T74">
        <v>4.7</v>
      </c>
      <c r="U74">
        <v>3.5</v>
      </c>
      <c r="V74">
        <v>5.6</v>
      </c>
      <c r="W74">
        <v>3.9</v>
      </c>
      <c r="X74" t="s">
        <v>66</v>
      </c>
    </row>
    <row r="75" spans="2:24" x14ac:dyDescent="0.3">
      <c r="B75" t="s">
        <v>168</v>
      </c>
      <c r="C75" t="s">
        <v>139</v>
      </c>
      <c r="D75" t="s">
        <v>8</v>
      </c>
      <c r="E75" t="s">
        <v>14</v>
      </c>
      <c r="F75" t="s">
        <v>12</v>
      </c>
      <c r="G75" t="s">
        <v>69</v>
      </c>
      <c r="H75">
        <v>2025</v>
      </c>
      <c r="I75">
        <v>15643</v>
      </c>
      <c r="J75">
        <v>24.4</v>
      </c>
      <c r="K75" t="s">
        <v>21</v>
      </c>
      <c r="L75">
        <v>5.7</v>
      </c>
      <c r="M75">
        <v>10</v>
      </c>
      <c r="N75">
        <v>1905</v>
      </c>
      <c r="O75" t="s">
        <v>64</v>
      </c>
      <c r="P75">
        <v>61.6</v>
      </c>
      <c r="Q75" t="s">
        <v>65</v>
      </c>
      <c r="R75">
        <v>-4</v>
      </c>
      <c r="S75">
        <v>41.5</v>
      </c>
      <c r="T75">
        <v>16.7</v>
      </c>
      <c r="U75">
        <v>4.2</v>
      </c>
      <c r="V75">
        <v>7.1</v>
      </c>
      <c r="W75">
        <v>5.7</v>
      </c>
      <c r="X75" t="s">
        <v>66</v>
      </c>
    </row>
    <row r="76" spans="2:24" x14ac:dyDescent="0.3">
      <c r="B76" t="s">
        <v>169</v>
      </c>
      <c r="C76" t="s">
        <v>106</v>
      </c>
      <c r="D76" t="s">
        <v>2</v>
      </c>
      <c r="E76" t="s">
        <v>18</v>
      </c>
      <c r="F76" t="s">
        <v>11</v>
      </c>
      <c r="G76" t="s">
        <v>115</v>
      </c>
      <c r="H76">
        <v>2025</v>
      </c>
      <c r="I76">
        <v>13496</v>
      </c>
      <c r="J76">
        <v>13.8</v>
      </c>
      <c r="K76" t="s">
        <v>23</v>
      </c>
      <c r="L76">
        <v>7.5</v>
      </c>
      <c r="M76">
        <v>7.5</v>
      </c>
      <c r="N76">
        <v>2605</v>
      </c>
      <c r="O76" t="s">
        <v>64</v>
      </c>
      <c r="P76">
        <v>39.4</v>
      </c>
      <c r="Q76" t="s">
        <v>56</v>
      </c>
      <c r="R76">
        <v>-17.100000000000001</v>
      </c>
      <c r="S76">
        <v>1.6</v>
      </c>
      <c r="T76">
        <v>1.5</v>
      </c>
      <c r="U76">
        <v>4.5</v>
      </c>
      <c r="V76">
        <v>5.5</v>
      </c>
      <c r="W76">
        <v>4.2</v>
      </c>
      <c r="X76" t="s">
        <v>66</v>
      </c>
    </row>
    <row r="77" spans="2:24" x14ac:dyDescent="0.3">
      <c r="B77" t="s">
        <v>170</v>
      </c>
      <c r="C77" t="s">
        <v>139</v>
      </c>
      <c r="D77" t="s">
        <v>8</v>
      </c>
      <c r="E77" t="s">
        <v>16</v>
      </c>
      <c r="F77" t="s">
        <v>11</v>
      </c>
      <c r="G77" t="s">
        <v>69</v>
      </c>
      <c r="H77">
        <v>2026</v>
      </c>
      <c r="I77">
        <v>9881</v>
      </c>
      <c r="J77">
        <v>20.9</v>
      </c>
      <c r="K77" t="s">
        <v>23</v>
      </c>
      <c r="L77">
        <v>7.3</v>
      </c>
      <c r="M77">
        <v>8.9</v>
      </c>
      <c r="N77">
        <v>1505</v>
      </c>
      <c r="O77" t="s">
        <v>64</v>
      </c>
      <c r="P77">
        <v>76.3</v>
      </c>
      <c r="Q77" t="s">
        <v>56</v>
      </c>
      <c r="R77">
        <v>50.8</v>
      </c>
      <c r="S77">
        <v>-16</v>
      </c>
      <c r="T77">
        <v>-2.9</v>
      </c>
      <c r="U77">
        <v>5.9</v>
      </c>
      <c r="V77">
        <v>5.5</v>
      </c>
      <c r="W77">
        <v>4</v>
      </c>
      <c r="X77" t="s">
        <v>66</v>
      </c>
    </row>
    <row r="78" spans="2:24" x14ac:dyDescent="0.3">
      <c r="B78" t="s">
        <v>171</v>
      </c>
      <c r="C78" t="s">
        <v>97</v>
      </c>
      <c r="D78" t="s">
        <v>3</v>
      </c>
      <c r="E78" t="s">
        <v>15</v>
      </c>
      <c r="F78" t="s">
        <v>11</v>
      </c>
      <c r="G78" t="s">
        <v>74</v>
      </c>
      <c r="H78">
        <v>2024</v>
      </c>
      <c r="I78">
        <v>1808</v>
      </c>
      <c r="J78">
        <v>3</v>
      </c>
      <c r="K78" t="s">
        <v>22</v>
      </c>
      <c r="L78">
        <v>3.2</v>
      </c>
      <c r="M78">
        <v>4.5999999999999996</v>
      </c>
      <c r="N78">
        <v>3769</v>
      </c>
      <c r="O78" t="s">
        <v>55</v>
      </c>
      <c r="P78">
        <v>13.8</v>
      </c>
      <c r="Q78" t="s">
        <v>65</v>
      </c>
      <c r="R78">
        <v>46.7</v>
      </c>
      <c r="S78">
        <v>28.7</v>
      </c>
      <c r="T78">
        <v>8.1</v>
      </c>
      <c r="U78">
        <v>4.3</v>
      </c>
      <c r="V78">
        <v>6.6</v>
      </c>
      <c r="W78">
        <v>8.5</v>
      </c>
      <c r="X78" t="s">
        <v>57</v>
      </c>
    </row>
    <row r="79" spans="2:24" x14ac:dyDescent="0.3">
      <c r="B79" t="s">
        <v>172</v>
      </c>
      <c r="C79" t="s">
        <v>71</v>
      </c>
      <c r="D79" t="s">
        <v>5</v>
      </c>
      <c r="E79" t="s">
        <v>14</v>
      </c>
      <c r="F79" t="s">
        <v>9</v>
      </c>
      <c r="G79" t="s">
        <v>78</v>
      </c>
      <c r="H79">
        <v>2024</v>
      </c>
      <c r="I79">
        <v>1083</v>
      </c>
      <c r="J79">
        <v>17.600000000000001</v>
      </c>
      <c r="K79" t="s">
        <v>24</v>
      </c>
      <c r="L79">
        <v>4.5999999999999996</v>
      </c>
      <c r="M79">
        <v>10</v>
      </c>
      <c r="N79">
        <v>1224</v>
      </c>
      <c r="O79" t="s">
        <v>75</v>
      </c>
      <c r="P79">
        <v>14.5</v>
      </c>
      <c r="Q79" t="s">
        <v>88</v>
      </c>
      <c r="R79">
        <v>26.2</v>
      </c>
      <c r="S79">
        <v>-10.4</v>
      </c>
      <c r="T79">
        <v>-14.2</v>
      </c>
      <c r="U79">
        <v>3.7</v>
      </c>
      <c r="V79">
        <v>5.0999999999999996</v>
      </c>
      <c r="W79">
        <v>3</v>
      </c>
      <c r="X79" t="s">
        <v>116</v>
      </c>
    </row>
    <row r="80" spans="2:24" x14ac:dyDescent="0.3">
      <c r="B80" t="s">
        <v>173</v>
      </c>
      <c r="C80" t="s">
        <v>100</v>
      </c>
      <c r="D80" t="s">
        <v>3</v>
      </c>
      <c r="E80" t="s">
        <v>15</v>
      </c>
      <c r="F80" t="s">
        <v>12</v>
      </c>
      <c r="G80" t="s">
        <v>131</v>
      </c>
      <c r="H80">
        <v>2026</v>
      </c>
      <c r="I80">
        <v>5043</v>
      </c>
      <c r="J80">
        <v>5.4</v>
      </c>
      <c r="K80" t="s">
        <v>25</v>
      </c>
      <c r="L80">
        <v>3.1</v>
      </c>
      <c r="M80">
        <v>2.6</v>
      </c>
      <c r="N80">
        <v>2840</v>
      </c>
      <c r="O80" t="s">
        <v>64</v>
      </c>
      <c r="P80">
        <v>89.7</v>
      </c>
      <c r="Q80" t="s">
        <v>86</v>
      </c>
      <c r="R80">
        <v>79.3</v>
      </c>
      <c r="S80">
        <v>4.3</v>
      </c>
      <c r="T80">
        <v>-7.7</v>
      </c>
      <c r="U80">
        <v>2.2000000000000002</v>
      </c>
      <c r="V80">
        <v>5.5</v>
      </c>
      <c r="W80">
        <v>6.9</v>
      </c>
      <c r="X80" t="s">
        <v>116</v>
      </c>
    </row>
    <row r="81" spans="2:24" x14ac:dyDescent="0.3">
      <c r="B81" t="s">
        <v>174</v>
      </c>
      <c r="C81" t="s">
        <v>73</v>
      </c>
      <c r="D81" t="s">
        <v>3</v>
      </c>
      <c r="E81" t="s">
        <v>17</v>
      </c>
      <c r="F81" t="s">
        <v>10</v>
      </c>
      <c r="G81" t="s">
        <v>98</v>
      </c>
      <c r="H81">
        <v>2024</v>
      </c>
      <c r="I81">
        <v>2567</v>
      </c>
      <c r="J81">
        <v>30.8</v>
      </c>
      <c r="K81" t="s">
        <v>25</v>
      </c>
      <c r="L81">
        <v>3.8</v>
      </c>
      <c r="M81">
        <v>10</v>
      </c>
      <c r="N81">
        <v>367</v>
      </c>
      <c r="O81" t="s">
        <v>75</v>
      </c>
      <c r="P81">
        <v>28.6</v>
      </c>
      <c r="Q81" t="s">
        <v>76</v>
      </c>
      <c r="R81">
        <v>-19.399999999999999</v>
      </c>
      <c r="S81">
        <v>-21.7</v>
      </c>
      <c r="T81">
        <v>-17.899999999999999</v>
      </c>
      <c r="U81">
        <v>4.4000000000000004</v>
      </c>
      <c r="V81">
        <v>5.0999999999999996</v>
      </c>
      <c r="W81">
        <v>2</v>
      </c>
      <c r="X81" t="s">
        <v>66</v>
      </c>
    </row>
    <row r="82" spans="2:24" x14ac:dyDescent="0.3">
      <c r="B82" t="s">
        <v>175</v>
      </c>
      <c r="C82" t="s">
        <v>53</v>
      </c>
      <c r="D82" t="s">
        <v>3</v>
      </c>
      <c r="E82" t="s">
        <v>18</v>
      </c>
      <c r="F82" t="s">
        <v>12</v>
      </c>
      <c r="G82" t="s">
        <v>78</v>
      </c>
      <c r="H82">
        <v>2024</v>
      </c>
      <c r="I82">
        <v>294</v>
      </c>
      <c r="J82">
        <v>8.1999999999999993</v>
      </c>
      <c r="K82" t="s">
        <v>22</v>
      </c>
      <c r="L82">
        <v>7.8</v>
      </c>
      <c r="M82">
        <v>8.6999999999999993</v>
      </c>
      <c r="N82">
        <v>3009</v>
      </c>
      <c r="O82" t="s">
        <v>64</v>
      </c>
      <c r="P82">
        <v>52.8</v>
      </c>
      <c r="Q82" t="s">
        <v>125</v>
      </c>
      <c r="R82">
        <v>64.099999999999994</v>
      </c>
      <c r="S82">
        <v>2.2999999999999998</v>
      </c>
      <c r="T82">
        <v>2.2000000000000002</v>
      </c>
      <c r="U82">
        <v>5</v>
      </c>
      <c r="V82">
        <v>5.5</v>
      </c>
      <c r="W82">
        <v>6.1</v>
      </c>
      <c r="X82" t="s">
        <v>57</v>
      </c>
    </row>
    <row r="83" spans="2:24" x14ac:dyDescent="0.3">
      <c r="B83" t="s">
        <v>176</v>
      </c>
      <c r="C83" t="s">
        <v>71</v>
      </c>
      <c r="D83" t="s">
        <v>5</v>
      </c>
      <c r="E83" t="s">
        <v>19</v>
      </c>
      <c r="F83" t="s">
        <v>11</v>
      </c>
      <c r="G83" t="s">
        <v>115</v>
      </c>
      <c r="H83">
        <v>2025</v>
      </c>
      <c r="I83">
        <v>2662</v>
      </c>
      <c r="J83">
        <v>15</v>
      </c>
      <c r="K83" t="s">
        <v>25</v>
      </c>
      <c r="L83">
        <v>12.7</v>
      </c>
      <c r="M83">
        <v>10</v>
      </c>
      <c r="N83">
        <v>3844</v>
      </c>
      <c r="O83" t="s">
        <v>55</v>
      </c>
      <c r="P83">
        <v>35.1</v>
      </c>
      <c r="Q83" t="s">
        <v>88</v>
      </c>
      <c r="R83">
        <v>3.1</v>
      </c>
      <c r="S83">
        <v>-12.4</v>
      </c>
      <c r="T83">
        <v>-2.9</v>
      </c>
      <c r="U83">
        <v>9.3000000000000007</v>
      </c>
      <c r="V83">
        <v>6.7</v>
      </c>
      <c r="W83">
        <v>3.9</v>
      </c>
      <c r="X83" t="s">
        <v>116</v>
      </c>
    </row>
    <row r="84" spans="2:24" x14ac:dyDescent="0.3">
      <c r="B84" t="s">
        <v>177</v>
      </c>
      <c r="C84" t="s">
        <v>90</v>
      </c>
      <c r="D84" t="s">
        <v>5</v>
      </c>
      <c r="E84" t="s">
        <v>19</v>
      </c>
      <c r="F84" t="s">
        <v>11</v>
      </c>
      <c r="G84" t="s">
        <v>78</v>
      </c>
      <c r="H84">
        <v>2026</v>
      </c>
      <c r="I84">
        <v>2121</v>
      </c>
      <c r="J84">
        <v>9.6999999999999993</v>
      </c>
      <c r="K84" t="s">
        <v>23</v>
      </c>
      <c r="L84">
        <v>2.9</v>
      </c>
      <c r="M84">
        <v>6</v>
      </c>
      <c r="N84">
        <v>919</v>
      </c>
      <c r="O84" t="s">
        <v>64</v>
      </c>
      <c r="P84">
        <v>65.7</v>
      </c>
      <c r="Q84" t="s">
        <v>125</v>
      </c>
      <c r="R84">
        <v>66.2</v>
      </c>
      <c r="S84">
        <v>-7.7</v>
      </c>
      <c r="T84">
        <v>-5.5</v>
      </c>
      <c r="U84">
        <v>2.2000000000000002</v>
      </c>
      <c r="V84">
        <v>7.2</v>
      </c>
      <c r="W84">
        <v>5</v>
      </c>
      <c r="X84" t="s">
        <v>57</v>
      </c>
    </row>
    <row r="85" spans="2:24" x14ac:dyDescent="0.3">
      <c r="B85" t="s">
        <v>178</v>
      </c>
      <c r="C85" t="s">
        <v>68</v>
      </c>
      <c r="D85" t="s">
        <v>8</v>
      </c>
      <c r="E85" t="s">
        <v>15</v>
      </c>
      <c r="F85" t="s">
        <v>9</v>
      </c>
      <c r="G85" t="s">
        <v>98</v>
      </c>
      <c r="H85">
        <v>2024</v>
      </c>
      <c r="I85">
        <v>6831</v>
      </c>
      <c r="J85">
        <v>14.8</v>
      </c>
      <c r="K85" t="s">
        <v>23</v>
      </c>
      <c r="L85">
        <v>3.6</v>
      </c>
      <c r="M85">
        <v>7.8</v>
      </c>
      <c r="N85">
        <v>3626</v>
      </c>
      <c r="O85" t="s">
        <v>64</v>
      </c>
      <c r="P85">
        <v>88.9</v>
      </c>
      <c r="Q85" t="s">
        <v>76</v>
      </c>
      <c r="R85">
        <v>36.200000000000003</v>
      </c>
      <c r="S85">
        <v>3.8</v>
      </c>
      <c r="T85">
        <v>-0.2</v>
      </c>
      <c r="U85">
        <v>3.7</v>
      </c>
      <c r="V85">
        <v>4.0999999999999996</v>
      </c>
      <c r="W85">
        <v>5.6</v>
      </c>
      <c r="X85" t="s">
        <v>116</v>
      </c>
    </row>
    <row r="86" spans="2:24" x14ac:dyDescent="0.3">
      <c r="B86" t="s">
        <v>179</v>
      </c>
      <c r="C86" t="s">
        <v>142</v>
      </c>
      <c r="D86" t="s">
        <v>2</v>
      </c>
      <c r="E86" t="s">
        <v>19</v>
      </c>
      <c r="F86" t="s">
        <v>9</v>
      </c>
      <c r="G86" t="s">
        <v>54</v>
      </c>
      <c r="H86">
        <v>2025</v>
      </c>
      <c r="I86">
        <v>1532</v>
      </c>
      <c r="J86">
        <v>5.2</v>
      </c>
      <c r="K86" t="s">
        <v>23</v>
      </c>
      <c r="L86">
        <v>4.4000000000000004</v>
      </c>
      <c r="M86">
        <v>2.1</v>
      </c>
      <c r="N86">
        <v>5275</v>
      </c>
      <c r="O86" t="s">
        <v>55</v>
      </c>
      <c r="P86">
        <v>75.3</v>
      </c>
      <c r="Q86" t="s">
        <v>56</v>
      </c>
      <c r="R86">
        <v>8.1</v>
      </c>
      <c r="S86">
        <v>15.2</v>
      </c>
      <c r="T86">
        <v>13.5</v>
      </c>
      <c r="U86">
        <v>3.8</v>
      </c>
      <c r="V86">
        <v>6.4</v>
      </c>
      <c r="W86">
        <v>8.3000000000000007</v>
      </c>
      <c r="X86" t="s">
        <v>57</v>
      </c>
    </row>
    <row r="87" spans="2:24" x14ac:dyDescent="0.3">
      <c r="B87" t="s">
        <v>180</v>
      </c>
      <c r="C87" t="s">
        <v>81</v>
      </c>
      <c r="D87" t="s">
        <v>5</v>
      </c>
      <c r="E87" t="s">
        <v>17</v>
      </c>
      <c r="F87" t="s">
        <v>12</v>
      </c>
      <c r="G87" t="s">
        <v>101</v>
      </c>
      <c r="H87">
        <v>2024</v>
      </c>
      <c r="I87">
        <v>7923</v>
      </c>
      <c r="J87">
        <v>9.8000000000000007</v>
      </c>
      <c r="K87" t="s">
        <v>23</v>
      </c>
      <c r="L87">
        <v>4.5999999999999996</v>
      </c>
      <c r="M87">
        <v>9.8000000000000007</v>
      </c>
      <c r="N87">
        <v>1194</v>
      </c>
      <c r="O87" t="s">
        <v>64</v>
      </c>
      <c r="P87">
        <v>87.6</v>
      </c>
      <c r="Q87" t="s">
        <v>76</v>
      </c>
      <c r="R87">
        <v>79.599999999999994</v>
      </c>
      <c r="S87">
        <v>39.799999999999997</v>
      </c>
      <c r="T87">
        <v>17.7</v>
      </c>
      <c r="U87">
        <v>5.8</v>
      </c>
      <c r="V87">
        <v>6.2</v>
      </c>
      <c r="W87">
        <v>6.6</v>
      </c>
      <c r="X87" t="s">
        <v>66</v>
      </c>
    </row>
    <row r="88" spans="2:24" x14ac:dyDescent="0.3">
      <c r="B88" t="s">
        <v>181</v>
      </c>
      <c r="C88" t="s">
        <v>90</v>
      </c>
      <c r="D88" t="s">
        <v>3</v>
      </c>
      <c r="E88" t="s">
        <v>14</v>
      </c>
      <c r="F88" t="s">
        <v>11</v>
      </c>
      <c r="G88" t="s">
        <v>101</v>
      </c>
      <c r="H88">
        <v>2024</v>
      </c>
      <c r="I88">
        <v>7795</v>
      </c>
      <c r="J88">
        <v>23.7</v>
      </c>
      <c r="K88" t="s">
        <v>25</v>
      </c>
      <c r="L88">
        <v>7.8</v>
      </c>
      <c r="M88">
        <v>10</v>
      </c>
      <c r="N88">
        <v>1595</v>
      </c>
      <c r="O88" t="s">
        <v>64</v>
      </c>
      <c r="P88">
        <v>75.099999999999994</v>
      </c>
      <c r="Q88" t="s">
        <v>86</v>
      </c>
      <c r="R88">
        <v>59.5</v>
      </c>
      <c r="S88">
        <v>7.8</v>
      </c>
      <c r="T88">
        <v>-0.6</v>
      </c>
      <c r="U88">
        <v>6.6</v>
      </c>
      <c r="V88">
        <v>6.8</v>
      </c>
      <c r="W88">
        <v>4.4000000000000004</v>
      </c>
      <c r="X88" t="s">
        <v>66</v>
      </c>
    </row>
    <row r="89" spans="2:24" x14ac:dyDescent="0.3">
      <c r="B89" t="s">
        <v>182</v>
      </c>
      <c r="C89" t="s">
        <v>53</v>
      </c>
      <c r="D89" t="s">
        <v>7</v>
      </c>
      <c r="E89" t="s">
        <v>15</v>
      </c>
      <c r="F89" t="s">
        <v>11</v>
      </c>
      <c r="G89" t="s">
        <v>63</v>
      </c>
      <c r="H89">
        <v>2025</v>
      </c>
      <c r="I89">
        <v>2383</v>
      </c>
      <c r="J89">
        <v>6.9</v>
      </c>
      <c r="K89" t="s">
        <v>21</v>
      </c>
      <c r="L89">
        <v>13.3</v>
      </c>
      <c r="M89">
        <v>10</v>
      </c>
      <c r="N89">
        <v>5448</v>
      </c>
      <c r="O89" t="s">
        <v>118</v>
      </c>
      <c r="P89">
        <v>68</v>
      </c>
      <c r="Q89" t="s">
        <v>76</v>
      </c>
      <c r="R89">
        <v>71.400000000000006</v>
      </c>
      <c r="S89">
        <v>1.9</v>
      </c>
      <c r="T89">
        <v>9.8000000000000007</v>
      </c>
      <c r="U89">
        <v>8.1999999999999993</v>
      </c>
      <c r="V89">
        <v>4.7</v>
      </c>
      <c r="W89">
        <v>4.5</v>
      </c>
      <c r="X89" t="s">
        <v>116</v>
      </c>
    </row>
    <row r="90" spans="2:24" x14ac:dyDescent="0.3">
      <c r="B90" t="s">
        <v>183</v>
      </c>
      <c r="C90" t="s">
        <v>53</v>
      </c>
      <c r="D90" t="s">
        <v>2</v>
      </c>
      <c r="E90" t="s">
        <v>18</v>
      </c>
      <c r="F90" t="s">
        <v>10</v>
      </c>
      <c r="G90" t="s">
        <v>74</v>
      </c>
      <c r="H90">
        <v>2024</v>
      </c>
      <c r="I90">
        <v>1019</v>
      </c>
      <c r="J90">
        <v>6.5</v>
      </c>
      <c r="K90" t="s">
        <v>24</v>
      </c>
      <c r="L90">
        <v>8.8000000000000007</v>
      </c>
      <c r="M90">
        <v>5.5</v>
      </c>
      <c r="N90">
        <v>7200</v>
      </c>
      <c r="O90" t="s">
        <v>55</v>
      </c>
      <c r="P90">
        <v>28.9</v>
      </c>
      <c r="Q90" t="s">
        <v>56</v>
      </c>
      <c r="R90">
        <v>12.9</v>
      </c>
      <c r="S90">
        <v>-18.600000000000001</v>
      </c>
      <c r="T90">
        <v>-14</v>
      </c>
      <c r="U90">
        <v>6.6</v>
      </c>
      <c r="V90">
        <v>7.3</v>
      </c>
      <c r="W90">
        <v>5.2</v>
      </c>
      <c r="X90" t="s">
        <v>116</v>
      </c>
    </row>
    <row r="91" spans="2:24" x14ac:dyDescent="0.3">
      <c r="B91" t="s">
        <v>184</v>
      </c>
      <c r="C91" t="s">
        <v>90</v>
      </c>
      <c r="D91" t="s">
        <v>3</v>
      </c>
      <c r="E91" t="s">
        <v>14</v>
      </c>
      <c r="F91" t="s">
        <v>10</v>
      </c>
      <c r="G91" t="s">
        <v>98</v>
      </c>
      <c r="H91">
        <v>2025</v>
      </c>
      <c r="I91">
        <v>17388</v>
      </c>
      <c r="J91">
        <v>13.3</v>
      </c>
      <c r="K91" t="s">
        <v>24</v>
      </c>
      <c r="L91">
        <v>1.7</v>
      </c>
      <c r="M91">
        <v>3.6</v>
      </c>
      <c r="N91">
        <v>665</v>
      </c>
      <c r="O91" t="s">
        <v>64</v>
      </c>
      <c r="P91">
        <v>54.7</v>
      </c>
      <c r="Q91" t="s">
        <v>88</v>
      </c>
      <c r="R91">
        <v>-31.6</v>
      </c>
      <c r="S91">
        <v>-23.6</v>
      </c>
      <c r="T91">
        <v>-2.9</v>
      </c>
      <c r="U91">
        <v>2.5</v>
      </c>
      <c r="V91">
        <v>4.7</v>
      </c>
      <c r="W91">
        <v>5.4</v>
      </c>
      <c r="X91" t="s">
        <v>66</v>
      </c>
    </row>
    <row r="92" spans="2:24" x14ac:dyDescent="0.3">
      <c r="B92" t="s">
        <v>185</v>
      </c>
      <c r="C92" t="s">
        <v>81</v>
      </c>
      <c r="D92" t="s">
        <v>5</v>
      </c>
      <c r="E92" t="s">
        <v>15</v>
      </c>
      <c r="F92" t="s">
        <v>12</v>
      </c>
      <c r="G92" t="s">
        <v>98</v>
      </c>
      <c r="H92">
        <v>2026</v>
      </c>
      <c r="I92">
        <v>1385</v>
      </c>
      <c r="J92">
        <v>4.8</v>
      </c>
      <c r="K92" t="s">
        <v>21</v>
      </c>
      <c r="L92">
        <v>5.0999999999999996</v>
      </c>
      <c r="M92">
        <v>3.6</v>
      </c>
      <c r="N92">
        <v>5462</v>
      </c>
      <c r="O92" t="s">
        <v>55</v>
      </c>
      <c r="P92">
        <v>24.7</v>
      </c>
      <c r="Q92" t="s">
        <v>86</v>
      </c>
      <c r="R92">
        <v>19</v>
      </c>
      <c r="S92">
        <v>-5.8</v>
      </c>
      <c r="T92">
        <v>0.5</v>
      </c>
      <c r="U92">
        <v>3.8</v>
      </c>
      <c r="V92">
        <v>4.5999999999999996</v>
      </c>
      <c r="W92">
        <v>6.3</v>
      </c>
      <c r="X92" t="s">
        <v>57</v>
      </c>
    </row>
    <row r="93" spans="2:24" x14ac:dyDescent="0.3">
      <c r="B93" t="s">
        <v>186</v>
      </c>
      <c r="C93" t="s">
        <v>62</v>
      </c>
      <c r="D93" t="s">
        <v>2</v>
      </c>
      <c r="E93" t="s">
        <v>18</v>
      </c>
      <c r="F93" t="s">
        <v>10</v>
      </c>
      <c r="G93" t="s">
        <v>104</v>
      </c>
      <c r="H93">
        <v>2025</v>
      </c>
      <c r="I93">
        <v>2284</v>
      </c>
      <c r="J93">
        <v>4.4000000000000004</v>
      </c>
      <c r="K93" t="s">
        <v>25</v>
      </c>
      <c r="L93">
        <v>8</v>
      </c>
      <c r="M93">
        <v>6.4</v>
      </c>
      <c r="N93">
        <v>1989</v>
      </c>
      <c r="O93" t="s">
        <v>64</v>
      </c>
      <c r="P93">
        <v>71.5</v>
      </c>
      <c r="Q93" t="s">
        <v>76</v>
      </c>
      <c r="R93">
        <v>31.3</v>
      </c>
      <c r="S93">
        <v>-23.2</v>
      </c>
      <c r="T93">
        <v>-17.3</v>
      </c>
      <c r="U93">
        <v>5.2</v>
      </c>
      <c r="V93">
        <v>5.7</v>
      </c>
      <c r="W93">
        <v>6.2</v>
      </c>
      <c r="X93" t="s">
        <v>57</v>
      </c>
    </row>
    <row r="94" spans="2:24" x14ac:dyDescent="0.3">
      <c r="B94" t="s">
        <v>187</v>
      </c>
      <c r="C94" t="s">
        <v>106</v>
      </c>
      <c r="D94" t="s">
        <v>3</v>
      </c>
      <c r="E94" t="s">
        <v>15</v>
      </c>
      <c r="F94" t="s">
        <v>10</v>
      </c>
      <c r="G94" t="s">
        <v>54</v>
      </c>
      <c r="H94">
        <v>2025</v>
      </c>
      <c r="I94">
        <v>19231</v>
      </c>
      <c r="J94">
        <v>31.3</v>
      </c>
      <c r="K94" t="s">
        <v>24</v>
      </c>
      <c r="L94">
        <v>9.1999999999999993</v>
      </c>
      <c r="M94">
        <v>9.1</v>
      </c>
      <c r="N94">
        <v>1157</v>
      </c>
      <c r="O94" t="s">
        <v>64</v>
      </c>
      <c r="P94">
        <v>14.4</v>
      </c>
      <c r="Q94" t="s">
        <v>84</v>
      </c>
      <c r="R94">
        <v>24.2</v>
      </c>
      <c r="S94">
        <v>-0.3</v>
      </c>
      <c r="T94">
        <v>-7.2</v>
      </c>
      <c r="U94">
        <v>5.9</v>
      </c>
      <c r="V94">
        <v>5.9</v>
      </c>
      <c r="W94">
        <v>2.7</v>
      </c>
      <c r="X94" t="s">
        <v>66</v>
      </c>
    </row>
    <row r="95" spans="2:24" x14ac:dyDescent="0.3">
      <c r="B95" t="s">
        <v>188</v>
      </c>
      <c r="C95" t="s">
        <v>68</v>
      </c>
      <c r="D95" t="s">
        <v>8</v>
      </c>
      <c r="E95" t="s">
        <v>19</v>
      </c>
      <c r="F95" t="s">
        <v>12</v>
      </c>
      <c r="G95" t="s">
        <v>112</v>
      </c>
      <c r="H95">
        <v>2026</v>
      </c>
      <c r="I95">
        <v>4257</v>
      </c>
      <c r="J95">
        <v>9.6999999999999993</v>
      </c>
      <c r="K95" t="s">
        <v>21</v>
      </c>
      <c r="L95">
        <v>3.7</v>
      </c>
      <c r="M95">
        <v>4.7</v>
      </c>
      <c r="N95">
        <v>4032</v>
      </c>
      <c r="O95" t="s">
        <v>64</v>
      </c>
      <c r="P95">
        <v>23.3</v>
      </c>
      <c r="Q95" t="s">
        <v>65</v>
      </c>
      <c r="R95">
        <v>81.900000000000006</v>
      </c>
      <c r="S95">
        <v>4.2</v>
      </c>
      <c r="T95">
        <v>9.9</v>
      </c>
      <c r="U95">
        <v>2.7</v>
      </c>
      <c r="V95">
        <v>6.3</v>
      </c>
      <c r="W95">
        <v>5.6</v>
      </c>
      <c r="X95" t="s">
        <v>116</v>
      </c>
    </row>
    <row r="96" spans="2:24" x14ac:dyDescent="0.3">
      <c r="B96" t="s">
        <v>189</v>
      </c>
      <c r="C96" t="s">
        <v>68</v>
      </c>
      <c r="D96" t="s">
        <v>8</v>
      </c>
      <c r="E96" t="s">
        <v>14</v>
      </c>
      <c r="F96" t="s">
        <v>12</v>
      </c>
      <c r="G96" t="s">
        <v>131</v>
      </c>
      <c r="H96">
        <v>2025</v>
      </c>
      <c r="I96">
        <v>6637</v>
      </c>
      <c r="J96">
        <v>5.3</v>
      </c>
      <c r="K96" t="s">
        <v>21</v>
      </c>
      <c r="L96">
        <v>8.9</v>
      </c>
      <c r="M96">
        <v>10</v>
      </c>
      <c r="N96">
        <v>1416</v>
      </c>
      <c r="O96" t="s">
        <v>55</v>
      </c>
      <c r="P96">
        <v>67.599999999999994</v>
      </c>
      <c r="Q96" t="s">
        <v>86</v>
      </c>
      <c r="R96">
        <v>-20.100000000000001</v>
      </c>
      <c r="S96">
        <v>-21.7</v>
      </c>
      <c r="T96">
        <v>-15.3</v>
      </c>
      <c r="U96">
        <v>9</v>
      </c>
      <c r="V96">
        <v>7</v>
      </c>
      <c r="W96">
        <v>4.0999999999999996</v>
      </c>
      <c r="X96" t="s">
        <v>116</v>
      </c>
    </row>
    <row r="97" spans="2:24" x14ac:dyDescent="0.3">
      <c r="B97" t="s">
        <v>190</v>
      </c>
      <c r="C97" t="s">
        <v>53</v>
      </c>
      <c r="D97" t="s">
        <v>3</v>
      </c>
      <c r="E97" t="s">
        <v>17</v>
      </c>
      <c r="F97" t="s">
        <v>12</v>
      </c>
      <c r="G97" t="s">
        <v>63</v>
      </c>
      <c r="H97">
        <v>2024</v>
      </c>
      <c r="I97">
        <v>1556</v>
      </c>
      <c r="J97">
        <v>9.5</v>
      </c>
      <c r="K97" t="s">
        <v>23</v>
      </c>
      <c r="L97">
        <v>2.7</v>
      </c>
      <c r="M97">
        <v>5.8</v>
      </c>
      <c r="N97">
        <v>2733</v>
      </c>
      <c r="O97" t="s">
        <v>55</v>
      </c>
      <c r="P97">
        <v>32.299999999999997</v>
      </c>
      <c r="Q97" t="s">
        <v>88</v>
      </c>
      <c r="R97">
        <v>-25.7</v>
      </c>
      <c r="S97">
        <v>24.3</v>
      </c>
      <c r="T97">
        <v>4.5</v>
      </c>
      <c r="U97">
        <v>4</v>
      </c>
      <c r="V97">
        <v>6.1</v>
      </c>
      <c r="W97">
        <v>6.4</v>
      </c>
      <c r="X97" t="s">
        <v>57</v>
      </c>
    </row>
    <row r="98" spans="2:24" x14ac:dyDescent="0.3">
      <c r="B98" t="s">
        <v>191</v>
      </c>
      <c r="C98" t="s">
        <v>53</v>
      </c>
      <c r="D98" t="s">
        <v>3</v>
      </c>
      <c r="E98" t="s">
        <v>14</v>
      </c>
      <c r="F98" t="s">
        <v>11</v>
      </c>
      <c r="G98" t="s">
        <v>101</v>
      </c>
      <c r="H98">
        <v>2024</v>
      </c>
      <c r="I98">
        <v>6383</v>
      </c>
      <c r="J98">
        <v>17.100000000000001</v>
      </c>
      <c r="K98" t="s">
        <v>25</v>
      </c>
      <c r="L98">
        <v>5.3</v>
      </c>
      <c r="M98">
        <v>6.4</v>
      </c>
      <c r="N98">
        <v>4881</v>
      </c>
      <c r="O98" t="s">
        <v>64</v>
      </c>
      <c r="P98">
        <v>51.8</v>
      </c>
      <c r="Q98" t="s">
        <v>86</v>
      </c>
      <c r="R98">
        <v>61.2</v>
      </c>
      <c r="S98">
        <v>9.4</v>
      </c>
      <c r="T98">
        <v>-9.4</v>
      </c>
      <c r="U98">
        <v>3.8</v>
      </c>
      <c r="V98">
        <v>7.3</v>
      </c>
      <c r="W98">
        <v>5.0999999999999996</v>
      </c>
      <c r="X98" t="s">
        <v>116</v>
      </c>
    </row>
    <row r="99" spans="2:24" x14ac:dyDescent="0.3">
      <c r="B99" t="s">
        <v>192</v>
      </c>
      <c r="C99" t="s">
        <v>90</v>
      </c>
      <c r="D99" t="s">
        <v>2</v>
      </c>
      <c r="E99" t="s">
        <v>16</v>
      </c>
      <c r="F99" t="s">
        <v>9</v>
      </c>
      <c r="G99" t="s">
        <v>115</v>
      </c>
      <c r="H99">
        <v>2026</v>
      </c>
      <c r="I99">
        <v>1709</v>
      </c>
      <c r="J99">
        <v>23.7</v>
      </c>
      <c r="K99" t="s">
        <v>21</v>
      </c>
      <c r="L99">
        <v>9.3000000000000007</v>
      </c>
      <c r="M99">
        <v>8.6</v>
      </c>
      <c r="N99">
        <v>2101</v>
      </c>
      <c r="O99" t="s">
        <v>64</v>
      </c>
      <c r="P99">
        <v>75.2</v>
      </c>
      <c r="Q99" t="s">
        <v>76</v>
      </c>
      <c r="R99">
        <v>-3.2</v>
      </c>
      <c r="S99">
        <v>54.7</v>
      </c>
      <c r="T99">
        <v>21.1</v>
      </c>
      <c r="U99">
        <v>5.5</v>
      </c>
      <c r="V99">
        <v>5.2</v>
      </c>
      <c r="W99">
        <v>4.7</v>
      </c>
      <c r="X99" t="s">
        <v>66</v>
      </c>
    </row>
    <row r="100" spans="2:24" x14ac:dyDescent="0.3">
      <c r="B100" t="s">
        <v>193</v>
      </c>
      <c r="C100" t="s">
        <v>53</v>
      </c>
      <c r="D100" t="s">
        <v>3</v>
      </c>
      <c r="E100" t="s">
        <v>19</v>
      </c>
      <c r="F100" t="s">
        <v>11</v>
      </c>
      <c r="G100" t="s">
        <v>69</v>
      </c>
      <c r="H100">
        <v>2025</v>
      </c>
      <c r="I100">
        <v>1932</v>
      </c>
      <c r="J100">
        <v>2.8</v>
      </c>
      <c r="K100" t="s">
        <v>21</v>
      </c>
      <c r="L100">
        <v>12.1</v>
      </c>
      <c r="M100">
        <v>10</v>
      </c>
      <c r="N100">
        <v>4157</v>
      </c>
      <c r="O100" t="s">
        <v>55</v>
      </c>
      <c r="P100">
        <v>55.5</v>
      </c>
      <c r="Q100" t="s">
        <v>86</v>
      </c>
      <c r="R100">
        <v>19</v>
      </c>
      <c r="S100">
        <v>3.4</v>
      </c>
      <c r="T100">
        <v>7.1</v>
      </c>
      <c r="U100">
        <v>9.9</v>
      </c>
      <c r="V100">
        <v>8.4</v>
      </c>
      <c r="W100">
        <v>6</v>
      </c>
      <c r="X100" t="s">
        <v>116</v>
      </c>
    </row>
    <row r="101" spans="2:24" x14ac:dyDescent="0.3">
      <c r="B101" t="s">
        <v>194</v>
      </c>
      <c r="C101" t="s">
        <v>122</v>
      </c>
      <c r="D101" t="s">
        <v>2</v>
      </c>
      <c r="E101" t="s">
        <v>19</v>
      </c>
      <c r="F101" t="s">
        <v>10</v>
      </c>
      <c r="G101" t="s">
        <v>74</v>
      </c>
      <c r="H101">
        <v>2024</v>
      </c>
      <c r="I101">
        <v>3975</v>
      </c>
      <c r="J101">
        <v>4.2</v>
      </c>
      <c r="K101" t="s">
        <v>22</v>
      </c>
      <c r="L101">
        <v>6</v>
      </c>
      <c r="M101">
        <v>5.4</v>
      </c>
      <c r="N101">
        <v>4815</v>
      </c>
      <c r="O101" t="s">
        <v>55</v>
      </c>
      <c r="P101">
        <v>20</v>
      </c>
      <c r="Q101" t="s">
        <v>56</v>
      </c>
      <c r="R101">
        <v>-30.2</v>
      </c>
      <c r="S101">
        <v>-7.8</v>
      </c>
      <c r="T101">
        <v>9.3000000000000007</v>
      </c>
      <c r="U101">
        <v>7.5</v>
      </c>
      <c r="V101">
        <v>6.6</v>
      </c>
      <c r="W101">
        <v>5.8</v>
      </c>
      <c r="X101" t="s">
        <v>116</v>
      </c>
    </row>
    <row r="102" spans="2:24" x14ac:dyDescent="0.3">
      <c r="B102" t="s">
        <v>195</v>
      </c>
      <c r="C102" t="s">
        <v>83</v>
      </c>
      <c r="D102" t="s">
        <v>4</v>
      </c>
      <c r="E102" t="s">
        <v>14</v>
      </c>
      <c r="F102" t="s">
        <v>10</v>
      </c>
      <c r="G102" t="s">
        <v>54</v>
      </c>
      <c r="H102">
        <v>2024</v>
      </c>
      <c r="I102">
        <v>3597</v>
      </c>
      <c r="J102">
        <v>4.0999999999999996</v>
      </c>
      <c r="K102" t="s">
        <v>25</v>
      </c>
      <c r="L102">
        <v>4.7</v>
      </c>
      <c r="M102">
        <v>9.8000000000000007</v>
      </c>
      <c r="N102">
        <v>3597</v>
      </c>
      <c r="O102" t="s">
        <v>64</v>
      </c>
      <c r="P102">
        <v>72.2</v>
      </c>
      <c r="Q102" t="s">
        <v>84</v>
      </c>
      <c r="R102">
        <v>44.2</v>
      </c>
      <c r="S102">
        <v>43.8</v>
      </c>
      <c r="T102">
        <v>23</v>
      </c>
      <c r="U102">
        <v>6.6</v>
      </c>
      <c r="V102">
        <v>8</v>
      </c>
      <c r="W102">
        <v>7.8</v>
      </c>
      <c r="X102" t="s">
        <v>116</v>
      </c>
    </row>
    <row r="103" spans="2:24" x14ac:dyDescent="0.3">
      <c r="B103" t="s">
        <v>196</v>
      </c>
      <c r="C103" t="s">
        <v>73</v>
      </c>
      <c r="D103" t="s">
        <v>3</v>
      </c>
      <c r="E103" t="s">
        <v>19</v>
      </c>
      <c r="F103" t="s">
        <v>10</v>
      </c>
      <c r="G103" t="s">
        <v>131</v>
      </c>
      <c r="H103">
        <v>2025</v>
      </c>
      <c r="I103">
        <v>1920</v>
      </c>
      <c r="J103">
        <v>0.3</v>
      </c>
      <c r="K103" t="s">
        <v>22</v>
      </c>
      <c r="L103">
        <v>6.1</v>
      </c>
      <c r="M103">
        <v>3.8</v>
      </c>
      <c r="N103">
        <v>1554</v>
      </c>
      <c r="O103" t="s">
        <v>55</v>
      </c>
      <c r="P103">
        <v>27.4</v>
      </c>
      <c r="Q103" t="s">
        <v>86</v>
      </c>
      <c r="R103">
        <v>-38.5</v>
      </c>
      <c r="S103">
        <v>16.100000000000001</v>
      </c>
      <c r="T103">
        <v>-1.5</v>
      </c>
      <c r="U103">
        <v>3.7</v>
      </c>
      <c r="V103">
        <v>9.1</v>
      </c>
      <c r="W103">
        <v>8.6</v>
      </c>
      <c r="X103" t="s">
        <v>57</v>
      </c>
    </row>
    <row r="104" spans="2:24" x14ac:dyDescent="0.3">
      <c r="B104" t="s">
        <v>197</v>
      </c>
      <c r="C104" t="s">
        <v>83</v>
      </c>
      <c r="D104" t="s">
        <v>4</v>
      </c>
      <c r="E104" t="s">
        <v>19</v>
      </c>
      <c r="F104" t="s">
        <v>10</v>
      </c>
      <c r="G104" t="s">
        <v>104</v>
      </c>
      <c r="H104">
        <v>2024</v>
      </c>
      <c r="I104">
        <v>18740</v>
      </c>
      <c r="J104">
        <v>17.7</v>
      </c>
      <c r="K104" t="s">
        <v>23</v>
      </c>
      <c r="L104">
        <v>2.2000000000000002</v>
      </c>
      <c r="M104">
        <v>4.0999999999999996</v>
      </c>
      <c r="N104">
        <v>488</v>
      </c>
      <c r="O104" t="s">
        <v>75</v>
      </c>
      <c r="P104">
        <v>18.399999999999999</v>
      </c>
      <c r="Q104" t="s">
        <v>56</v>
      </c>
      <c r="R104">
        <v>62.4</v>
      </c>
      <c r="S104">
        <v>-13</v>
      </c>
      <c r="T104">
        <v>-16.600000000000001</v>
      </c>
      <c r="U104">
        <v>2.7</v>
      </c>
      <c r="V104">
        <v>5.8</v>
      </c>
      <c r="W104">
        <v>4.4000000000000004</v>
      </c>
      <c r="X104" t="s">
        <v>66</v>
      </c>
    </row>
    <row r="105" spans="2:24" x14ac:dyDescent="0.3">
      <c r="B105" t="s">
        <v>198</v>
      </c>
      <c r="C105" t="s">
        <v>53</v>
      </c>
      <c r="D105" t="s">
        <v>7</v>
      </c>
      <c r="E105" t="s">
        <v>14</v>
      </c>
      <c r="F105" t="s">
        <v>10</v>
      </c>
      <c r="G105" t="s">
        <v>78</v>
      </c>
      <c r="H105">
        <v>2026</v>
      </c>
      <c r="I105">
        <v>1052</v>
      </c>
      <c r="J105">
        <v>6.3</v>
      </c>
      <c r="K105" t="s">
        <v>23</v>
      </c>
      <c r="L105">
        <v>12.4</v>
      </c>
      <c r="M105">
        <v>8.9</v>
      </c>
      <c r="N105">
        <v>4132</v>
      </c>
      <c r="O105" t="s">
        <v>55</v>
      </c>
      <c r="P105">
        <v>34</v>
      </c>
      <c r="Q105" t="s">
        <v>125</v>
      </c>
      <c r="R105">
        <v>-32.1</v>
      </c>
      <c r="S105">
        <v>51.3</v>
      </c>
      <c r="T105">
        <v>31.8</v>
      </c>
      <c r="U105">
        <v>8.9</v>
      </c>
      <c r="V105">
        <v>10</v>
      </c>
      <c r="W105">
        <v>7.9</v>
      </c>
      <c r="X105" t="s">
        <v>57</v>
      </c>
    </row>
    <row r="106" spans="2:24" x14ac:dyDescent="0.3">
      <c r="B106" t="s">
        <v>199</v>
      </c>
      <c r="C106" t="s">
        <v>159</v>
      </c>
      <c r="D106" t="s">
        <v>7</v>
      </c>
      <c r="E106" t="s">
        <v>14</v>
      </c>
      <c r="F106" t="s">
        <v>12</v>
      </c>
      <c r="G106" t="s">
        <v>104</v>
      </c>
      <c r="H106">
        <v>2024</v>
      </c>
      <c r="I106">
        <v>682</v>
      </c>
      <c r="J106">
        <v>3.6</v>
      </c>
      <c r="K106" t="s">
        <v>22</v>
      </c>
      <c r="L106">
        <v>10.9</v>
      </c>
      <c r="M106">
        <v>6.8</v>
      </c>
      <c r="N106">
        <v>1085</v>
      </c>
      <c r="O106" t="s">
        <v>55</v>
      </c>
      <c r="P106">
        <v>52.8</v>
      </c>
      <c r="Q106" t="s">
        <v>125</v>
      </c>
      <c r="R106">
        <v>19.100000000000001</v>
      </c>
      <c r="S106">
        <v>44.4</v>
      </c>
      <c r="T106">
        <v>19.100000000000001</v>
      </c>
      <c r="U106">
        <v>7.6</v>
      </c>
      <c r="V106">
        <v>9.1999999999999993</v>
      </c>
      <c r="W106">
        <v>7.8</v>
      </c>
      <c r="X106" t="s">
        <v>57</v>
      </c>
    </row>
    <row r="107" spans="2:24" x14ac:dyDescent="0.3">
      <c r="B107" t="s">
        <v>200</v>
      </c>
      <c r="C107" t="s">
        <v>139</v>
      </c>
      <c r="D107" t="s">
        <v>8</v>
      </c>
      <c r="E107" t="s">
        <v>19</v>
      </c>
      <c r="F107" t="s">
        <v>10</v>
      </c>
      <c r="G107" t="s">
        <v>112</v>
      </c>
      <c r="H107">
        <v>2024</v>
      </c>
      <c r="I107">
        <v>5020</v>
      </c>
      <c r="J107">
        <v>17.3</v>
      </c>
      <c r="K107" t="s">
        <v>24</v>
      </c>
      <c r="L107">
        <v>4.5</v>
      </c>
      <c r="M107">
        <v>10</v>
      </c>
      <c r="N107">
        <v>4167</v>
      </c>
      <c r="O107" t="s">
        <v>64</v>
      </c>
      <c r="P107">
        <v>21.5</v>
      </c>
      <c r="Q107" t="s">
        <v>88</v>
      </c>
      <c r="R107">
        <v>-42.3</v>
      </c>
      <c r="S107">
        <v>24.9</v>
      </c>
      <c r="T107">
        <v>6.7</v>
      </c>
      <c r="U107">
        <v>5.6</v>
      </c>
      <c r="V107">
        <v>6.4</v>
      </c>
      <c r="W107">
        <v>4</v>
      </c>
      <c r="X107" t="s">
        <v>116</v>
      </c>
    </row>
    <row r="108" spans="2:24" x14ac:dyDescent="0.3">
      <c r="B108" t="s">
        <v>201</v>
      </c>
      <c r="C108" t="s">
        <v>90</v>
      </c>
      <c r="D108" t="s">
        <v>6</v>
      </c>
      <c r="E108" t="s">
        <v>18</v>
      </c>
      <c r="F108" t="s">
        <v>12</v>
      </c>
      <c r="G108" t="s">
        <v>101</v>
      </c>
      <c r="H108">
        <v>2025</v>
      </c>
      <c r="I108">
        <v>8968</v>
      </c>
      <c r="J108">
        <v>22.2</v>
      </c>
      <c r="K108" t="s">
        <v>23</v>
      </c>
      <c r="L108">
        <v>6.7</v>
      </c>
      <c r="M108">
        <v>9.1999999999999993</v>
      </c>
      <c r="N108">
        <v>1611</v>
      </c>
      <c r="O108" t="s">
        <v>64</v>
      </c>
      <c r="P108">
        <v>24.2</v>
      </c>
      <c r="Q108" t="s">
        <v>88</v>
      </c>
      <c r="R108">
        <v>14.4</v>
      </c>
      <c r="S108">
        <v>-19.100000000000001</v>
      </c>
      <c r="T108">
        <v>-10.3</v>
      </c>
      <c r="U108">
        <v>4.8</v>
      </c>
      <c r="V108">
        <v>5</v>
      </c>
      <c r="W108">
        <v>3.8</v>
      </c>
      <c r="X108" t="s">
        <v>66</v>
      </c>
    </row>
    <row r="109" spans="2:24" x14ac:dyDescent="0.3">
      <c r="B109" t="s">
        <v>202</v>
      </c>
      <c r="C109" t="s">
        <v>137</v>
      </c>
      <c r="D109" t="s">
        <v>3</v>
      </c>
      <c r="E109" t="s">
        <v>15</v>
      </c>
      <c r="F109" t="s">
        <v>9</v>
      </c>
      <c r="G109" t="s">
        <v>131</v>
      </c>
      <c r="H109">
        <v>2025</v>
      </c>
      <c r="I109">
        <v>5838</v>
      </c>
      <c r="J109">
        <v>8.6</v>
      </c>
      <c r="K109" t="s">
        <v>21</v>
      </c>
      <c r="L109">
        <v>1.5</v>
      </c>
      <c r="M109">
        <v>3.1</v>
      </c>
      <c r="N109">
        <v>3415</v>
      </c>
      <c r="O109" t="s">
        <v>64</v>
      </c>
      <c r="P109">
        <v>66.2</v>
      </c>
      <c r="Q109" t="s">
        <v>125</v>
      </c>
      <c r="R109">
        <v>14.6</v>
      </c>
      <c r="S109">
        <v>-13.9</v>
      </c>
      <c r="T109">
        <v>-11.7</v>
      </c>
      <c r="U109">
        <v>1.3</v>
      </c>
      <c r="V109">
        <v>7.4</v>
      </c>
      <c r="W109">
        <v>6.9</v>
      </c>
      <c r="X109" t="s">
        <v>116</v>
      </c>
    </row>
    <row r="110" spans="2:24" x14ac:dyDescent="0.3">
      <c r="B110" t="s">
        <v>203</v>
      </c>
      <c r="C110" t="s">
        <v>90</v>
      </c>
      <c r="D110" t="s">
        <v>6</v>
      </c>
      <c r="E110" t="s">
        <v>17</v>
      </c>
      <c r="F110" t="s">
        <v>9</v>
      </c>
      <c r="G110" t="s">
        <v>101</v>
      </c>
      <c r="H110">
        <v>2024</v>
      </c>
      <c r="I110">
        <v>1739</v>
      </c>
      <c r="J110">
        <v>2.2000000000000002</v>
      </c>
      <c r="K110" t="s">
        <v>24</v>
      </c>
      <c r="L110">
        <v>10</v>
      </c>
      <c r="M110">
        <v>10</v>
      </c>
      <c r="N110">
        <v>1308</v>
      </c>
      <c r="O110" t="s">
        <v>64</v>
      </c>
      <c r="P110">
        <v>86.2</v>
      </c>
      <c r="Q110" t="s">
        <v>76</v>
      </c>
      <c r="R110">
        <v>-24.8</v>
      </c>
      <c r="S110">
        <v>20.7</v>
      </c>
      <c r="T110">
        <v>13.3</v>
      </c>
      <c r="U110">
        <v>8.4</v>
      </c>
      <c r="V110">
        <v>8</v>
      </c>
      <c r="W110">
        <v>5.4</v>
      </c>
      <c r="X110" t="s">
        <v>57</v>
      </c>
    </row>
    <row r="111" spans="2:24" x14ac:dyDescent="0.3">
      <c r="B111" t="s">
        <v>204</v>
      </c>
      <c r="C111" t="s">
        <v>27</v>
      </c>
      <c r="D111" t="s">
        <v>2</v>
      </c>
      <c r="E111" t="s">
        <v>15</v>
      </c>
      <c r="F111" t="s">
        <v>12</v>
      </c>
      <c r="G111" t="s">
        <v>115</v>
      </c>
      <c r="H111">
        <v>2025</v>
      </c>
      <c r="I111">
        <v>130</v>
      </c>
      <c r="J111">
        <v>9.5</v>
      </c>
      <c r="K111" t="s">
        <v>25</v>
      </c>
      <c r="L111">
        <v>8.5</v>
      </c>
      <c r="M111">
        <v>10</v>
      </c>
      <c r="N111">
        <v>8169</v>
      </c>
      <c r="O111" t="s">
        <v>118</v>
      </c>
      <c r="P111">
        <v>63.3</v>
      </c>
      <c r="Q111" t="s">
        <v>76</v>
      </c>
      <c r="R111">
        <v>-43.2</v>
      </c>
      <c r="S111">
        <v>21.1</v>
      </c>
      <c r="T111">
        <v>9.6</v>
      </c>
      <c r="U111">
        <v>9.6</v>
      </c>
      <c r="V111">
        <v>6.9</v>
      </c>
      <c r="W111">
        <v>4.8</v>
      </c>
      <c r="X111" t="s">
        <v>116</v>
      </c>
    </row>
    <row r="112" spans="2:24" x14ac:dyDescent="0.3">
      <c r="B112" t="s">
        <v>205</v>
      </c>
      <c r="C112" t="s">
        <v>142</v>
      </c>
      <c r="D112" t="s">
        <v>8</v>
      </c>
      <c r="E112" t="s">
        <v>15</v>
      </c>
      <c r="F112" t="s">
        <v>10</v>
      </c>
      <c r="G112" t="s">
        <v>69</v>
      </c>
      <c r="H112">
        <v>2025</v>
      </c>
      <c r="I112">
        <v>5430</v>
      </c>
      <c r="J112">
        <v>12.3</v>
      </c>
      <c r="K112" t="s">
        <v>25</v>
      </c>
      <c r="L112">
        <v>8.6</v>
      </c>
      <c r="M112">
        <v>10</v>
      </c>
      <c r="N112">
        <v>1374</v>
      </c>
      <c r="O112" t="s">
        <v>64</v>
      </c>
      <c r="P112">
        <v>39.799999999999997</v>
      </c>
      <c r="Q112" t="s">
        <v>88</v>
      </c>
      <c r="R112">
        <v>21</v>
      </c>
      <c r="S112">
        <v>9.6</v>
      </c>
      <c r="T112">
        <v>13.6</v>
      </c>
      <c r="U112">
        <v>7.5</v>
      </c>
      <c r="V112">
        <v>4.5</v>
      </c>
      <c r="W112">
        <v>4.3</v>
      </c>
      <c r="X112" t="s">
        <v>116</v>
      </c>
    </row>
    <row r="113" spans="2:24" x14ac:dyDescent="0.3">
      <c r="B113" t="s">
        <v>206</v>
      </c>
      <c r="C113" t="s">
        <v>90</v>
      </c>
      <c r="D113" t="s">
        <v>6</v>
      </c>
      <c r="E113" t="s">
        <v>19</v>
      </c>
      <c r="F113" t="s">
        <v>9</v>
      </c>
      <c r="G113" t="s">
        <v>104</v>
      </c>
      <c r="H113">
        <v>2024</v>
      </c>
      <c r="I113">
        <v>1482</v>
      </c>
      <c r="J113">
        <v>9</v>
      </c>
      <c r="K113" t="s">
        <v>24</v>
      </c>
      <c r="L113">
        <v>6.4</v>
      </c>
      <c r="M113">
        <v>10</v>
      </c>
      <c r="N113">
        <v>3492</v>
      </c>
      <c r="O113" t="s">
        <v>55</v>
      </c>
      <c r="P113">
        <v>85.3</v>
      </c>
      <c r="Q113" t="s">
        <v>56</v>
      </c>
      <c r="R113">
        <v>44.7</v>
      </c>
      <c r="S113">
        <v>13.5</v>
      </c>
      <c r="T113">
        <v>14.3</v>
      </c>
      <c r="U113">
        <v>9.8000000000000007</v>
      </c>
      <c r="V113">
        <v>8.5</v>
      </c>
      <c r="W113">
        <v>6.1</v>
      </c>
      <c r="X113" t="s">
        <v>57</v>
      </c>
    </row>
    <row r="114" spans="2:24" x14ac:dyDescent="0.3">
      <c r="B114" t="s">
        <v>207</v>
      </c>
      <c r="C114" t="s">
        <v>71</v>
      </c>
      <c r="D114" t="s">
        <v>5</v>
      </c>
      <c r="E114" t="s">
        <v>18</v>
      </c>
      <c r="F114" t="s">
        <v>9</v>
      </c>
      <c r="G114" t="s">
        <v>101</v>
      </c>
      <c r="H114">
        <v>2026</v>
      </c>
      <c r="I114">
        <v>12017</v>
      </c>
      <c r="J114">
        <v>29.9</v>
      </c>
      <c r="K114" t="s">
        <v>25</v>
      </c>
      <c r="L114">
        <v>8.5</v>
      </c>
      <c r="M114">
        <v>9.6</v>
      </c>
      <c r="N114">
        <v>288</v>
      </c>
      <c r="O114" t="s">
        <v>75</v>
      </c>
      <c r="P114">
        <v>16.5</v>
      </c>
      <c r="Q114" t="s">
        <v>76</v>
      </c>
      <c r="R114">
        <v>83.4</v>
      </c>
      <c r="S114">
        <v>9.6999999999999993</v>
      </c>
      <c r="T114">
        <v>-2.7</v>
      </c>
      <c r="U114">
        <v>6.2</v>
      </c>
      <c r="V114">
        <v>3.1</v>
      </c>
      <c r="W114">
        <v>2.5</v>
      </c>
      <c r="X114" t="s">
        <v>66</v>
      </c>
    </row>
    <row r="115" spans="2:24" x14ac:dyDescent="0.3">
      <c r="B115" t="s">
        <v>208</v>
      </c>
      <c r="C115" t="s">
        <v>68</v>
      </c>
      <c r="D115" t="s">
        <v>8</v>
      </c>
      <c r="E115" t="s">
        <v>18</v>
      </c>
      <c r="F115" t="s">
        <v>10</v>
      </c>
      <c r="G115" t="s">
        <v>63</v>
      </c>
      <c r="H115">
        <v>2024</v>
      </c>
      <c r="I115">
        <v>3818</v>
      </c>
      <c r="J115">
        <v>5.7</v>
      </c>
      <c r="K115" t="s">
        <v>22</v>
      </c>
      <c r="L115">
        <v>14.1</v>
      </c>
      <c r="M115">
        <v>10</v>
      </c>
      <c r="N115">
        <v>5314</v>
      </c>
      <c r="O115" t="s">
        <v>55</v>
      </c>
      <c r="P115">
        <v>24</v>
      </c>
      <c r="Q115" t="s">
        <v>84</v>
      </c>
      <c r="R115">
        <v>-24.9</v>
      </c>
      <c r="S115">
        <v>40.9</v>
      </c>
      <c r="T115">
        <v>17.8</v>
      </c>
      <c r="U115">
        <v>8.4</v>
      </c>
      <c r="V115">
        <v>7.6</v>
      </c>
      <c r="W115">
        <v>7.6</v>
      </c>
      <c r="X115" t="s">
        <v>116</v>
      </c>
    </row>
    <row r="116" spans="2:24" x14ac:dyDescent="0.3">
      <c r="B116" t="s">
        <v>209</v>
      </c>
      <c r="C116" t="s">
        <v>83</v>
      </c>
      <c r="D116" t="s">
        <v>4</v>
      </c>
      <c r="E116" t="s">
        <v>18</v>
      </c>
      <c r="F116" t="s">
        <v>11</v>
      </c>
      <c r="G116" t="s">
        <v>112</v>
      </c>
      <c r="H116">
        <v>2024</v>
      </c>
      <c r="I116">
        <v>6481</v>
      </c>
      <c r="J116">
        <v>22.1</v>
      </c>
      <c r="K116" t="s">
        <v>23</v>
      </c>
      <c r="L116">
        <v>6</v>
      </c>
      <c r="M116">
        <v>10</v>
      </c>
      <c r="N116">
        <v>577</v>
      </c>
      <c r="O116" t="s">
        <v>64</v>
      </c>
      <c r="P116">
        <v>14.8</v>
      </c>
      <c r="Q116" t="s">
        <v>56</v>
      </c>
      <c r="R116">
        <v>-0.6</v>
      </c>
      <c r="S116">
        <v>1.7</v>
      </c>
      <c r="T116">
        <v>-3.2</v>
      </c>
      <c r="U116">
        <v>5</v>
      </c>
      <c r="V116">
        <v>7</v>
      </c>
      <c r="W116">
        <v>2.9</v>
      </c>
      <c r="X116" t="s">
        <v>66</v>
      </c>
    </row>
    <row r="117" spans="2:24" x14ac:dyDescent="0.3">
      <c r="B117" t="s">
        <v>210</v>
      </c>
      <c r="C117" t="s">
        <v>53</v>
      </c>
      <c r="D117" t="s">
        <v>7</v>
      </c>
      <c r="E117" t="s">
        <v>17</v>
      </c>
      <c r="F117" t="s">
        <v>9</v>
      </c>
      <c r="G117" t="s">
        <v>74</v>
      </c>
      <c r="H117">
        <v>2024</v>
      </c>
      <c r="I117">
        <v>17006</v>
      </c>
      <c r="J117">
        <v>10</v>
      </c>
      <c r="K117" t="s">
        <v>24</v>
      </c>
      <c r="L117">
        <v>12.8</v>
      </c>
      <c r="M117">
        <v>9.5</v>
      </c>
      <c r="N117">
        <v>1186</v>
      </c>
      <c r="O117" t="s">
        <v>55</v>
      </c>
      <c r="P117">
        <v>31.2</v>
      </c>
      <c r="Q117" t="s">
        <v>84</v>
      </c>
      <c r="R117">
        <v>83.1</v>
      </c>
      <c r="S117">
        <v>-2.2000000000000002</v>
      </c>
      <c r="T117">
        <v>6.9</v>
      </c>
      <c r="U117">
        <v>9.1999999999999993</v>
      </c>
      <c r="V117">
        <v>4.4000000000000004</v>
      </c>
      <c r="W117">
        <v>5.0999999999999996</v>
      </c>
      <c r="X117" t="s">
        <v>66</v>
      </c>
    </row>
    <row r="118" spans="2:24" x14ac:dyDescent="0.3">
      <c r="B118" t="s">
        <v>211</v>
      </c>
      <c r="C118" t="s">
        <v>90</v>
      </c>
      <c r="D118" t="s">
        <v>5</v>
      </c>
      <c r="E118" t="s">
        <v>18</v>
      </c>
      <c r="F118" t="s">
        <v>11</v>
      </c>
      <c r="G118" t="s">
        <v>101</v>
      </c>
      <c r="H118">
        <v>2025</v>
      </c>
      <c r="I118">
        <v>2741</v>
      </c>
      <c r="J118">
        <v>7.1</v>
      </c>
      <c r="K118" t="s">
        <v>25</v>
      </c>
      <c r="L118">
        <v>6.6</v>
      </c>
      <c r="M118">
        <v>9.1</v>
      </c>
      <c r="N118">
        <v>5209</v>
      </c>
      <c r="O118" t="s">
        <v>55</v>
      </c>
      <c r="P118">
        <v>49.4</v>
      </c>
      <c r="Q118" t="s">
        <v>88</v>
      </c>
      <c r="R118">
        <v>-22.9</v>
      </c>
      <c r="S118">
        <v>-1.5</v>
      </c>
      <c r="T118">
        <v>-8.3000000000000007</v>
      </c>
      <c r="U118">
        <v>6.3</v>
      </c>
      <c r="V118">
        <v>7.2</v>
      </c>
      <c r="W118">
        <v>4.9000000000000004</v>
      </c>
      <c r="X118" t="s">
        <v>116</v>
      </c>
    </row>
    <row r="119" spans="2:24" x14ac:dyDescent="0.3">
      <c r="B119" t="s">
        <v>212</v>
      </c>
      <c r="C119" t="s">
        <v>27</v>
      </c>
      <c r="D119" t="s">
        <v>3</v>
      </c>
      <c r="E119" t="s">
        <v>19</v>
      </c>
      <c r="F119" t="s">
        <v>12</v>
      </c>
      <c r="G119" t="s">
        <v>115</v>
      </c>
      <c r="H119">
        <v>2026</v>
      </c>
      <c r="I119">
        <v>2677</v>
      </c>
      <c r="J119">
        <v>13.6</v>
      </c>
      <c r="K119" t="s">
        <v>22</v>
      </c>
      <c r="L119">
        <v>7.8</v>
      </c>
      <c r="M119">
        <v>7.1</v>
      </c>
      <c r="N119">
        <v>1275</v>
      </c>
      <c r="O119" t="s">
        <v>64</v>
      </c>
      <c r="P119">
        <v>30.7</v>
      </c>
      <c r="Q119" t="s">
        <v>84</v>
      </c>
      <c r="R119">
        <v>-6.5</v>
      </c>
      <c r="S119">
        <v>22.1</v>
      </c>
      <c r="T119">
        <v>-2.5</v>
      </c>
      <c r="U119">
        <v>5.5</v>
      </c>
      <c r="V119">
        <v>5.7</v>
      </c>
      <c r="W119">
        <v>6.6</v>
      </c>
      <c r="X119" t="s">
        <v>116</v>
      </c>
    </row>
    <row r="120" spans="2:24" x14ac:dyDescent="0.3">
      <c r="B120" t="s">
        <v>213</v>
      </c>
      <c r="C120" t="s">
        <v>106</v>
      </c>
      <c r="D120" t="s">
        <v>4</v>
      </c>
      <c r="E120" t="s">
        <v>14</v>
      </c>
      <c r="F120" t="s">
        <v>11</v>
      </c>
      <c r="G120" t="s">
        <v>78</v>
      </c>
      <c r="H120">
        <v>2026</v>
      </c>
      <c r="I120">
        <v>1869</v>
      </c>
      <c r="J120">
        <v>3</v>
      </c>
      <c r="K120" t="s">
        <v>21</v>
      </c>
      <c r="L120">
        <v>4.3</v>
      </c>
      <c r="M120">
        <v>7.3</v>
      </c>
      <c r="N120">
        <v>5879</v>
      </c>
      <c r="O120" t="s">
        <v>55</v>
      </c>
      <c r="P120">
        <v>82.7</v>
      </c>
      <c r="Q120" t="s">
        <v>125</v>
      </c>
      <c r="R120">
        <v>58.8</v>
      </c>
      <c r="S120">
        <v>51.7</v>
      </c>
      <c r="T120">
        <v>20.8</v>
      </c>
      <c r="U120">
        <v>4.2</v>
      </c>
      <c r="V120">
        <v>8.5</v>
      </c>
      <c r="W120">
        <v>8.6999999999999993</v>
      </c>
      <c r="X120" t="s">
        <v>57</v>
      </c>
    </row>
    <row r="121" spans="2:24" x14ac:dyDescent="0.3">
      <c r="B121" t="s">
        <v>214</v>
      </c>
      <c r="C121" t="s">
        <v>142</v>
      </c>
      <c r="D121" t="s">
        <v>8</v>
      </c>
      <c r="E121" t="s">
        <v>19</v>
      </c>
      <c r="F121" t="s">
        <v>9</v>
      </c>
      <c r="G121" t="s">
        <v>60</v>
      </c>
      <c r="H121">
        <v>2026</v>
      </c>
      <c r="I121">
        <v>3836</v>
      </c>
      <c r="J121">
        <v>7.3</v>
      </c>
      <c r="K121" t="s">
        <v>25</v>
      </c>
      <c r="L121">
        <v>8.1</v>
      </c>
      <c r="M121">
        <v>8.5</v>
      </c>
      <c r="N121">
        <v>452</v>
      </c>
      <c r="O121" t="s">
        <v>55</v>
      </c>
      <c r="P121">
        <v>62.1</v>
      </c>
      <c r="Q121" t="s">
        <v>65</v>
      </c>
      <c r="R121">
        <v>58.6</v>
      </c>
      <c r="S121">
        <v>57.7</v>
      </c>
      <c r="T121">
        <v>20.100000000000001</v>
      </c>
      <c r="U121">
        <v>7</v>
      </c>
      <c r="V121">
        <v>6.4</v>
      </c>
      <c r="W121">
        <v>7</v>
      </c>
      <c r="X121" t="s">
        <v>116</v>
      </c>
    </row>
    <row r="122" spans="2:24" x14ac:dyDescent="0.3">
      <c r="B122" t="s">
        <v>215</v>
      </c>
      <c r="C122" t="s">
        <v>53</v>
      </c>
      <c r="D122" t="s">
        <v>7</v>
      </c>
      <c r="E122" t="s">
        <v>14</v>
      </c>
      <c r="F122" t="s">
        <v>9</v>
      </c>
      <c r="G122" t="s">
        <v>131</v>
      </c>
      <c r="H122">
        <v>2024</v>
      </c>
      <c r="I122">
        <v>2073</v>
      </c>
      <c r="J122">
        <v>6.6</v>
      </c>
      <c r="K122" t="s">
        <v>21</v>
      </c>
      <c r="L122">
        <v>5.3</v>
      </c>
      <c r="M122">
        <v>7.4</v>
      </c>
      <c r="N122">
        <v>869</v>
      </c>
      <c r="O122" t="s">
        <v>64</v>
      </c>
      <c r="P122">
        <v>12</v>
      </c>
      <c r="Q122" t="s">
        <v>76</v>
      </c>
      <c r="R122">
        <v>-14.3</v>
      </c>
      <c r="S122">
        <v>9.5</v>
      </c>
      <c r="T122">
        <v>11.5</v>
      </c>
      <c r="U122">
        <v>5.3</v>
      </c>
      <c r="V122">
        <v>8</v>
      </c>
      <c r="W122">
        <v>5.7</v>
      </c>
      <c r="X122" t="s">
        <v>57</v>
      </c>
    </row>
    <row r="123" spans="2:24" x14ac:dyDescent="0.3">
      <c r="B123" t="s">
        <v>216</v>
      </c>
      <c r="C123" t="s">
        <v>68</v>
      </c>
      <c r="D123" t="s">
        <v>8</v>
      </c>
      <c r="E123" t="s">
        <v>16</v>
      </c>
      <c r="F123" t="s">
        <v>9</v>
      </c>
      <c r="G123" t="s">
        <v>115</v>
      </c>
      <c r="H123">
        <v>2024</v>
      </c>
      <c r="I123">
        <v>2015</v>
      </c>
      <c r="J123">
        <v>16.399999999999999</v>
      </c>
      <c r="K123" t="s">
        <v>21</v>
      </c>
      <c r="L123">
        <v>2.2999999999999998</v>
      </c>
      <c r="M123">
        <v>6.5</v>
      </c>
      <c r="N123">
        <v>2963</v>
      </c>
      <c r="O123" t="s">
        <v>75</v>
      </c>
      <c r="P123">
        <v>20.399999999999999</v>
      </c>
      <c r="Q123" t="s">
        <v>84</v>
      </c>
      <c r="R123">
        <v>-24.2</v>
      </c>
      <c r="S123">
        <v>35</v>
      </c>
      <c r="T123">
        <v>5.6</v>
      </c>
      <c r="U123">
        <v>3.2</v>
      </c>
      <c r="V123">
        <v>6.6</v>
      </c>
      <c r="W123">
        <v>6.3</v>
      </c>
      <c r="X123" t="s">
        <v>116</v>
      </c>
    </row>
    <row r="124" spans="2:24" x14ac:dyDescent="0.3">
      <c r="B124" t="s">
        <v>217</v>
      </c>
      <c r="C124" t="s">
        <v>53</v>
      </c>
      <c r="D124" t="s">
        <v>7</v>
      </c>
      <c r="E124" t="s">
        <v>19</v>
      </c>
      <c r="F124" t="s">
        <v>12</v>
      </c>
      <c r="G124" t="s">
        <v>69</v>
      </c>
      <c r="H124">
        <v>2025</v>
      </c>
      <c r="I124">
        <v>36</v>
      </c>
      <c r="J124">
        <v>5.6</v>
      </c>
      <c r="K124" t="s">
        <v>23</v>
      </c>
      <c r="L124">
        <v>3.9</v>
      </c>
      <c r="M124">
        <v>1.3</v>
      </c>
      <c r="N124">
        <v>3447</v>
      </c>
      <c r="O124" t="s">
        <v>64</v>
      </c>
      <c r="P124">
        <v>23.7</v>
      </c>
      <c r="Q124" t="s">
        <v>56</v>
      </c>
      <c r="R124">
        <v>32</v>
      </c>
      <c r="S124">
        <v>48.3</v>
      </c>
      <c r="T124">
        <v>18.399999999999999</v>
      </c>
      <c r="U124">
        <v>2.4</v>
      </c>
      <c r="V124">
        <v>10</v>
      </c>
      <c r="W124">
        <v>9</v>
      </c>
      <c r="X124" t="s">
        <v>57</v>
      </c>
    </row>
    <row r="125" spans="2:24" x14ac:dyDescent="0.3">
      <c r="B125" t="s">
        <v>218</v>
      </c>
      <c r="C125" t="s">
        <v>53</v>
      </c>
      <c r="D125" t="s">
        <v>3</v>
      </c>
      <c r="E125" t="s">
        <v>17</v>
      </c>
      <c r="F125" t="s">
        <v>12</v>
      </c>
      <c r="G125" t="s">
        <v>74</v>
      </c>
      <c r="H125">
        <v>2026</v>
      </c>
      <c r="I125">
        <v>2151</v>
      </c>
      <c r="J125">
        <v>1.6</v>
      </c>
      <c r="K125" t="s">
        <v>23</v>
      </c>
      <c r="L125">
        <v>3</v>
      </c>
      <c r="M125">
        <v>4.7</v>
      </c>
      <c r="N125">
        <v>1902</v>
      </c>
      <c r="O125" t="s">
        <v>55</v>
      </c>
      <c r="P125">
        <v>38.4</v>
      </c>
      <c r="Q125" t="s">
        <v>76</v>
      </c>
      <c r="R125">
        <v>22.9</v>
      </c>
      <c r="S125">
        <v>1.9</v>
      </c>
      <c r="T125">
        <v>7.3</v>
      </c>
      <c r="U125">
        <v>4.9000000000000004</v>
      </c>
      <c r="V125">
        <v>8.4</v>
      </c>
      <c r="W125">
        <v>7.8</v>
      </c>
      <c r="X125" t="s">
        <v>57</v>
      </c>
    </row>
    <row r="126" spans="2:24" x14ac:dyDescent="0.3">
      <c r="B126" t="s">
        <v>219</v>
      </c>
      <c r="C126" t="s">
        <v>92</v>
      </c>
      <c r="D126" t="s">
        <v>7</v>
      </c>
      <c r="E126" t="s">
        <v>14</v>
      </c>
      <c r="F126" t="s">
        <v>12</v>
      </c>
      <c r="G126" t="s">
        <v>131</v>
      </c>
      <c r="H126">
        <v>2025</v>
      </c>
      <c r="I126">
        <v>1377</v>
      </c>
      <c r="J126">
        <v>0.9</v>
      </c>
      <c r="K126" t="s">
        <v>23</v>
      </c>
      <c r="L126">
        <v>4</v>
      </c>
      <c r="M126">
        <v>1.6</v>
      </c>
      <c r="N126">
        <v>3339</v>
      </c>
      <c r="O126" t="s">
        <v>55</v>
      </c>
      <c r="P126">
        <v>50.6</v>
      </c>
      <c r="Q126" t="s">
        <v>56</v>
      </c>
      <c r="R126">
        <v>70.400000000000006</v>
      </c>
      <c r="S126">
        <v>11.7</v>
      </c>
      <c r="T126">
        <v>3.4</v>
      </c>
      <c r="U126">
        <v>2.5</v>
      </c>
      <c r="V126">
        <v>8</v>
      </c>
      <c r="W126">
        <v>8.1</v>
      </c>
      <c r="X126" t="s">
        <v>57</v>
      </c>
    </row>
    <row r="127" spans="2:24" x14ac:dyDescent="0.3">
      <c r="B127" t="s">
        <v>220</v>
      </c>
      <c r="C127" t="s">
        <v>59</v>
      </c>
      <c r="D127" t="s">
        <v>4</v>
      </c>
      <c r="E127" t="s">
        <v>18</v>
      </c>
      <c r="F127" t="s">
        <v>12</v>
      </c>
      <c r="G127" t="s">
        <v>115</v>
      </c>
      <c r="H127">
        <v>2024</v>
      </c>
      <c r="I127">
        <v>623</v>
      </c>
      <c r="J127">
        <v>7.9</v>
      </c>
      <c r="K127" t="s">
        <v>23</v>
      </c>
      <c r="L127">
        <v>6.4</v>
      </c>
      <c r="M127">
        <v>10</v>
      </c>
      <c r="N127">
        <v>1860</v>
      </c>
      <c r="O127" t="s">
        <v>64</v>
      </c>
      <c r="P127">
        <v>75.599999999999994</v>
      </c>
      <c r="Q127" t="s">
        <v>56</v>
      </c>
      <c r="R127">
        <v>28</v>
      </c>
      <c r="S127">
        <v>32.6</v>
      </c>
      <c r="T127">
        <v>18.399999999999999</v>
      </c>
      <c r="U127">
        <v>7.4</v>
      </c>
      <c r="V127">
        <v>9.1999999999999993</v>
      </c>
      <c r="W127">
        <v>6.3</v>
      </c>
      <c r="X127" t="s">
        <v>57</v>
      </c>
    </row>
    <row r="128" spans="2:24" x14ac:dyDescent="0.3">
      <c r="B128" t="s">
        <v>221</v>
      </c>
      <c r="C128" t="s">
        <v>53</v>
      </c>
      <c r="D128" t="s">
        <v>7</v>
      </c>
      <c r="E128" t="s">
        <v>15</v>
      </c>
      <c r="F128" t="s">
        <v>9</v>
      </c>
      <c r="G128" t="s">
        <v>115</v>
      </c>
      <c r="H128">
        <v>2024</v>
      </c>
      <c r="I128">
        <v>15963</v>
      </c>
      <c r="J128">
        <v>33.700000000000003</v>
      </c>
      <c r="K128" t="s">
        <v>22</v>
      </c>
      <c r="L128">
        <v>1.3</v>
      </c>
      <c r="M128">
        <v>6.9</v>
      </c>
      <c r="N128">
        <v>1365</v>
      </c>
      <c r="O128" t="s">
        <v>75</v>
      </c>
      <c r="P128">
        <v>56.4</v>
      </c>
      <c r="Q128" t="s">
        <v>56</v>
      </c>
      <c r="R128">
        <v>78.099999999999994</v>
      </c>
      <c r="S128">
        <v>4.4000000000000004</v>
      </c>
      <c r="T128">
        <v>-5.3</v>
      </c>
      <c r="U128">
        <v>1.3</v>
      </c>
      <c r="V128">
        <v>2.6</v>
      </c>
      <c r="W128">
        <v>2.8</v>
      </c>
      <c r="X128" t="s">
        <v>66</v>
      </c>
    </row>
    <row r="129" spans="2:24" x14ac:dyDescent="0.3">
      <c r="B129" t="s">
        <v>222</v>
      </c>
      <c r="C129" t="s">
        <v>53</v>
      </c>
      <c r="D129" t="s">
        <v>7</v>
      </c>
      <c r="E129" t="s">
        <v>18</v>
      </c>
      <c r="F129" t="s">
        <v>9</v>
      </c>
      <c r="G129" t="s">
        <v>98</v>
      </c>
      <c r="H129">
        <v>2026</v>
      </c>
      <c r="I129">
        <v>14275</v>
      </c>
      <c r="J129">
        <v>8.6</v>
      </c>
      <c r="K129" t="s">
        <v>22</v>
      </c>
      <c r="L129">
        <v>9.5</v>
      </c>
      <c r="M129">
        <v>7.1</v>
      </c>
      <c r="N129">
        <v>373</v>
      </c>
      <c r="O129" t="s">
        <v>64</v>
      </c>
      <c r="P129">
        <v>55.9</v>
      </c>
      <c r="Q129" t="s">
        <v>65</v>
      </c>
      <c r="R129">
        <v>30.2</v>
      </c>
      <c r="S129">
        <v>37.799999999999997</v>
      </c>
      <c r="T129">
        <v>12.1</v>
      </c>
      <c r="U129">
        <v>5.7</v>
      </c>
      <c r="V129">
        <v>8.5</v>
      </c>
      <c r="W129">
        <v>6.7</v>
      </c>
      <c r="X129" t="s">
        <v>66</v>
      </c>
    </row>
    <row r="130" spans="2:24" x14ac:dyDescent="0.3">
      <c r="B130" t="s">
        <v>223</v>
      </c>
      <c r="C130" t="s">
        <v>142</v>
      </c>
      <c r="D130" t="s">
        <v>8</v>
      </c>
      <c r="E130" t="s">
        <v>19</v>
      </c>
      <c r="F130" t="s">
        <v>11</v>
      </c>
      <c r="G130" t="s">
        <v>112</v>
      </c>
      <c r="H130">
        <v>2026</v>
      </c>
      <c r="I130">
        <v>4938</v>
      </c>
      <c r="J130">
        <v>16.100000000000001</v>
      </c>
      <c r="K130" t="s">
        <v>25</v>
      </c>
      <c r="L130">
        <v>5.2</v>
      </c>
      <c r="M130">
        <v>10</v>
      </c>
      <c r="N130">
        <v>2065</v>
      </c>
      <c r="O130" t="s">
        <v>64</v>
      </c>
      <c r="P130">
        <v>25.3</v>
      </c>
      <c r="Q130" t="s">
        <v>56</v>
      </c>
      <c r="R130">
        <v>20.6</v>
      </c>
      <c r="S130">
        <v>31.4</v>
      </c>
      <c r="T130">
        <v>12.5</v>
      </c>
      <c r="U130">
        <v>8.5</v>
      </c>
      <c r="V130">
        <v>8.5</v>
      </c>
      <c r="W130">
        <v>5.8</v>
      </c>
      <c r="X130" t="s">
        <v>116</v>
      </c>
    </row>
    <row r="131" spans="2:24" x14ac:dyDescent="0.3">
      <c r="B131" t="s">
        <v>224</v>
      </c>
      <c r="C131" t="s">
        <v>92</v>
      </c>
      <c r="D131" t="s">
        <v>7</v>
      </c>
      <c r="E131" t="s">
        <v>19</v>
      </c>
      <c r="F131" t="s">
        <v>10</v>
      </c>
      <c r="G131" t="s">
        <v>69</v>
      </c>
      <c r="H131">
        <v>2025</v>
      </c>
      <c r="I131">
        <v>1777</v>
      </c>
      <c r="J131">
        <v>6.9</v>
      </c>
      <c r="K131" t="s">
        <v>21</v>
      </c>
      <c r="L131">
        <v>2.2000000000000002</v>
      </c>
      <c r="M131">
        <v>4.4000000000000004</v>
      </c>
      <c r="N131">
        <v>1974</v>
      </c>
      <c r="O131" t="s">
        <v>64</v>
      </c>
      <c r="P131">
        <v>15.3</v>
      </c>
      <c r="Q131" t="s">
        <v>88</v>
      </c>
      <c r="R131">
        <v>32.200000000000003</v>
      </c>
      <c r="S131">
        <v>52.1</v>
      </c>
      <c r="T131">
        <v>12.7</v>
      </c>
      <c r="U131">
        <v>2.9</v>
      </c>
      <c r="V131">
        <v>8.1</v>
      </c>
      <c r="W131">
        <v>8.8000000000000007</v>
      </c>
      <c r="X131" t="s">
        <v>57</v>
      </c>
    </row>
    <row r="132" spans="2:24" x14ac:dyDescent="0.3">
      <c r="B132" t="s">
        <v>225</v>
      </c>
      <c r="C132" t="s">
        <v>159</v>
      </c>
      <c r="D132" t="s">
        <v>7</v>
      </c>
      <c r="E132" t="s">
        <v>19</v>
      </c>
      <c r="F132" t="s">
        <v>9</v>
      </c>
      <c r="G132" t="s">
        <v>101</v>
      </c>
      <c r="H132">
        <v>2026</v>
      </c>
      <c r="I132">
        <v>4999</v>
      </c>
      <c r="J132">
        <v>3.1</v>
      </c>
      <c r="K132" t="s">
        <v>25</v>
      </c>
      <c r="L132">
        <v>3</v>
      </c>
      <c r="M132">
        <v>1</v>
      </c>
      <c r="N132">
        <v>4188</v>
      </c>
      <c r="O132" t="s">
        <v>55</v>
      </c>
      <c r="P132">
        <v>17.600000000000001</v>
      </c>
      <c r="Q132" t="s">
        <v>84</v>
      </c>
      <c r="R132">
        <v>36.799999999999997</v>
      </c>
      <c r="S132">
        <v>23.5</v>
      </c>
      <c r="T132">
        <v>1.5</v>
      </c>
      <c r="U132">
        <v>3.9</v>
      </c>
      <c r="V132">
        <v>6</v>
      </c>
      <c r="W132">
        <v>8.4</v>
      </c>
      <c r="X132" t="s">
        <v>116</v>
      </c>
    </row>
    <row r="133" spans="2:24" x14ac:dyDescent="0.3">
      <c r="B133" t="s">
        <v>226</v>
      </c>
      <c r="C133" t="s">
        <v>90</v>
      </c>
      <c r="D133" t="s">
        <v>2</v>
      </c>
      <c r="E133" t="s">
        <v>19</v>
      </c>
      <c r="F133" t="s">
        <v>11</v>
      </c>
      <c r="G133" t="s">
        <v>104</v>
      </c>
      <c r="H133">
        <v>2024</v>
      </c>
      <c r="I133">
        <v>4307</v>
      </c>
      <c r="J133">
        <v>9.6999999999999993</v>
      </c>
      <c r="K133" t="s">
        <v>25</v>
      </c>
      <c r="L133">
        <v>10.4</v>
      </c>
      <c r="M133">
        <v>7.5</v>
      </c>
      <c r="N133">
        <v>8069</v>
      </c>
      <c r="O133" t="s">
        <v>118</v>
      </c>
      <c r="P133">
        <v>19.8</v>
      </c>
      <c r="Q133" t="s">
        <v>56</v>
      </c>
      <c r="R133">
        <v>46.2</v>
      </c>
      <c r="S133">
        <v>41.1</v>
      </c>
      <c r="T133">
        <v>18.100000000000001</v>
      </c>
      <c r="U133">
        <v>6.9</v>
      </c>
      <c r="V133">
        <v>8</v>
      </c>
      <c r="W133">
        <v>5.8</v>
      </c>
      <c r="X133" t="s">
        <v>116</v>
      </c>
    </row>
    <row r="134" spans="2:24" x14ac:dyDescent="0.3">
      <c r="B134" t="s">
        <v>227</v>
      </c>
      <c r="C134" t="s">
        <v>62</v>
      </c>
      <c r="D134" t="s">
        <v>2</v>
      </c>
      <c r="E134" t="s">
        <v>18</v>
      </c>
      <c r="F134" t="s">
        <v>10</v>
      </c>
      <c r="G134" t="s">
        <v>112</v>
      </c>
      <c r="H134">
        <v>2025</v>
      </c>
      <c r="I134">
        <v>6969</v>
      </c>
      <c r="J134">
        <v>34.9</v>
      </c>
      <c r="K134" t="s">
        <v>23</v>
      </c>
      <c r="L134">
        <v>3.2</v>
      </c>
      <c r="M134">
        <v>9</v>
      </c>
      <c r="N134">
        <v>8690</v>
      </c>
      <c r="O134" t="s">
        <v>64</v>
      </c>
      <c r="P134">
        <v>32.9</v>
      </c>
      <c r="Q134" t="s">
        <v>56</v>
      </c>
      <c r="R134">
        <v>42.7</v>
      </c>
      <c r="S134">
        <v>-22.9</v>
      </c>
      <c r="T134">
        <v>-12.1</v>
      </c>
      <c r="U134">
        <v>2.6</v>
      </c>
      <c r="V134">
        <v>3.7</v>
      </c>
      <c r="W134">
        <v>1.6</v>
      </c>
      <c r="X134" t="s">
        <v>66</v>
      </c>
    </row>
    <row r="135" spans="2:24" x14ac:dyDescent="0.3">
      <c r="B135" t="s">
        <v>228</v>
      </c>
      <c r="C135" t="s">
        <v>159</v>
      </c>
      <c r="D135" t="s">
        <v>7</v>
      </c>
      <c r="E135" t="s">
        <v>17</v>
      </c>
      <c r="F135" t="s">
        <v>12</v>
      </c>
      <c r="G135" t="s">
        <v>131</v>
      </c>
      <c r="H135">
        <v>2024</v>
      </c>
      <c r="I135">
        <v>6068</v>
      </c>
      <c r="J135">
        <v>16.2</v>
      </c>
      <c r="K135" t="s">
        <v>24</v>
      </c>
      <c r="L135">
        <v>2.2000000000000002</v>
      </c>
      <c r="M135">
        <v>2.7</v>
      </c>
      <c r="N135">
        <v>2854</v>
      </c>
      <c r="O135" t="s">
        <v>64</v>
      </c>
      <c r="P135">
        <v>22</v>
      </c>
      <c r="Q135" t="s">
        <v>56</v>
      </c>
      <c r="R135">
        <v>23.1</v>
      </c>
      <c r="S135">
        <v>24.7</v>
      </c>
      <c r="T135">
        <v>6.1</v>
      </c>
      <c r="U135">
        <v>1.6</v>
      </c>
      <c r="V135">
        <v>6.4</v>
      </c>
      <c r="W135">
        <v>6.2</v>
      </c>
      <c r="X135" t="s">
        <v>116</v>
      </c>
    </row>
    <row r="136" spans="2:24" x14ac:dyDescent="0.3">
      <c r="B136" t="s">
        <v>229</v>
      </c>
      <c r="C136" t="s">
        <v>159</v>
      </c>
      <c r="D136" t="s">
        <v>7</v>
      </c>
      <c r="E136" t="s">
        <v>14</v>
      </c>
      <c r="F136" t="s">
        <v>10</v>
      </c>
      <c r="G136" t="s">
        <v>112</v>
      </c>
      <c r="H136">
        <v>2026</v>
      </c>
      <c r="I136">
        <v>7083</v>
      </c>
      <c r="J136">
        <v>22.3</v>
      </c>
      <c r="K136" t="s">
        <v>25</v>
      </c>
      <c r="L136">
        <v>1.4</v>
      </c>
      <c r="M136">
        <v>6.5</v>
      </c>
      <c r="N136">
        <v>1411</v>
      </c>
      <c r="O136" t="s">
        <v>75</v>
      </c>
      <c r="P136">
        <v>79.099999999999994</v>
      </c>
      <c r="Q136" t="s">
        <v>56</v>
      </c>
      <c r="R136">
        <v>-18.899999999999999</v>
      </c>
      <c r="S136">
        <v>-15.1</v>
      </c>
      <c r="T136">
        <v>-9.6</v>
      </c>
      <c r="U136">
        <v>1.6</v>
      </c>
      <c r="V136">
        <v>4.5</v>
      </c>
      <c r="W136">
        <v>3.4</v>
      </c>
      <c r="X136" t="s">
        <v>66</v>
      </c>
    </row>
    <row r="137" spans="2:24" x14ac:dyDescent="0.3">
      <c r="B137" t="s">
        <v>230</v>
      </c>
      <c r="C137" t="s">
        <v>106</v>
      </c>
      <c r="D137" t="s">
        <v>4</v>
      </c>
      <c r="E137" t="s">
        <v>14</v>
      </c>
      <c r="F137" t="s">
        <v>11</v>
      </c>
      <c r="G137" t="s">
        <v>101</v>
      </c>
      <c r="H137">
        <v>2026</v>
      </c>
      <c r="I137">
        <v>1074</v>
      </c>
      <c r="J137">
        <v>5.5</v>
      </c>
      <c r="K137" t="s">
        <v>22</v>
      </c>
      <c r="L137">
        <v>8.1</v>
      </c>
      <c r="M137">
        <v>7.8</v>
      </c>
      <c r="N137">
        <v>1201</v>
      </c>
      <c r="O137" t="s">
        <v>64</v>
      </c>
      <c r="P137">
        <v>63.3</v>
      </c>
      <c r="Q137" t="s">
        <v>88</v>
      </c>
      <c r="R137">
        <v>17.100000000000001</v>
      </c>
      <c r="S137">
        <v>-8.6</v>
      </c>
      <c r="T137">
        <v>-7.4</v>
      </c>
      <c r="U137">
        <v>6.9</v>
      </c>
      <c r="V137">
        <v>4.4000000000000004</v>
      </c>
      <c r="W137">
        <v>6.4</v>
      </c>
      <c r="X137" t="s">
        <v>57</v>
      </c>
    </row>
    <row r="138" spans="2:24" x14ac:dyDescent="0.3">
      <c r="B138" t="s">
        <v>231</v>
      </c>
      <c r="C138" t="s">
        <v>71</v>
      </c>
      <c r="D138" t="s">
        <v>5</v>
      </c>
      <c r="E138" t="s">
        <v>17</v>
      </c>
      <c r="F138" t="s">
        <v>11</v>
      </c>
      <c r="G138" t="s">
        <v>63</v>
      </c>
      <c r="H138">
        <v>2026</v>
      </c>
      <c r="I138">
        <v>1145</v>
      </c>
      <c r="J138">
        <v>2.7</v>
      </c>
      <c r="K138" t="s">
        <v>25</v>
      </c>
      <c r="L138">
        <v>11.4</v>
      </c>
      <c r="M138">
        <v>10</v>
      </c>
      <c r="N138">
        <v>3720</v>
      </c>
      <c r="O138" t="s">
        <v>55</v>
      </c>
      <c r="P138">
        <v>86.9</v>
      </c>
      <c r="Q138" t="s">
        <v>56</v>
      </c>
      <c r="R138">
        <v>89.5</v>
      </c>
      <c r="S138">
        <v>46.9</v>
      </c>
      <c r="T138">
        <v>24.7</v>
      </c>
      <c r="U138">
        <v>9</v>
      </c>
      <c r="V138">
        <v>6.4</v>
      </c>
      <c r="W138">
        <v>7.9</v>
      </c>
      <c r="X138" t="s">
        <v>57</v>
      </c>
    </row>
    <row r="139" spans="2:24" x14ac:dyDescent="0.3">
      <c r="B139" t="s">
        <v>232</v>
      </c>
      <c r="C139" t="s">
        <v>73</v>
      </c>
      <c r="D139" t="s">
        <v>2</v>
      </c>
      <c r="E139" t="s">
        <v>18</v>
      </c>
      <c r="F139" t="s">
        <v>11</v>
      </c>
      <c r="G139" t="s">
        <v>112</v>
      </c>
      <c r="H139">
        <v>2026</v>
      </c>
      <c r="I139">
        <v>19047</v>
      </c>
      <c r="J139">
        <v>33.9</v>
      </c>
      <c r="K139" t="s">
        <v>21</v>
      </c>
      <c r="L139">
        <v>4.4000000000000004</v>
      </c>
      <c r="M139">
        <v>8.8000000000000007</v>
      </c>
      <c r="N139">
        <v>4872</v>
      </c>
      <c r="O139" t="s">
        <v>75</v>
      </c>
      <c r="P139">
        <v>33.4</v>
      </c>
      <c r="Q139" t="s">
        <v>56</v>
      </c>
      <c r="R139">
        <v>1.2</v>
      </c>
      <c r="S139">
        <v>45.7</v>
      </c>
      <c r="T139">
        <v>5.2</v>
      </c>
      <c r="U139">
        <v>3.1</v>
      </c>
      <c r="V139">
        <v>6.6</v>
      </c>
      <c r="W139">
        <v>3.4</v>
      </c>
      <c r="X139" t="s">
        <v>66</v>
      </c>
    </row>
    <row r="140" spans="2:24" x14ac:dyDescent="0.3">
      <c r="B140" t="s">
        <v>233</v>
      </c>
      <c r="C140" t="s">
        <v>90</v>
      </c>
      <c r="D140" t="s">
        <v>2</v>
      </c>
      <c r="E140" t="s">
        <v>14</v>
      </c>
      <c r="F140" t="s">
        <v>12</v>
      </c>
      <c r="G140" t="s">
        <v>104</v>
      </c>
      <c r="H140">
        <v>2024</v>
      </c>
      <c r="I140">
        <v>10399</v>
      </c>
      <c r="J140">
        <v>12.7</v>
      </c>
      <c r="K140" t="s">
        <v>21</v>
      </c>
      <c r="L140">
        <v>13.6</v>
      </c>
      <c r="M140">
        <v>6.1</v>
      </c>
      <c r="N140">
        <v>7618</v>
      </c>
      <c r="O140" t="s">
        <v>118</v>
      </c>
      <c r="P140">
        <v>84.6</v>
      </c>
      <c r="Q140" t="s">
        <v>76</v>
      </c>
      <c r="R140">
        <v>40.1</v>
      </c>
      <c r="S140">
        <v>37.4</v>
      </c>
      <c r="T140">
        <v>13.4</v>
      </c>
      <c r="U140">
        <v>9.6</v>
      </c>
      <c r="V140">
        <v>8</v>
      </c>
      <c r="W140">
        <v>7</v>
      </c>
      <c r="X140" t="s">
        <v>66</v>
      </c>
    </row>
    <row r="141" spans="2:24" x14ac:dyDescent="0.3">
      <c r="B141" t="s">
        <v>234</v>
      </c>
      <c r="C141" t="s">
        <v>106</v>
      </c>
      <c r="D141" t="s">
        <v>8</v>
      </c>
      <c r="E141" t="s">
        <v>16</v>
      </c>
      <c r="F141" t="s">
        <v>11</v>
      </c>
      <c r="G141" t="s">
        <v>115</v>
      </c>
      <c r="H141">
        <v>2024</v>
      </c>
      <c r="I141">
        <v>12631</v>
      </c>
      <c r="J141">
        <v>36.9</v>
      </c>
      <c r="K141" t="s">
        <v>24</v>
      </c>
      <c r="L141">
        <v>3.8</v>
      </c>
      <c r="M141">
        <v>9.9</v>
      </c>
      <c r="N141">
        <v>193</v>
      </c>
      <c r="O141" t="s">
        <v>75</v>
      </c>
      <c r="P141">
        <v>14</v>
      </c>
      <c r="Q141" t="s">
        <v>56</v>
      </c>
      <c r="R141">
        <v>84.8</v>
      </c>
      <c r="S141">
        <v>-8.9</v>
      </c>
      <c r="T141">
        <v>-9.3000000000000007</v>
      </c>
      <c r="U141">
        <v>3.7</v>
      </c>
      <c r="V141">
        <v>2.2000000000000002</v>
      </c>
      <c r="W141">
        <v>2.5</v>
      </c>
      <c r="X141" t="s">
        <v>66</v>
      </c>
    </row>
    <row r="142" spans="2:24" x14ac:dyDescent="0.3">
      <c r="B142" t="s">
        <v>235</v>
      </c>
      <c r="C142" t="s">
        <v>139</v>
      </c>
      <c r="D142" t="s">
        <v>8</v>
      </c>
      <c r="E142" t="s">
        <v>15</v>
      </c>
      <c r="F142" t="s">
        <v>12</v>
      </c>
      <c r="G142" t="s">
        <v>54</v>
      </c>
      <c r="H142">
        <v>2026</v>
      </c>
      <c r="I142">
        <v>1960</v>
      </c>
      <c r="J142">
        <v>4.4000000000000004</v>
      </c>
      <c r="K142" t="s">
        <v>22</v>
      </c>
      <c r="L142">
        <v>3.4</v>
      </c>
      <c r="M142">
        <v>5.2</v>
      </c>
      <c r="N142">
        <v>619</v>
      </c>
      <c r="O142" t="s">
        <v>64</v>
      </c>
      <c r="P142">
        <v>22.7</v>
      </c>
      <c r="Q142" t="s">
        <v>88</v>
      </c>
      <c r="R142">
        <v>-27.7</v>
      </c>
      <c r="S142">
        <v>11.2</v>
      </c>
      <c r="T142">
        <v>0.7</v>
      </c>
      <c r="U142">
        <v>5.2</v>
      </c>
      <c r="V142">
        <v>8</v>
      </c>
      <c r="W142">
        <v>6.4</v>
      </c>
      <c r="X142" t="s">
        <v>57</v>
      </c>
    </row>
    <row r="143" spans="2:24" x14ac:dyDescent="0.3">
      <c r="B143" t="s">
        <v>236</v>
      </c>
      <c r="C143" t="s">
        <v>90</v>
      </c>
      <c r="D143" t="s">
        <v>3</v>
      </c>
      <c r="E143" t="s">
        <v>15</v>
      </c>
      <c r="F143" t="s">
        <v>9</v>
      </c>
      <c r="G143" t="s">
        <v>101</v>
      </c>
      <c r="H143">
        <v>2024</v>
      </c>
      <c r="I143">
        <v>224</v>
      </c>
      <c r="J143">
        <v>4.5999999999999996</v>
      </c>
      <c r="K143" t="s">
        <v>22</v>
      </c>
      <c r="L143">
        <v>1.9</v>
      </c>
      <c r="M143">
        <v>3.5</v>
      </c>
      <c r="N143">
        <v>4740</v>
      </c>
      <c r="O143" t="s">
        <v>55</v>
      </c>
      <c r="P143">
        <v>15.6</v>
      </c>
      <c r="Q143" t="s">
        <v>76</v>
      </c>
      <c r="R143">
        <v>83.7</v>
      </c>
      <c r="S143">
        <v>21</v>
      </c>
      <c r="T143">
        <v>12.3</v>
      </c>
      <c r="U143">
        <v>1.9</v>
      </c>
      <c r="V143">
        <v>7.5</v>
      </c>
      <c r="W143">
        <v>8.1999999999999993</v>
      </c>
      <c r="X143" t="s">
        <v>57</v>
      </c>
    </row>
    <row r="144" spans="2:24" x14ac:dyDescent="0.3">
      <c r="B144" t="s">
        <v>237</v>
      </c>
      <c r="C144" t="s">
        <v>73</v>
      </c>
      <c r="D144" t="s">
        <v>2</v>
      </c>
      <c r="E144" t="s">
        <v>14</v>
      </c>
      <c r="F144" t="s">
        <v>12</v>
      </c>
      <c r="G144" t="s">
        <v>98</v>
      </c>
      <c r="H144">
        <v>2024</v>
      </c>
      <c r="I144">
        <v>1826</v>
      </c>
      <c r="J144">
        <v>4.4000000000000004</v>
      </c>
      <c r="K144" t="s">
        <v>22</v>
      </c>
      <c r="L144">
        <v>3.5</v>
      </c>
      <c r="M144">
        <v>7.2</v>
      </c>
      <c r="N144">
        <v>4967</v>
      </c>
      <c r="O144" t="s">
        <v>55</v>
      </c>
      <c r="P144">
        <v>28.3</v>
      </c>
      <c r="Q144" t="s">
        <v>76</v>
      </c>
      <c r="R144">
        <v>-40.5</v>
      </c>
      <c r="S144">
        <v>52.6</v>
      </c>
      <c r="T144">
        <v>14.7</v>
      </c>
      <c r="U144">
        <v>5.2</v>
      </c>
      <c r="V144">
        <v>8.8000000000000007</v>
      </c>
      <c r="W144">
        <v>7.2</v>
      </c>
      <c r="X144" t="s">
        <v>57</v>
      </c>
    </row>
    <row r="145" spans="2:24" x14ac:dyDescent="0.3">
      <c r="B145" t="s">
        <v>238</v>
      </c>
      <c r="C145" t="s">
        <v>137</v>
      </c>
      <c r="D145" t="s">
        <v>3</v>
      </c>
      <c r="E145" t="s">
        <v>15</v>
      </c>
      <c r="F145" t="s">
        <v>9</v>
      </c>
      <c r="G145" t="s">
        <v>74</v>
      </c>
      <c r="H145">
        <v>2024</v>
      </c>
      <c r="I145">
        <v>6389</v>
      </c>
      <c r="J145">
        <v>17.7</v>
      </c>
      <c r="K145" t="s">
        <v>25</v>
      </c>
      <c r="L145">
        <v>2.4</v>
      </c>
      <c r="M145">
        <v>7.5</v>
      </c>
      <c r="N145">
        <v>3918</v>
      </c>
      <c r="O145" t="s">
        <v>64</v>
      </c>
      <c r="P145">
        <v>85.2</v>
      </c>
      <c r="Q145" t="s">
        <v>76</v>
      </c>
      <c r="R145">
        <v>27.3</v>
      </c>
      <c r="S145">
        <v>21.2</v>
      </c>
      <c r="T145">
        <v>7.5</v>
      </c>
      <c r="U145">
        <v>2.6</v>
      </c>
      <c r="V145">
        <v>5.8</v>
      </c>
      <c r="W145">
        <v>5.7</v>
      </c>
      <c r="X145" t="s">
        <v>116</v>
      </c>
    </row>
    <row r="146" spans="2:24" x14ac:dyDescent="0.3">
      <c r="B146" t="s">
        <v>239</v>
      </c>
      <c r="C146" t="s">
        <v>106</v>
      </c>
      <c r="D146" t="s">
        <v>4</v>
      </c>
      <c r="E146" t="s">
        <v>14</v>
      </c>
      <c r="F146" t="s">
        <v>12</v>
      </c>
      <c r="G146" t="s">
        <v>74</v>
      </c>
      <c r="H146">
        <v>2026</v>
      </c>
      <c r="I146">
        <v>11786</v>
      </c>
      <c r="J146">
        <v>35.200000000000003</v>
      </c>
      <c r="K146" t="s">
        <v>24</v>
      </c>
      <c r="L146">
        <v>2.2999999999999998</v>
      </c>
      <c r="M146">
        <v>7.8</v>
      </c>
      <c r="N146">
        <v>1893</v>
      </c>
      <c r="O146" t="s">
        <v>75</v>
      </c>
      <c r="P146">
        <v>42.6</v>
      </c>
      <c r="Q146" t="s">
        <v>88</v>
      </c>
      <c r="R146">
        <v>60.5</v>
      </c>
      <c r="S146">
        <v>39.5</v>
      </c>
      <c r="T146">
        <v>5.7</v>
      </c>
      <c r="U146">
        <v>1.7</v>
      </c>
      <c r="V146">
        <v>3.5</v>
      </c>
      <c r="W146">
        <v>3.7</v>
      </c>
      <c r="X146" t="s">
        <v>66</v>
      </c>
    </row>
    <row r="147" spans="2:24" x14ac:dyDescent="0.3">
      <c r="B147" t="s">
        <v>240</v>
      </c>
      <c r="C147" t="s">
        <v>71</v>
      </c>
      <c r="D147" t="s">
        <v>5</v>
      </c>
      <c r="E147" t="s">
        <v>14</v>
      </c>
      <c r="F147" t="s">
        <v>9</v>
      </c>
      <c r="G147" t="s">
        <v>131</v>
      </c>
      <c r="H147">
        <v>2026</v>
      </c>
      <c r="I147">
        <v>126</v>
      </c>
      <c r="J147">
        <v>3.5</v>
      </c>
      <c r="K147" t="s">
        <v>23</v>
      </c>
      <c r="L147">
        <v>8.5</v>
      </c>
      <c r="M147">
        <v>5.8</v>
      </c>
      <c r="N147">
        <v>2487</v>
      </c>
      <c r="O147" t="s">
        <v>55</v>
      </c>
      <c r="P147">
        <v>61.3</v>
      </c>
      <c r="Q147" t="s">
        <v>125</v>
      </c>
      <c r="R147">
        <v>-22.9</v>
      </c>
      <c r="S147">
        <v>7.4</v>
      </c>
      <c r="T147">
        <v>-2.8</v>
      </c>
      <c r="U147">
        <v>5</v>
      </c>
      <c r="V147">
        <v>7.4</v>
      </c>
      <c r="W147">
        <v>7.2</v>
      </c>
      <c r="X147" t="s">
        <v>57</v>
      </c>
    </row>
    <row r="148" spans="2:24" x14ac:dyDescent="0.3">
      <c r="B148" t="s">
        <v>241</v>
      </c>
      <c r="C148" t="s">
        <v>81</v>
      </c>
      <c r="D148" t="s">
        <v>5</v>
      </c>
      <c r="E148" t="s">
        <v>17</v>
      </c>
      <c r="F148" t="s">
        <v>11</v>
      </c>
      <c r="G148" t="s">
        <v>131</v>
      </c>
      <c r="H148">
        <v>2025</v>
      </c>
      <c r="I148">
        <v>755</v>
      </c>
      <c r="J148">
        <v>9.8000000000000007</v>
      </c>
      <c r="K148" t="s">
        <v>25</v>
      </c>
      <c r="L148">
        <v>6</v>
      </c>
      <c r="M148">
        <v>2.5</v>
      </c>
      <c r="N148">
        <v>4805</v>
      </c>
      <c r="O148" t="s">
        <v>55</v>
      </c>
      <c r="P148">
        <v>12.6</v>
      </c>
      <c r="Q148" t="s">
        <v>79</v>
      </c>
      <c r="R148">
        <v>75.8</v>
      </c>
      <c r="S148">
        <v>58.5</v>
      </c>
      <c r="T148">
        <v>25.1</v>
      </c>
      <c r="U148">
        <v>3.8</v>
      </c>
      <c r="V148">
        <v>6.6</v>
      </c>
      <c r="W148">
        <v>9.1</v>
      </c>
      <c r="X148" t="s">
        <v>57</v>
      </c>
    </row>
    <row r="149" spans="2:24" x14ac:dyDescent="0.3">
      <c r="B149" t="s">
        <v>242</v>
      </c>
      <c r="C149" t="s">
        <v>59</v>
      </c>
      <c r="D149" t="s">
        <v>4</v>
      </c>
      <c r="E149" t="s">
        <v>17</v>
      </c>
      <c r="F149" t="s">
        <v>12</v>
      </c>
      <c r="G149" t="s">
        <v>98</v>
      </c>
      <c r="H149">
        <v>2024</v>
      </c>
      <c r="I149">
        <v>560</v>
      </c>
      <c r="J149">
        <v>9.1999999999999993</v>
      </c>
      <c r="K149" t="s">
        <v>21</v>
      </c>
      <c r="L149">
        <v>8</v>
      </c>
      <c r="M149">
        <v>9.6</v>
      </c>
      <c r="N149">
        <v>4492</v>
      </c>
      <c r="O149" t="s">
        <v>55</v>
      </c>
      <c r="P149">
        <v>26.9</v>
      </c>
      <c r="Q149" t="s">
        <v>65</v>
      </c>
      <c r="R149">
        <v>-15.3</v>
      </c>
      <c r="S149">
        <v>12.3</v>
      </c>
      <c r="T149">
        <v>10.6</v>
      </c>
      <c r="U149">
        <v>5.6</v>
      </c>
      <c r="V149">
        <v>7.8</v>
      </c>
      <c r="W149">
        <v>5.4</v>
      </c>
      <c r="X149" t="s">
        <v>57</v>
      </c>
    </row>
    <row r="150" spans="2:24" x14ac:dyDescent="0.3">
      <c r="B150" t="s">
        <v>243</v>
      </c>
      <c r="C150" t="s">
        <v>139</v>
      </c>
      <c r="D150" t="s">
        <v>8</v>
      </c>
      <c r="E150" t="s">
        <v>15</v>
      </c>
      <c r="F150" t="s">
        <v>9</v>
      </c>
      <c r="G150" t="s">
        <v>98</v>
      </c>
      <c r="H150">
        <v>2026</v>
      </c>
      <c r="I150">
        <v>1525</v>
      </c>
      <c r="J150">
        <v>4.5999999999999996</v>
      </c>
      <c r="K150" t="s">
        <v>25</v>
      </c>
      <c r="L150">
        <v>13</v>
      </c>
      <c r="M150">
        <v>10</v>
      </c>
      <c r="N150">
        <v>2395</v>
      </c>
      <c r="O150" t="s">
        <v>55</v>
      </c>
      <c r="P150">
        <v>57.1</v>
      </c>
      <c r="Q150" t="s">
        <v>79</v>
      </c>
      <c r="R150">
        <v>55.6</v>
      </c>
      <c r="S150">
        <v>-6.8</v>
      </c>
      <c r="T150">
        <v>-9.8000000000000007</v>
      </c>
      <c r="U150">
        <v>8.1999999999999993</v>
      </c>
      <c r="V150">
        <v>7.5</v>
      </c>
      <c r="W150">
        <v>6</v>
      </c>
      <c r="X150" t="s">
        <v>57</v>
      </c>
    </row>
    <row r="151" spans="2:24" x14ac:dyDescent="0.3">
      <c r="B151" t="s">
        <v>244</v>
      </c>
      <c r="C151" t="s">
        <v>59</v>
      </c>
      <c r="D151" t="s">
        <v>4</v>
      </c>
      <c r="E151" t="s">
        <v>18</v>
      </c>
      <c r="F151" t="s">
        <v>10</v>
      </c>
      <c r="G151" t="s">
        <v>104</v>
      </c>
      <c r="H151">
        <v>2024</v>
      </c>
      <c r="I151">
        <v>1925</v>
      </c>
      <c r="J151">
        <v>13.2</v>
      </c>
      <c r="K151" t="s">
        <v>23</v>
      </c>
      <c r="L151">
        <v>3.3</v>
      </c>
      <c r="M151">
        <v>5.8</v>
      </c>
      <c r="N151">
        <v>4993</v>
      </c>
      <c r="O151" t="s">
        <v>55</v>
      </c>
      <c r="P151">
        <v>58.8</v>
      </c>
      <c r="Q151" t="s">
        <v>79</v>
      </c>
      <c r="R151">
        <v>4.9000000000000004</v>
      </c>
      <c r="S151">
        <v>16.3</v>
      </c>
      <c r="T151">
        <v>1.3</v>
      </c>
      <c r="U151">
        <v>4.9000000000000004</v>
      </c>
      <c r="V151">
        <v>5</v>
      </c>
      <c r="W151">
        <v>5.4</v>
      </c>
      <c r="X151" t="s">
        <v>116</v>
      </c>
    </row>
    <row r="152" spans="2:24" x14ac:dyDescent="0.3">
      <c r="B152" t="s">
        <v>245</v>
      </c>
      <c r="C152" t="s">
        <v>27</v>
      </c>
      <c r="D152" t="s">
        <v>2</v>
      </c>
      <c r="E152" t="s">
        <v>15</v>
      </c>
      <c r="F152" t="s">
        <v>10</v>
      </c>
      <c r="G152" t="s">
        <v>115</v>
      </c>
      <c r="H152">
        <v>2025</v>
      </c>
      <c r="I152">
        <v>2234</v>
      </c>
      <c r="J152">
        <v>5.3</v>
      </c>
      <c r="K152" t="s">
        <v>25</v>
      </c>
      <c r="L152">
        <v>6.5</v>
      </c>
      <c r="M152">
        <v>5.4</v>
      </c>
      <c r="N152">
        <v>5677</v>
      </c>
      <c r="O152" t="s">
        <v>55</v>
      </c>
      <c r="P152">
        <v>42.2</v>
      </c>
      <c r="Q152" t="s">
        <v>56</v>
      </c>
      <c r="R152">
        <v>85</v>
      </c>
      <c r="S152">
        <v>-14.2</v>
      </c>
      <c r="T152">
        <v>-6.7</v>
      </c>
      <c r="U152">
        <v>4.3</v>
      </c>
      <c r="V152">
        <v>6.1</v>
      </c>
      <c r="W152">
        <v>5.7</v>
      </c>
      <c r="X152" t="s">
        <v>57</v>
      </c>
    </row>
    <row r="153" spans="2:24" x14ac:dyDescent="0.3">
      <c r="B153" t="s">
        <v>246</v>
      </c>
      <c r="C153" t="s">
        <v>92</v>
      </c>
      <c r="D153" t="s">
        <v>7</v>
      </c>
      <c r="E153" t="s">
        <v>17</v>
      </c>
      <c r="F153" t="s">
        <v>10</v>
      </c>
      <c r="G153" t="s">
        <v>112</v>
      </c>
      <c r="H153">
        <v>2026</v>
      </c>
      <c r="I153">
        <v>2486</v>
      </c>
      <c r="J153">
        <v>12.4</v>
      </c>
      <c r="K153" t="s">
        <v>22</v>
      </c>
      <c r="L153">
        <v>2.2000000000000002</v>
      </c>
      <c r="M153">
        <v>5.8</v>
      </c>
      <c r="N153">
        <v>2230</v>
      </c>
      <c r="O153" t="s">
        <v>64</v>
      </c>
      <c r="P153">
        <v>69.5</v>
      </c>
      <c r="Q153" t="s">
        <v>84</v>
      </c>
      <c r="R153">
        <v>63.4</v>
      </c>
      <c r="S153">
        <v>11.7</v>
      </c>
      <c r="T153">
        <v>7.5</v>
      </c>
      <c r="U153">
        <v>1.6</v>
      </c>
      <c r="V153">
        <v>6.2</v>
      </c>
      <c r="W153">
        <v>6.8</v>
      </c>
      <c r="X153" t="s">
        <v>116</v>
      </c>
    </row>
    <row r="154" spans="2:24" x14ac:dyDescent="0.3">
      <c r="B154" t="s">
        <v>247</v>
      </c>
      <c r="C154" t="s">
        <v>90</v>
      </c>
      <c r="D154" t="s">
        <v>5</v>
      </c>
      <c r="E154" t="s">
        <v>14</v>
      </c>
      <c r="F154" t="s">
        <v>12</v>
      </c>
      <c r="G154" t="s">
        <v>131</v>
      </c>
      <c r="H154">
        <v>2024</v>
      </c>
      <c r="I154">
        <v>1758</v>
      </c>
      <c r="J154">
        <v>7.6</v>
      </c>
      <c r="K154" t="s">
        <v>21</v>
      </c>
      <c r="L154">
        <v>9.1</v>
      </c>
      <c r="M154">
        <v>10</v>
      </c>
      <c r="N154">
        <v>4604</v>
      </c>
      <c r="O154" t="s">
        <v>55</v>
      </c>
      <c r="P154">
        <v>44.9</v>
      </c>
      <c r="Q154" t="s">
        <v>65</v>
      </c>
      <c r="R154">
        <v>-5.2</v>
      </c>
      <c r="S154">
        <v>-23.7</v>
      </c>
      <c r="T154">
        <v>-13.5</v>
      </c>
      <c r="U154">
        <v>7.7</v>
      </c>
      <c r="V154">
        <v>4.8</v>
      </c>
      <c r="W154">
        <v>4.4000000000000004</v>
      </c>
      <c r="X154" t="s">
        <v>57</v>
      </c>
    </row>
    <row r="155" spans="2:24" x14ac:dyDescent="0.3">
      <c r="B155" t="s">
        <v>248</v>
      </c>
      <c r="C155" t="s">
        <v>73</v>
      </c>
      <c r="D155" t="s">
        <v>3</v>
      </c>
      <c r="E155" t="s">
        <v>19</v>
      </c>
      <c r="F155" t="s">
        <v>10</v>
      </c>
      <c r="G155" t="s">
        <v>131</v>
      </c>
      <c r="H155">
        <v>2025</v>
      </c>
      <c r="I155">
        <v>335</v>
      </c>
      <c r="J155">
        <v>4.4000000000000004</v>
      </c>
      <c r="K155" t="s">
        <v>23</v>
      </c>
      <c r="L155">
        <v>2.2000000000000002</v>
      </c>
      <c r="M155">
        <v>2</v>
      </c>
      <c r="N155">
        <v>4537</v>
      </c>
      <c r="O155" t="s">
        <v>55</v>
      </c>
      <c r="P155">
        <v>15.6</v>
      </c>
      <c r="Q155" t="s">
        <v>65</v>
      </c>
      <c r="R155">
        <v>-21.7</v>
      </c>
      <c r="S155">
        <v>4.3</v>
      </c>
      <c r="T155">
        <v>-7</v>
      </c>
      <c r="U155">
        <v>2.8</v>
      </c>
      <c r="V155">
        <v>5.9</v>
      </c>
      <c r="W155">
        <v>7.8</v>
      </c>
      <c r="X155" t="s">
        <v>57</v>
      </c>
    </row>
    <row r="156" spans="2:24" x14ac:dyDescent="0.3">
      <c r="B156" t="s">
        <v>249</v>
      </c>
      <c r="C156" t="s">
        <v>90</v>
      </c>
      <c r="D156" t="s">
        <v>3</v>
      </c>
      <c r="E156" t="s">
        <v>19</v>
      </c>
      <c r="F156" t="s">
        <v>9</v>
      </c>
      <c r="G156" t="s">
        <v>74</v>
      </c>
      <c r="H156">
        <v>2025</v>
      </c>
      <c r="I156">
        <v>1721</v>
      </c>
      <c r="J156">
        <v>2.2999999999999998</v>
      </c>
      <c r="K156" t="s">
        <v>23</v>
      </c>
      <c r="L156">
        <v>9.8000000000000007</v>
      </c>
      <c r="M156">
        <v>7.1</v>
      </c>
      <c r="N156">
        <v>3719</v>
      </c>
      <c r="O156" t="s">
        <v>55</v>
      </c>
      <c r="P156">
        <v>81.8</v>
      </c>
      <c r="Q156" t="s">
        <v>125</v>
      </c>
      <c r="R156">
        <v>83.7</v>
      </c>
      <c r="S156">
        <v>16.2</v>
      </c>
      <c r="T156">
        <v>19.2</v>
      </c>
      <c r="U156">
        <v>7.9</v>
      </c>
      <c r="V156">
        <v>5.3</v>
      </c>
      <c r="W156">
        <v>7.6</v>
      </c>
      <c r="X156" t="s">
        <v>57</v>
      </c>
    </row>
    <row r="157" spans="2:24" x14ac:dyDescent="0.3">
      <c r="B157" t="s">
        <v>250</v>
      </c>
      <c r="C157" t="s">
        <v>159</v>
      </c>
      <c r="D157" t="s">
        <v>2</v>
      </c>
      <c r="E157" t="s">
        <v>14</v>
      </c>
      <c r="F157" t="s">
        <v>9</v>
      </c>
      <c r="G157" t="s">
        <v>112</v>
      </c>
      <c r="H157">
        <v>2025</v>
      </c>
      <c r="I157">
        <v>1872</v>
      </c>
      <c r="J157">
        <v>5.3</v>
      </c>
      <c r="K157" t="s">
        <v>21</v>
      </c>
      <c r="L157">
        <v>4.8</v>
      </c>
      <c r="M157">
        <v>5.5</v>
      </c>
      <c r="N157">
        <v>6002</v>
      </c>
      <c r="O157" t="s">
        <v>55</v>
      </c>
      <c r="P157">
        <v>80.5</v>
      </c>
      <c r="Q157" t="s">
        <v>56</v>
      </c>
      <c r="R157">
        <v>47.7</v>
      </c>
      <c r="S157">
        <v>10.4</v>
      </c>
      <c r="T157">
        <v>8.6999999999999993</v>
      </c>
      <c r="U157">
        <v>6.3</v>
      </c>
      <c r="V157">
        <v>6.1</v>
      </c>
      <c r="W157">
        <v>6.9</v>
      </c>
      <c r="X157" t="s">
        <v>57</v>
      </c>
    </row>
    <row r="158" spans="2:24" x14ac:dyDescent="0.3">
      <c r="B158" t="s">
        <v>251</v>
      </c>
      <c r="C158" t="s">
        <v>53</v>
      </c>
      <c r="D158" t="s">
        <v>7</v>
      </c>
      <c r="E158" t="s">
        <v>17</v>
      </c>
      <c r="F158" t="s">
        <v>11</v>
      </c>
      <c r="G158" t="s">
        <v>63</v>
      </c>
      <c r="H158">
        <v>2026</v>
      </c>
      <c r="I158">
        <v>5901</v>
      </c>
      <c r="J158">
        <v>12.2</v>
      </c>
      <c r="K158" t="s">
        <v>21</v>
      </c>
      <c r="L158">
        <v>5.0999999999999996</v>
      </c>
      <c r="M158">
        <v>5.4</v>
      </c>
      <c r="N158">
        <v>3736</v>
      </c>
      <c r="O158" t="s">
        <v>64</v>
      </c>
      <c r="P158">
        <v>40.1</v>
      </c>
      <c r="Q158" t="s">
        <v>86</v>
      </c>
      <c r="R158">
        <v>78.3</v>
      </c>
      <c r="S158">
        <v>10.3</v>
      </c>
      <c r="T158">
        <v>2.5</v>
      </c>
      <c r="U158">
        <v>5.7</v>
      </c>
      <c r="V158">
        <v>5.7</v>
      </c>
      <c r="W158">
        <v>6.3</v>
      </c>
      <c r="X158" t="s">
        <v>116</v>
      </c>
    </row>
    <row r="159" spans="2:24" x14ac:dyDescent="0.3">
      <c r="B159" t="s">
        <v>252</v>
      </c>
      <c r="C159" t="s">
        <v>71</v>
      </c>
      <c r="D159" t="s">
        <v>5</v>
      </c>
      <c r="E159" t="s">
        <v>17</v>
      </c>
      <c r="F159" t="s">
        <v>12</v>
      </c>
      <c r="G159" t="s">
        <v>115</v>
      </c>
      <c r="H159">
        <v>2025</v>
      </c>
      <c r="I159">
        <v>1107</v>
      </c>
      <c r="J159">
        <v>24.1</v>
      </c>
      <c r="K159" t="s">
        <v>25</v>
      </c>
      <c r="L159">
        <v>11.5</v>
      </c>
      <c r="M159">
        <v>10</v>
      </c>
      <c r="N159">
        <v>1497</v>
      </c>
      <c r="O159" t="s">
        <v>64</v>
      </c>
      <c r="P159">
        <v>61</v>
      </c>
      <c r="Q159" t="s">
        <v>79</v>
      </c>
      <c r="R159">
        <v>51.8</v>
      </c>
      <c r="S159">
        <v>45.8</v>
      </c>
      <c r="T159">
        <v>20</v>
      </c>
      <c r="U159">
        <v>8.1</v>
      </c>
      <c r="V159">
        <v>7.8</v>
      </c>
      <c r="W159">
        <v>4.0999999999999996</v>
      </c>
      <c r="X159" t="s">
        <v>66</v>
      </c>
    </row>
    <row r="160" spans="2:24" x14ac:dyDescent="0.3">
      <c r="B160" t="s">
        <v>253</v>
      </c>
      <c r="C160" t="s">
        <v>100</v>
      </c>
      <c r="D160" t="s">
        <v>3</v>
      </c>
      <c r="E160" t="s">
        <v>17</v>
      </c>
      <c r="F160" t="s">
        <v>12</v>
      </c>
      <c r="G160" t="s">
        <v>112</v>
      </c>
      <c r="H160">
        <v>2025</v>
      </c>
      <c r="I160">
        <v>7107</v>
      </c>
      <c r="J160">
        <v>36.299999999999997</v>
      </c>
      <c r="K160" t="s">
        <v>25</v>
      </c>
      <c r="L160">
        <v>1.5</v>
      </c>
      <c r="M160">
        <v>9.3000000000000007</v>
      </c>
      <c r="N160">
        <v>848</v>
      </c>
      <c r="O160" t="s">
        <v>75</v>
      </c>
      <c r="P160">
        <v>68.099999999999994</v>
      </c>
      <c r="Q160" t="s">
        <v>76</v>
      </c>
      <c r="R160">
        <v>67.3</v>
      </c>
      <c r="S160">
        <v>28</v>
      </c>
      <c r="T160">
        <v>4.3</v>
      </c>
      <c r="U160">
        <v>1.3</v>
      </c>
      <c r="V160">
        <v>3.8</v>
      </c>
      <c r="W160">
        <v>3.7</v>
      </c>
      <c r="X160" t="s">
        <v>66</v>
      </c>
    </row>
    <row r="161" spans="2:24" x14ac:dyDescent="0.3">
      <c r="B161" t="s">
        <v>254</v>
      </c>
      <c r="C161" t="s">
        <v>71</v>
      </c>
      <c r="D161" t="s">
        <v>6</v>
      </c>
      <c r="E161" t="s">
        <v>19</v>
      </c>
      <c r="F161" t="s">
        <v>11</v>
      </c>
      <c r="G161" t="s">
        <v>98</v>
      </c>
      <c r="H161">
        <v>2025</v>
      </c>
      <c r="I161">
        <v>602</v>
      </c>
      <c r="J161">
        <v>7.4</v>
      </c>
      <c r="K161" t="s">
        <v>25</v>
      </c>
      <c r="L161">
        <v>4.2</v>
      </c>
      <c r="M161">
        <v>5.6</v>
      </c>
      <c r="N161">
        <v>3342</v>
      </c>
      <c r="O161" t="s">
        <v>55</v>
      </c>
      <c r="P161">
        <v>48.5</v>
      </c>
      <c r="Q161" t="s">
        <v>79</v>
      </c>
      <c r="R161">
        <v>-28.7</v>
      </c>
      <c r="S161">
        <v>11.2</v>
      </c>
      <c r="T161">
        <v>0.4</v>
      </c>
      <c r="U161">
        <v>4.8</v>
      </c>
      <c r="V161">
        <v>5.4</v>
      </c>
      <c r="W161">
        <v>6</v>
      </c>
      <c r="X161" t="s">
        <v>57</v>
      </c>
    </row>
    <row r="162" spans="2:24" x14ac:dyDescent="0.3">
      <c r="B162" t="s">
        <v>255</v>
      </c>
      <c r="C162" t="s">
        <v>106</v>
      </c>
      <c r="D162" t="s">
        <v>3</v>
      </c>
      <c r="E162" t="s">
        <v>18</v>
      </c>
      <c r="F162" t="s">
        <v>12</v>
      </c>
      <c r="G162" t="s">
        <v>101</v>
      </c>
      <c r="H162">
        <v>2024</v>
      </c>
      <c r="I162">
        <v>1238</v>
      </c>
      <c r="J162">
        <v>1.5</v>
      </c>
      <c r="K162" t="s">
        <v>22</v>
      </c>
      <c r="L162">
        <v>4</v>
      </c>
      <c r="M162">
        <v>4.0999999999999996</v>
      </c>
      <c r="N162">
        <v>3008</v>
      </c>
      <c r="O162" t="s">
        <v>55</v>
      </c>
      <c r="P162">
        <v>18.100000000000001</v>
      </c>
      <c r="Q162" t="s">
        <v>79</v>
      </c>
      <c r="R162">
        <v>-18.5</v>
      </c>
      <c r="S162">
        <v>-3.6</v>
      </c>
      <c r="T162">
        <v>-6.9</v>
      </c>
      <c r="U162">
        <v>3.1</v>
      </c>
      <c r="V162">
        <v>8.6</v>
      </c>
      <c r="W162">
        <v>7.6</v>
      </c>
      <c r="X162" t="s">
        <v>116</v>
      </c>
    </row>
    <row r="163" spans="2:24" x14ac:dyDescent="0.3">
      <c r="B163" t="s">
        <v>256</v>
      </c>
      <c r="C163" t="s">
        <v>73</v>
      </c>
      <c r="D163" t="s">
        <v>3</v>
      </c>
      <c r="E163" t="s">
        <v>18</v>
      </c>
      <c r="F163" t="s">
        <v>12</v>
      </c>
      <c r="G163" t="s">
        <v>63</v>
      </c>
      <c r="H163">
        <v>2026</v>
      </c>
      <c r="I163">
        <v>5621</v>
      </c>
      <c r="J163">
        <v>34.6</v>
      </c>
      <c r="K163" t="s">
        <v>23</v>
      </c>
      <c r="L163">
        <v>6.9</v>
      </c>
      <c r="M163">
        <v>10</v>
      </c>
      <c r="N163">
        <v>1987</v>
      </c>
      <c r="O163" t="s">
        <v>75</v>
      </c>
      <c r="P163">
        <v>83.4</v>
      </c>
      <c r="Q163" t="s">
        <v>65</v>
      </c>
      <c r="R163">
        <v>45.7</v>
      </c>
      <c r="S163">
        <v>-24.6</v>
      </c>
      <c r="T163">
        <v>-7.5</v>
      </c>
      <c r="U163">
        <v>8.4</v>
      </c>
      <c r="V163">
        <v>1.9</v>
      </c>
      <c r="W163">
        <v>1</v>
      </c>
      <c r="X163" t="s">
        <v>66</v>
      </c>
    </row>
    <row r="164" spans="2:24" x14ac:dyDescent="0.3">
      <c r="B164" t="s">
        <v>257</v>
      </c>
      <c r="C164" t="s">
        <v>53</v>
      </c>
      <c r="D164" t="s">
        <v>4</v>
      </c>
      <c r="E164" t="s">
        <v>17</v>
      </c>
      <c r="F164" t="s">
        <v>12</v>
      </c>
      <c r="G164" t="s">
        <v>54</v>
      </c>
      <c r="H164">
        <v>2024</v>
      </c>
      <c r="I164">
        <v>417</v>
      </c>
      <c r="J164">
        <v>1.7</v>
      </c>
      <c r="K164" t="s">
        <v>24</v>
      </c>
      <c r="L164">
        <v>5.4</v>
      </c>
      <c r="M164">
        <v>3.5</v>
      </c>
      <c r="N164">
        <v>4998</v>
      </c>
      <c r="O164" t="s">
        <v>55</v>
      </c>
      <c r="P164">
        <v>35.799999999999997</v>
      </c>
      <c r="Q164" t="s">
        <v>56</v>
      </c>
      <c r="R164">
        <v>-34.9</v>
      </c>
      <c r="S164">
        <v>55.2</v>
      </c>
      <c r="T164">
        <v>20.6</v>
      </c>
      <c r="U164">
        <v>3.5</v>
      </c>
      <c r="V164">
        <v>10</v>
      </c>
      <c r="W164">
        <v>9.3000000000000007</v>
      </c>
      <c r="X164" t="s">
        <v>57</v>
      </c>
    </row>
    <row r="165" spans="2:24" x14ac:dyDescent="0.3">
      <c r="B165" t="s">
        <v>258</v>
      </c>
      <c r="C165" t="s">
        <v>106</v>
      </c>
      <c r="D165" t="s">
        <v>3</v>
      </c>
      <c r="E165" t="s">
        <v>17</v>
      </c>
      <c r="F165" t="s">
        <v>9</v>
      </c>
      <c r="G165" t="s">
        <v>98</v>
      </c>
      <c r="H165">
        <v>2024</v>
      </c>
      <c r="I165">
        <v>1931</v>
      </c>
      <c r="J165">
        <v>4.2</v>
      </c>
      <c r="K165" t="s">
        <v>25</v>
      </c>
      <c r="L165">
        <v>13.7</v>
      </c>
      <c r="M165">
        <v>5.6</v>
      </c>
      <c r="N165">
        <v>5625</v>
      </c>
      <c r="O165" t="s">
        <v>55</v>
      </c>
      <c r="P165">
        <v>61.5</v>
      </c>
      <c r="Q165" t="s">
        <v>86</v>
      </c>
      <c r="R165">
        <v>75.599999999999994</v>
      </c>
      <c r="S165">
        <v>8.1</v>
      </c>
      <c r="T165">
        <v>3.1</v>
      </c>
      <c r="U165">
        <v>9.8000000000000007</v>
      </c>
      <c r="V165">
        <v>6.8</v>
      </c>
      <c r="W165">
        <v>6.5</v>
      </c>
      <c r="X165" t="s">
        <v>57</v>
      </c>
    </row>
    <row r="166" spans="2:24" x14ac:dyDescent="0.3">
      <c r="B166" t="s">
        <v>259</v>
      </c>
      <c r="C166" t="s">
        <v>142</v>
      </c>
      <c r="D166" t="s">
        <v>8</v>
      </c>
      <c r="E166" t="s">
        <v>19</v>
      </c>
      <c r="F166" t="s">
        <v>10</v>
      </c>
      <c r="G166" t="s">
        <v>131</v>
      </c>
      <c r="H166">
        <v>2024</v>
      </c>
      <c r="I166">
        <v>1193</v>
      </c>
      <c r="J166">
        <v>5.6</v>
      </c>
      <c r="K166" t="s">
        <v>21</v>
      </c>
      <c r="L166">
        <v>3.3</v>
      </c>
      <c r="M166">
        <v>5.5</v>
      </c>
      <c r="N166">
        <v>5030</v>
      </c>
      <c r="O166" t="s">
        <v>55</v>
      </c>
      <c r="P166">
        <v>61.1</v>
      </c>
      <c r="Q166" t="s">
        <v>79</v>
      </c>
      <c r="R166">
        <v>83.8</v>
      </c>
      <c r="S166">
        <v>40.9</v>
      </c>
      <c r="T166">
        <v>22.7</v>
      </c>
      <c r="U166">
        <v>3.9</v>
      </c>
      <c r="V166">
        <v>7.9</v>
      </c>
      <c r="W166">
        <v>6.9</v>
      </c>
      <c r="X166" t="s">
        <v>57</v>
      </c>
    </row>
    <row r="167" spans="2:24" x14ac:dyDescent="0.3">
      <c r="B167" t="s">
        <v>260</v>
      </c>
      <c r="C167" t="s">
        <v>159</v>
      </c>
      <c r="D167" t="s">
        <v>2</v>
      </c>
      <c r="E167" t="s">
        <v>17</v>
      </c>
      <c r="F167" t="s">
        <v>12</v>
      </c>
      <c r="G167" t="s">
        <v>131</v>
      </c>
      <c r="H167">
        <v>2024</v>
      </c>
      <c r="I167">
        <v>2411</v>
      </c>
      <c r="J167">
        <v>14.9</v>
      </c>
      <c r="K167" t="s">
        <v>25</v>
      </c>
      <c r="L167">
        <v>11.9</v>
      </c>
      <c r="M167">
        <v>7.6</v>
      </c>
      <c r="N167">
        <v>9272</v>
      </c>
      <c r="O167" t="s">
        <v>118</v>
      </c>
      <c r="P167">
        <v>38.6</v>
      </c>
      <c r="Q167" t="s">
        <v>56</v>
      </c>
      <c r="R167">
        <v>51</v>
      </c>
      <c r="S167">
        <v>0.1</v>
      </c>
      <c r="T167">
        <v>2.1</v>
      </c>
      <c r="U167">
        <v>9.9</v>
      </c>
      <c r="V167">
        <v>7.6</v>
      </c>
      <c r="W167">
        <v>5.6</v>
      </c>
      <c r="X167" t="s">
        <v>116</v>
      </c>
    </row>
    <row r="168" spans="2:24" x14ac:dyDescent="0.3">
      <c r="B168" t="s">
        <v>261</v>
      </c>
      <c r="C168" t="s">
        <v>106</v>
      </c>
      <c r="D168" t="s">
        <v>8</v>
      </c>
      <c r="E168" t="s">
        <v>17</v>
      </c>
      <c r="F168" t="s">
        <v>9</v>
      </c>
      <c r="G168" t="s">
        <v>131</v>
      </c>
      <c r="H168">
        <v>2024</v>
      </c>
      <c r="I168">
        <v>532</v>
      </c>
      <c r="J168">
        <v>7.3</v>
      </c>
      <c r="K168" t="s">
        <v>25</v>
      </c>
      <c r="L168">
        <v>1.4</v>
      </c>
      <c r="M168">
        <v>2.2000000000000002</v>
      </c>
      <c r="N168">
        <v>969</v>
      </c>
      <c r="O168" t="s">
        <v>64</v>
      </c>
      <c r="P168">
        <v>53.5</v>
      </c>
      <c r="Q168" t="s">
        <v>84</v>
      </c>
      <c r="R168">
        <v>22.1</v>
      </c>
      <c r="S168">
        <v>-13.5</v>
      </c>
      <c r="T168">
        <v>-7</v>
      </c>
      <c r="U168">
        <v>1.3</v>
      </c>
      <c r="V168">
        <v>4.7</v>
      </c>
      <c r="W168">
        <v>5.7</v>
      </c>
      <c r="X168" t="s">
        <v>57</v>
      </c>
    </row>
    <row r="169" spans="2:24" x14ac:dyDescent="0.3">
      <c r="B169" t="s">
        <v>262</v>
      </c>
      <c r="C169" t="s">
        <v>59</v>
      </c>
      <c r="D169" t="s">
        <v>4</v>
      </c>
      <c r="E169" t="s">
        <v>16</v>
      </c>
      <c r="F169" t="s">
        <v>10</v>
      </c>
      <c r="G169" t="s">
        <v>54</v>
      </c>
      <c r="H169">
        <v>2024</v>
      </c>
      <c r="I169">
        <v>1260</v>
      </c>
      <c r="J169">
        <v>18.2</v>
      </c>
      <c r="K169" t="s">
        <v>23</v>
      </c>
      <c r="L169">
        <v>8.1</v>
      </c>
      <c r="M169">
        <v>10</v>
      </c>
      <c r="N169">
        <v>1535</v>
      </c>
      <c r="O169" t="s">
        <v>64</v>
      </c>
      <c r="P169">
        <v>71.5</v>
      </c>
      <c r="Q169" t="s">
        <v>79</v>
      </c>
      <c r="R169">
        <v>84.6</v>
      </c>
      <c r="S169">
        <v>44.7</v>
      </c>
      <c r="T169">
        <v>24.2</v>
      </c>
      <c r="U169">
        <v>9.4</v>
      </c>
      <c r="V169">
        <v>5.6</v>
      </c>
      <c r="W169">
        <v>5.0999999999999996</v>
      </c>
      <c r="X169" t="s">
        <v>66</v>
      </c>
    </row>
    <row r="170" spans="2:24" x14ac:dyDescent="0.3">
      <c r="B170" t="s">
        <v>263</v>
      </c>
      <c r="C170" t="s">
        <v>90</v>
      </c>
      <c r="D170" t="s">
        <v>5</v>
      </c>
      <c r="E170" t="s">
        <v>14</v>
      </c>
      <c r="F170" t="s">
        <v>9</v>
      </c>
      <c r="G170" t="s">
        <v>54</v>
      </c>
      <c r="H170">
        <v>2025</v>
      </c>
      <c r="I170">
        <v>7579</v>
      </c>
      <c r="J170">
        <v>12.9</v>
      </c>
      <c r="K170" t="s">
        <v>22</v>
      </c>
      <c r="L170">
        <v>9.8000000000000007</v>
      </c>
      <c r="M170">
        <v>10</v>
      </c>
      <c r="N170">
        <v>853</v>
      </c>
      <c r="O170" t="s">
        <v>64</v>
      </c>
      <c r="P170">
        <v>57.9</v>
      </c>
      <c r="Q170" t="s">
        <v>56</v>
      </c>
      <c r="R170">
        <v>80.900000000000006</v>
      </c>
      <c r="S170">
        <v>-18.5</v>
      </c>
      <c r="T170">
        <v>-7</v>
      </c>
      <c r="U170">
        <v>8.5</v>
      </c>
      <c r="V170">
        <v>6.2</v>
      </c>
      <c r="W170">
        <v>4.7</v>
      </c>
      <c r="X170" t="s">
        <v>66</v>
      </c>
    </row>
    <row r="171" spans="2:24" x14ac:dyDescent="0.3">
      <c r="B171" t="s">
        <v>264</v>
      </c>
      <c r="C171" t="s">
        <v>71</v>
      </c>
      <c r="D171" t="s">
        <v>5</v>
      </c>
      <c r="E171" t="s">
        <v>15</v>
      </c>
      <c r="F171" t="s">
        <v>11</v>
      </c>
      <c r="G171" t="s">
        <v>63</v>
      </c>
      <c r="H171">
        <v>2024</v>
      </c>
      <c r="I171">
        <v>17905</v>
      </c>
      <c r="J171">
        <v>38.1</v>
      </c>
      <c r="K171" t="s">
        <v>25</v>
      </c>
      <c r="L171">
        <v>4.2</v>
      </c>
      <c r="M171">
        <v>10</v>
      </c>
      <c r="N171">
        <v>1697</v>
      </c>
      <c r="O171" t="s">
        <v>75</v>
      </c>
      <c r="P171">
        <v>35.5</v>
      </c>
      <c r="Q171" t="s">
        <v>79</v>
      </c>
      <c r="R171">
        <v>-11.7</v>
      </c>
      <c r="S171">
        <v>42.1</v>
      </c>
      <c r="T171">
        <v>11.2</v>
      </c>
      <c r="U171">
        <v>6.2</v>
      </c>
      <c r="V171">
        <v>5.3</v>
      </c>
      <c r="W171">
        <v>3.2</v>
      </c>
      <c r="X171" t="s">
        <v>66</v>
      </c>
    </row>
    <row r="172" spans="2:24" x14ac:dyDescent="0.3">
      <c r="B172" t="s">
        <v>265</v>
      </c>
      <c r="C172" t="s">
        <v>71</v>
      </c>
      <c r="D172" t="s">
        <v>6</v>
      </c>
      <c r="E172" t="s">
        <v>18</v>
      </c>
      <c r="F172" t="s">
        <v>12</v>
      </c>
      <c r="G172" t="s">
        <v>69</v>
      </c>
      <c r="H172">
        <v>2026</v>
      </c>
      <c r="I172">
        <v>5059</v>
      </c>
      <c r="J172">
        <v>9.4</v>
      </c>
      <c r="K172" t="s">
        <v>23</v>
      </c>
      <c r="L172">
        <v>9</v>
      </c>
      <c r="M172">
        <v>8.1999999999999993</v>
      </c>
      <c r="N172">
        <v>2282</v>
      </c>
      <c r="O172" t="s">
        <v>64</v>
      </c>
      <c r="P172">
        <v>51.1</v>
      </c>
      <c r="Q172" t="s">
        <v>56</v>
      </c>
      <c r="R172">
        <v>-13</v>
      </c>
      <c r="S172">
        <v>13.1</v>
      </c>
      <c r="T172">
        <v>-0.5</v>
      </c>
      <c r="U172">
        <v>6.6</v>
      </c>
      <c r="V172">
        <v>5.7</v>
      </c>
      <c r="W172">
        <v>5.9</v>
      </c>
      <c r="X172" t="s">
        <v>116</v>
      </c>
    </row>
    <row r="173" spans="2:24" x14ac:dyDescent="0.3">
      <c r="B173" t="s">
        <v>266</v>
      </c>
      <c r="C173" t="s">
        <v>73</v>
      </c>
      <c r="D173" t="s">
        <v>3</v>
      </c>
      <c r="E173" t="s">
        <v>15</v>
      </c>
      <c r="F173" t="s">
        <v>12</v>
      </c>
      <c r="G173" t="s">
        <v>98</v>
      </c>
      <c r="H173">
        <v>2025</v>
      </c>
      <c r="I173">
        <v>1851</v>
      </c>
      <c r="J173">
        <v>6.3</v>
      </c>
      <c r="K173" t="s">
        <v>24</v>
      </c>
      <c r="L173">
        <v>7.4</v>
      </c>
      <c r="M173">
        <v>9.1999999999999993</v>
      </c>
      <c r="N173">
        <v>1338</v>
      </c>
      <c r="O173" t="s">
        <v>55</v>
      </c>
      <c r="P173">
        <v>70.599999999999994</v>
      </c>
      <c r="Q173" t="s">
        <v>79</v>
      </c>
      <c r="R173">
        <v>88.6</v>
      </c>
      <c r="S173">
        <v>-2.7</v>
      </c>
      <c r="T173">
        <v>-3.6</v>
      </c>
      <c r="U173">
        <v>8.5</v>
      </c>
      <c r="V173">
        <v>7.5</v>
      </c>
      <c r="W173">
        <v>5.3</v>
      </c>
      <c r="X173" t="s">
        <v>57</v>
      </c>
    </row>
    <row r="174" spans="2:24" x14ac:dyDescent="0.3">
      <c r="B174" t="s">
        <v>267</v>
      </c>
      <c r="C174" t="s">
        <v>90</v>
      </c>
      <c r="D174" t="s">
        <v>2</v>
      </c>
      <c r="E174" t="s">
        <v>17</v>
      </c>
      <c r="F174" t="s">
        <v>12</v>
      </c>
      <c r="G174" t="s">
        <v>112</v>
      </c>
      <c r="H174">
        <v>2024</v>
      </c>
      <c r="I174">
        <v>2167</v>
      </c>
      <c r="J174">
        <v>8.1</v>
      </c>
      <c r="K174" t="s">
        <v>25</v>
      </c>
      <c r="L174">
        <v>2.6</v>
      </c>
      <c r="M174">
        <v>3.9</v>
      </c>
      <c r="N174">
        <v>8487</v>
      </c>
      <c r="O174" t="s">
        <v>55</v>
      </c>
      <c r="P174">
        <v>35.5</v>
      </c>
      <c r="Q174" t="s">
        <v>56</v>
      </c>
      <c r="R174">
        <v>46.5</v>
      </c>
      <c r="S174">
        <v>39.5</v>
      </c>
      <c r="T174">
        <v>9.9</v>
      </c>
      <c r="U174">
        <v>4</v>
      </c>
      <c r="V174">
        <v>5.8</v>
      </c>
      <c r="W174">
        <v>8.1999999999999993</v>
      </c>
      <c r="X174" t="s">
        <v>57</v>
      </c>
    </row>
    <row r="175" spans="2:24" x14ac:dyDescent="0.3">
      <c r="B175" t="s">
        <v>268</v>
      </c>
      <c r="C175" t="s">
        <v>106</v>
      </c>
      <c r="D175" t="s">
        <v>2</v>
      </c>
      <c r="E175" t="s">
        <v>16</v>
      </c>
      <c r="F175" t="s">
        <v>10</v>
      </c>
      <c r="G175" t="s">
        <v>74</v>
      </c>
      <c r="H175">
        <v>2026</v>
      </c>
      <c r="I175">
        <v>798</v>
      </c>
      <c r="J175">
        <v>3.8</v>
      </c>
      <c r="K175" t="s">
        <v>24</v>
      </c>
      <c r="L175">
        <v>8.6</v>
      </c>
      <c r="M175">
        <v>7.5</v>
      </c>
      <c r="N175">
        <v>2746</v>
      </c>
      <c r="O175" t="s">
        <v>55</v>
      </c>
      <c r="P175">
        <v>53.7</v>
      </c>
      <c r="Q175" t="s">
        <v>76</v>
      </c>
      <c r="R175">
        <v>-38.200000000000003</v>
      </c>
      <c r="S175">
        <v>-19.100000000000001</v>
      </c>
      <c r="T175">
        <v>0.1</v>
      </c>
      <c r="U175">
        <v>5.6</v>
      </c>
      <c r="V175">
        <v>7.4</v>
      </c>
      <c r="W175">
        <v>5</v>
      </c>
      <c r="X175" t="s">
        <v>116</v>
      </c>
    </row>
    <row r="176" spans="2:24" x14ac:dyDescent="0.3">
      <c r="B176" t="s">
        <v>269</v>
      </c>
      <c r="C176" t="s">
        <v>142</v>
      </c>
      <c r="D176" t="s">
        <v>8</v>
      </c>
      <c r="E176" t="s">
        <v>18</v>
      </c>
      <c r="F176" t="s">
        <v>9</v>
      </c>
      <c r="G176" t="s">
        <v>63</v>
      </c>
      <c r="H176">
        <v>2024</v>
      </c>
      <c r="I176">
        <v>70</v>
      </c>
      <c r="J176">
        <v>8.8000000000000007</v>
      </c>
      <c r="K176" t="s">
        <v>25</v>
      </c>
      <c r="L176">
        <v>9.9</v>
      </c>
      <c r="M176">
        <v>6.4</v>
      </c>
      <c r="N176">
        <v>5262</v>
      </c>
      <c r="O176" t="s">
        <v>55</v>
      </c>
      <c r="P176">
        <v>15.6</v>
      </c>
      <c r="Q176" t="s">
        <v>84</v>
      </c>
      <c r="R176">
        <v>52.2</v>
      </c>
      <c r="S176">
        <v>-17</v>
      </c>
      <c r="T176">
        <v>-3.7</v>
      </c>
      <c r="U176">
        <v>6.2</v>
      </c>
      <c r="V176">
        <v>4.9000000000000004</v>
      </c>
      <c r="W176">
        <v>5.9</v>
      </c>
      <c r="X176" t="s">
        <v>57</v>
      </c>
    </row>
    <row r="177" spans="2:24" x14ac:dyDescent="0.3">
      <c r="B177" t="s">
        <v>270</v>
      </c>
      <c r="C177" t="s">
        <v>81</v>
      </c>
      <c r="D177" t="s">
        <v>5</v>
      </c>
      <c r="E177" t="s">
        <v>16</v>
      </c>
      <c r="F177" t="s">
        <v>11</v>
      </c>
      <c r="G177" t="s">
        <v>104</v>
      </c>
      <c r="H177">
        <v>2025</v>
      </c>
      <c r="I177">
        <v>409</v>
      </c>
      <c r="J177">
        <v>12.4</v>
      </c>
      <c r="K177" t="s">
        <v>23</v>
      </c>
      <c r="L177">
        <v>2.6</v>
      </c>
      <c r="M177">
        <v>3.4</v>
      </c>
      <c r="N177">
        <v>1700</v>
      </c>
      <c r="O177" t="s">
        <v>64</v>
      </c>
      <c r="P177">
        <v>61.3</v>
      </c>
      <c r="Q177" t="s">
        <v>84</v>
      </c>
      <c r="R177">
        <v>-25.9</v>
      </c>
      <c r="S177">
        <v>45.9</v>
      </c>
      <c r="T177">
        <v>5.7</v>
      </c>
      <c r="U177">
        <v>1.8</v>
      </c>
      <c r="V177">
        <v>6.2</v>
      </c>
      <c r="W177">
        <v>7.7</v>
      </c>
      <c r="X177" t="s">
        <v>116</v>
      </c>
    </row>
    <row r="178" spans="2:24" x14ac:dyDescent="0.3">
      <c r="B178" t="s">
        <v>271</v>
      </c>
      <c r="C178" t="s">
        <v>81</v>
      </c>
      <c r="D178" t="s">
        <v>5</v>
      </c>
      <c r="E178" t="s">
        <v>15</v>
      </c>
      <c r="F178" t="s">
        <v>12</v>
      </c>
      <c r="G178" t="s">
        <v>78</v>
      </c>
      <c r="H178">
        <v>2025</v>
      </c>
      <c r="I178">
        <v>9379</v>
      </c>
      <c r="J178">
        <v>11.4</v>
      </c>
      <c r="K178" t="s">
        <v>23</v>
      </c>
      <c r="L178">
        <v>6.2</v>
      </c>
      <c r="M178">
        <v>6.5</v>
      </c>
      <c r="N178">
        <v>1881</v>
      </c>
      <c r="O178" t="s">
        <v>55</v>
      </c>
      <c r="P178">
        <v>17.8</v>
      </c>
      <c r="Q178" t="s">
        <v>65</v>
      </c>
      <c r="R178">
        <v>0.6</v>
      </c>
      <c r="S178">
        <v>1.3</v>
      </c>
      <c r="T178">
        <v>9.8000000000000007</v>
      </c>
      <c r="U178">
        <v>8.1</v>
      </c>
      <c r="V178">
        <v>5.0999999999999996</v>
      </c>
      <c r="W178">
        <v>5.9</v>
      </c>
      <c r="X178" t="s">
        <v>66</v>
      </c>
    </row>
    <row r="179" spans="2:24" x14ac:dyDescent="0.3">
      <c r="B179" t="s">
        <v>272</v>
      </c>
      <c r="C179" t="s">
        <v>53</v>
      </c>
      <c r="D179" t="s">
        <v>3</v>
      </c>
      <c r="E179" t="s">
        <v>16</v>
      </c>
      <c r="F179" t="s">
        <v>12</v>
      </c>
      <c r="G179" t="s">
        <v>101</v>
      </c>
      <c r="H179">
        <v>2025</v>
      </c>
      <c r="I179">
        <v>2218</v>
      </c>
      <c r="J179">
        <v>20.6</v>
      </c>
      <c r="K179" t="s">
        <v>23</v>
      </c>
      <c r="L179">
        <v>3.1</v>
      </c>
      <c r="M179">
        <v>6.2</v>
      </c>
      <c r="N179">
        <v>1625</v>
      </c>
      <c r="O179" t="s">
        <v>75</v>
      </c>
      <c r="P179">
        <v>51.8</v>
      </c>
      <c r="Q179" t="s">
        <v>84</v>
      </c>
      <c r="R179">
        <v>9.1</v>
      </c>
      <c r="S179">
        <v>-7.4</v>
      </c>
      <c r="T179">
        <v>-14.1</v>
      </c>
      <c r="U179">
        <v>2</v>
      </c>
      <c r="V179">
        <v>5.2</v>
      </c>
      <c r="W179">
        <v>4.8</v>
      </c>
      <c r="X179" t="s">
        <v>66</v>
      </c>
    </row>
    <row r="180" spans="2:24" x14ac:dyDescent="0.3">
      <c r="B180" t="s">
        <v>273</v>
      </c>
      <c r="C180" t="s">
        <v>90</v>
      </c>
      <c r="D180" t="s">
        <v>6</v>
      </c>
      <c r="E180" t="s">
        <v>18</v>
      </c>
      <c r="F180" t="s">
        <v>10</v>
      </c>
      <c r="G180" t="s">
        <v>98</v>
      </c>
      <c r="H180">
        <v>2025</v>
      </c>
      <c r="I180">
        <v>193</v>
      </c>
      <c r="J180">
        <v>5.7</v>
      </c>
      <c r="K180" t="s">
        <v>25</v>
      </c>
      <c r="L180">
        <v>11.3</v>
      </c>
      <c r="M180">
        <v>10</v>
      </c>
      <c r="N180">
        <v>791</v>
      </c>
      <c r="O180" t="s">
        <v>64</v>
      </c>
      <c r="P180">
        <v>39.6</v>
      </c>
      <c r="Q180" t="s">
        <v>76</v>
      </c>
      <c r="R180">
        <v>-20.6</v>
      </c>
      <c r="S180">
        <v>22</v>
      </c>
      <c r="T180">
        <v>5.0999999999999996</v>
      </c>
      <c r="U180">
        <v>7.5</v>
      </c>
      <c r="V180">
        <v>6</v>
      </c>
      <c r="W180">
        <v>7.1</v>
      </c>
      <c r="X180" t="s">
        <v>57</v>
      </c>
    </row>
    <row r="181" spans="2:24" x14ac:dyDescent="0.3">
      <c r="B181" t="s">
        <v>274</v>
      </c>
      <c r="C181" t="s">
        <v>59</v>
      </c>
      <c r="D181" t="s">
        <v>4</v>
      </c>
      <c r="E181" t="s">
        <v>19</v>
      </c>
      <c r="F181" t="s">
        <v>11</v>
      </c>
      <c r="G181" t="s">
        <v>69</v>
      </c>
      <c r="H181">
        <v>2024</v>
      </c>
      <c r="I181">
        <v>6270</v>
      </c>
      <c r="J181">
        <v>38.5</v>
      </c>
      <c r="K181" t="s">
        <v>24</v>
      </c>
      <c r="L181">
        <v>3.1</v>
      </c>
      <c r="M181">
        <v>10</v>
      </c>
      <c r="N181">
        <v>129</v>
      </c>
      <c r="O181" t="s">
        <v>75</v>
      </c>
      <c r="P181">
        <v>80</v>
      </c>
      <c r="Q181" t="s">
        <v>125</v>
      </c>
      <c r="R181">
        <v>81.7</v>
      </c>
      <c r="S181">
        <v>-20.399999999999999</v>
      </c>
      <c r="T181">
        <v>-28</v>
      </c>
      <c r="U181">
        <v>3</v>
      </c>
      <c r="V181">
        <v>4</v>
      </c>
      <c r="W181">
        <v>1.1000000000000001</v>
      </c>
      <c r="X181" t="s">
        <v>66</v>
      </c>
    </row>
    <row r="182" spans="2:24" x14ac:dyDescent="0.3">
      <c r="B182" t="s">
        <v>275</v>
      </c>
      <c r="C182" t="s">
        <v>27</v>
      </c>
      <c r="D182" t="s">
        <v>3</v>
      </c>
      <c r="E182" t="s">
        <v>19</v>
      </c>
      <c r="F182" t="s">
        <v>10</v>
      </c>
      <c r="G182" t="s">
        <v>60</v>
      </c>
      <c r="H182">
        <v>2025</v>
      </c>
      <c r="I182">
        <v>1517</v>
      </c>
      <c r="J182">
        <v>6.8</v>
      </c>
      <c r="K182" t="s">
        <v>22</v>
      </c>
      <c r="L182">
        <v>2.9</v>
      </c>
      <c r="M182">
        <v>3.4</v>
      </c>
      <c r="N182">
        <v>4337</v>
      </c>
      <c r="O182" t="s">
        <v>55</v>
      </c>
      <c r="P182">
        <v>48.8</v>
      </c>
      <c r="Q182" t="s">
        <v>79</v>
      </c>
      <c r="R182">
        <v>67.7</v>
      </c>
      <c r="S182">
        <v>-12.5</v>
      </c>
      <c r="T182">
        <v>-1.4</v>
      </c>
      <c r="U182">
        <v>3</v>
      </c>
      <c r="V182">
        <v>5.8</v>
      </c>
      <c r="W182">
        <v>5.8</v>
      </c>
      <c r="X182" t="s">
        <v>57</v>
      </c>
    </row>
    <row r="183" spans="2:24" x14ac:dyDescent="0.3">
      <c r="B183" t="s">
        <v>276</v>
      </c>
      <c r="C183" t="s">
        <v>106</v>
      </c>
      <c r="D183" t="s">
        <v>7</v>
      </c>
      <c r="E183" t="s">
        <v>15</v>
      </c>
      <c r="F183" t="s">
        <v>11</v>
      </c>
      <c r="G183" t="s">
        <v>115</v>
      </c>
      <c r="H183">
        <v>2026</v>
      </c>
      <c r="I183">
        <v>863</v>
      </c>
      <c r="J183">
        <v>3.3</v>
      </c>
      <c r="K183" t="s">
        <v>22</v>
      </c>
      <c r="L183">
        <v>5.7</v>
      </c>
      <c r="M183">
        <v>8.5</v>
      </c>
      <c r="N183">
        <v>5478</v>
      </c>
      <c r="O183" t="s">
        <v>118</v>
      </c>
      <c r="P183">
        <v>35.4</v>
      </c>
      <c r="Q183" t="s">
        <v>125</v>
      </c>
      <c r="R183">
        <v>4.7</v>
      </c>
      <c r="S183">
        <v>-20.399999999999999</v>
      </c>
      <c r="T183">
        <v>-0.3</v>
      </c>
      <c r="U183">
        <v>7.2</v>
      </c>
      <c r="V183">
        <v>6.9</v>
      </c>
      <c r="W183">
        <v>5.6</v>
      </c>
      <c r="X183" t="s">
        <v>57</v>
      </c>
    </row>
    <row r="184" spans="2:24" x14ac:dyDescent="0.3">
      <c r="B184" t="s">
        <v>277</v>
      </c>
      <c r="C184" t="s">
        <v>90</v>
      </c>
      <c r="D184" t="s">
        <v>6</v>
      </c>
      <c r="E184" t="s">
        <v>15</v>
      </c>
      <c r="F184" t="s">
        <v>12</v>
      </c>
      <c r="G184" t="s">
        <v>101</v>
      </c>
      <c r="H184">
        <v>2026</v>
      </c>
      <c r="I184">
        <v>2236</v>
      </c>
      <c r="J184">
        <v>9.9</v>
      </c>
      <c r="K184" t="s">
        <v>25</v>
      </c>
      <c r="L184">
        <v>1.2</v>
      </c>
      <c r="M184">
        <v>4</v>
      </c>
      <c r="N184">
        <v>754</v>
      </c>
      <c r="O184" t="s">
        <v>75</v>
      </c>
      <c r="P184">
        <v>59.5</v>
      </c>
      <c r="Q184" t="s">
        <v>84</v>
      </c>
      <c r="R184">
        <v>-44.9</v>
      </c>
      <c r="S184">
        <v>39.4</v>
      </c>
      <c r="T184">
        <v>23.4</v>
      </c>
      <c r="U184">
        <v>1.9</v>
      </c>
      <c r="V184">
        <v>8.6</v>
      </c>
      <c r="W184">
        <v>7.3</v>
      </c>
      <c r="X184" t="s">
        <v>57</v>
      </c>
    </row>
    <row r="185" spans="2:24" x14ac:dyDescent="0.3">
      <c r="B185" t="s">
        <v>278</v>
      </c>
      <c r="C185" t="s">
        <v>71</v>
      </c>
      <c r="D185" t="s">
        <v>6</v>
      </c>
      <c r="E185" t="s">
        <v>16</v>
      </c>
      <c r="F185" t="s">
        <v>11</v>
      </c>
      <c r="G185" t="s">
        <v>131</v>
      </c>
      <c r="H185">
        <v>2025</v>
      </c>
      <c r="I185">
        <v>1864</v>
      </c>
      <c r="J185">
        <v>9.6999999999999993</v>
      </c>
      <c r="K185" t="s">
        <v>23</v>
      </c>
      <c r="L185">
        <v>6.8</v>
      </c>
      <c r="M185">
        <v>8.3000000000000007</v>
      </c>
      <c r="N185">
        <v>3581</v>
      </c>
      <c r="O185" t="s">
        <v>55</v>
      </c>
      <c r="P185">
        <v>52.1</v>
      </c>
      <c r="Q185" t="s">
        <v>84</v>
      </c>
      <c r="R185">
        <v>-10.1</v>
      </c>
      <c r="S185">
        <v>-21.8</v>
      </c>
      <c r="T185">
        <v>-5.4</v>
      </c>
      <c r="U185">
        <v>9.1</v>
      </c>
      <c r="V185">
        <v>4.5</v>
      </c>
      <c r="W185">
        <v>4</v>
      </c>
      <c r="X185" t="s">
        <v>116</v>
      </c>
    </row>
    <row r="186" spans="2:24" x14ac:dyDescent="0.3">
      <c r="B186" t="s">
        <v>279</v>
      </c>
      <c r="C186" t="s">
        <v>62</v>
      </c>
      <c r="D186" t="s">
        <v>2</v>
      </c>
      <c r="E186" t="s">
        <v>16</v>
      </c>
      <c r="F186" t="s">
        <v>10</v>
      </c>
      <c r="G186" t="s">
        <v>112</v>
      </c>
      <c r="H186">
        <v>2024</v>
      </c>
      <c r="I186">
        <v>8392</v>
      </c>
      <c r="J186">
        <v>37.1</v>
      </c>
      <c r="K186" t="s">
        <v>25</v>
      </c>
      <c r="L186">
        <v>0.9</v>
      </c>
      <c r="M186">
        <v>9.6</v>
      </c>
      <c r="N186">
        <v>5237</v>
      </c>
      <c r="O186" t="s">
        <v>75</v>
      </c>
      <c r="P186">
        <v>43.3</v>
      </c>
      <c r="Q186" t="s">
        <v>76</v>
      </c>
      <c r="R186">
        <v>38.4</v>
      </c>
      <c r="S186">
        <v>-19.600000000000001</v>
      </c>
      <c r="T186">
        <v>-26.1</v>
      </c>
      <c r="U186">
        <v>1.5</v>
      </c>
      <c r="V186">
        <v>4</v>
      </c>
      <c r="W186">
        <v>1.4</v>
      </c>
      <c r="X186" t="s">
        <v>66</v>
      </c>
    </row>
    <row r="187" spans="2:24" x14ac:dyDescent="0.3">
      <c r="B187" t="s">
        <v>280</v>
      </c>
      <c r="C187" t="s">
        <v>62</v>
      </c>
      <c r="D187" t="s">
        <v>2</v>
      </c>
      <c r="E187" t="s">
        <v>15</v>
      </c>
      <c r="F187" t="s">
        <v>12</v>
      </c>
      <c r="G187" t="s">
        <v>112</v>
      </c>
      <c r="H187">
        <v>2026</v>
      </c>
      <c r="I187">
        <v>6279</v>
      </c>
      <c r="J187">
        <v>1.2</v>
      </c>
      <c r="K187" t="s">
        <v>23</v>
      </c>
      <c r="L187">
        <v>9.1999999999999993</v>
      </c>
      <c r="M187">
        <v>4.2</v>
      </c>
      <c r="N187">
        <v>1064</v>
      </c>
      <c r="O187" t="s">
        <v>55</v>
      </c>
      <c r="P187">
        <v>11.5</v>
      </c>
      <c r="Q187" t="s">
        <v>56</v>
      </c>
      <c r="R187">
        <v>-14.4</v>
      </c>
      <c r="S187">
        <v>54</v>
      </c>
      <c r="T187">
        <v>29.9</v>
      </c>
      <c r="U187">
        <v>8.6</v>
      </c>
      <c r="V187">
        <v>9.6</v>
      </c>
      <c r="W187">
        <v>8.1</v>
      </c>
      <c r="X187" t="s">
        <v>116</v>
      </c>
    </row>
    <row r="188" spans="2:24" x14ac:dyDescent="0.3">
      <c r="B188" t="s">
        <v>281</v>
      </c>
      <c r="C188" t="s">
        <v>159</v>
      </c>
      <c r="D188" t="s">
        <v>2</v>
      </c>
      <c r="E188" t="s">
        <v>18</v>
      </c>
      <c r="F188" t="s">
        <v>11</v>
      </c>
      <c r="G188" t="s">
        <v>74</v>
      </c>
      <c r="H188">
        <v>2026</v>
      </c>
      <c r="I188">
        <v>17445</v>
      </c>
      <c r="J188">
        <v>33.1</v>
      </c>
      <c r="K188" t="s">
        <v>25</v>
      </c>
      <c r="L188">
        <v>7.8</v>
      </c>
      <c r="M188">
        <v>10</v>
      </c>
      <c r="N188">
        <v>5721</v>
      </c>
      <c r="O188" t="s">
        <v>64</v>
      </c>
      <c r="P188">
        <v>33.299999999999997</v>
      </c>
      <c r="Q188" t="s">
        <v>76</v>
      </c>
      <c r="R188">
        <v>-12.8</v>
      </c>
      <c r="S188">
        <v>49.4</v>
      </c>
      <c r="T188">
        <v>20.2</v>
      </c>
      <c r="U188">
        <v>6.1</v>
      </c>
      <c r="V188">
        <v>6.4</v>
      </c>
      <c r="W188">
        <v>4.0999999999999996</v>
      </c>
      <c r="X188" t="s">
        <v>66</v>
      </c>
    </row>
    <row r="189" spans="2:24" x14ac:dyDescent="0.3">
      <c r="B189" t="s">
        <v>282</v>
      </c>
      <c r="C189" t="s">
        <v>122</v>
      </c>
      <c r="D189" t="s">
        <v>2</v>
      </c>
      <c r="E189" t="s">
        <v>14</v>
      </c>
      <c r="F189" t="s">
        <v>9</v>
      </c>
      <c r="G189" t="s">
        <v>115</v>
      </c>
      <c r="H189">
        <v>2024</v>
      </c>
      <c r="I189">
        <v>6210</v>
      </c>
      <c r="J189">
        <v>9.1</v>
      </c>
      <c r="K189" t="s">
        <v>25</v>
      </c>
      <c r="L189">
        <v>3.3</v>
      </c>
      <c r="M189">
        <v>6.4</v>
      </c>
      <c r="N189">
        <v>8635</v>
      </c>
      <c r="O189" t="s">
        <v>55</v>
      </c>
      <c r="P189">
        <v>70</v>
      </c>
      <c r="Q189" t="s">
        <v>56</v>
      </c>
      <c r="R189">
        <v>68.3</v>
      </c>
      <c r="S189">
        <v>54.2</v>
      </c>
      <c r="T189">
        <v>17.100000000000001</v>
      </c>
      <c r="U189">
        <v>3.5</v>
      </c>
      <c r="V189">
        <v>9.6</v>
      </c>
      <c r="W189">
        <v>8</v>
      </c>
      <c r="X189" t="s">
        <v>116</v>
      </c>
    </row>
    <row r="190" spans="2:24" x14ac:dyDescent="0.3">
      <c r="B190" t="s">
        <v>283</v>
      </c>
      <c r="C190" t="s">
        <v>159</v>
      </c>
      <c r="D190" t="s">
        <v>2</v>
      </c>
      <c r="E190" t="s">
        <v>14</v>
      </c>
      <c r="F190" t="s">
        <v>12</v>
      </c>
      <c r="G190" t="s">
        <v>69</v>
      </c>
      <c r="H190">
        <v>2025</v>
      </c>
      <c r="I190">
        <v>12784</v>
      </c>
      <c r="J190">
        <v>8.4</v>
      </c>
      <c r="K190" t="s">
        <v>21</v>
      </c>
      <c r="L190">
        <v>11.6</v>
      </c>
      <c r="M190">
        <v>10</v>
      </c>
      <c r="N190">
        <v>9938</v>
      </c>
      <c r="O190" t="s">
        <v>118</v>
      </c>
      <c r="P190">
        <v>31.7</v>
      </c>
      <c r="Q190" t="s">
        <v>76</v>
      </c>
      <c r="R190">
        <v>24.5</v>
      </c>
      <c r="S190">
        <v>35.6</v>
      </c>
      <c r="T190">
        <v>24.9</v>
      </c>
      <c r="U190">
        <v>9.3000000000000007</v>
      </c>
      <c r="V190">
        <v>5.7</v>
      </c>
      <c r="W190">
        <v>7.1</v>
      </c>
      <c r="X190" t="s">
        <v>66</v>
      </c>
    </row>
    <row r="191" spans="2:24" x14ac:dyDescent="0.3">
      <c r="B191" t="s">
        <v>284</v>
      </c>
      <c r="C191" t="s">
        <v>90</v>
      </c>
      <c r="D191" t="s">
        <v>3</v>
      </c>
      <c r="E191" t="s">
        <v>16</v>
      </c>
      <c r="F191" t="s">
        <v>12</v>
      </c>
      <c r="G191" t="s">
        <v>115</v>
      </c>
      <c r="H191">
        <v>2026</v>
      </c>
      <c r="I191">
        <v>1497</v>
      </c>
      <c r="J191">
        <v>3.1</v>
      </c>
      <c r="K191" t="s">
        <v>25</v>
      </c>
      <c r="L191">
        <v>10.199999999999999</v>
      </c>
      <c r="M191">
        <v>8.6</v>
      </c>
      <c r="N191">
        <v>2188</v>
      </c>
      <c r="O191" t="s">
        <v>55</v>
      </c>
      <c r="P191">
        <v>67.5</v>
      </c>
      <c r="Q191" t="s">
        <v>56</v>
      </c>
      <c r="R191">
        <v>-39.4</v>
      </c>
      <c r="S191">
        <v>24.7</v>
      </c>
      <c r="T191">
        <v>4.5999999999999996</v>
      </c>
      <c r="U191">
        <v>9.3000000000000007</v>
      </c>
      <c r="V191">
        <v>7.9</v>
      </c>
      <c r="W191">
        <v>7.3</v>
      </c>
      <c r="X191" t="s">
        <v>57</v>
      </c>
    </row>
    <row r="192" spans="2:24" x14ac:dyDescent="0.3">
      <c r="B192" t="s">
        <v>285</v>
      </c>
      <c r="C192" t="s">
        <v>106</v>
      </c>
      <c r="D192" t="s">
        <v>8</v>
      </c>
      <c r="E192" t="s">
        <v>14</v>
      </c>
      <c r="F192" t="s">
        <v>10</v>
      </c>
      <c r="G192" t="s">
        <v>101</v>
      </c>
      <c r="H192">
        <v>2024</v>
      </c>
      <c r="I192">
        <v>48</v>
      </c>
      <c r="J192">
        <v>2.5</v>
      </c>
      <c r="K192" t="s">
        <v>23</v>
      </c>
      <c r="L192">
        <v>6.4</v>
      </c>
      <c r="M192">
        <v>10</v>
      </c>
      <c r="N192">
        <v>392</v>
      </c>
      <c r="O192" t="s">
        <v>64</v>
      </c>
      <c r="P192">
        <v>28.6</v>
      </c>
      <c r="Q192" t="s">
        <v>84</v>
      </c>
      <c r="R192">
        <v>72.8</v>
      </c>
      <c r="S192">
        <v>35.5</v>
      </c>
      <c r="T192">
        <v>18</v>
      </c>
      <c r="U192">
        <v>6</v>
      </c>
      <c r="V192">
        <v>6.2</v>
      </c>
      <c r="W192">
        <v>7.2</v>
      </c>
      <c r="X192" t="s">
        <v>57</v>
      </c>
    </row>
    <row r="193" spans="2:24" x14ac:dyDescent="0.3">
      <c r="B193" t="s">
        <v>286</v>
      </c>
      <c r="C193" t="s">
        <v>106</v>
      </c>
      <c r="D193" t="s">
        <v>3</v>
      </c>
      <c r="E193" t="s">
        <v>17</v>
      </c>
      <c r="F193" t="s">
        <v>9</v>
      </c>
      <c r="G193" t="s">
        <v>54</v>
      </c>
      <c r="H193">
        <v>2024</v>
      </c>
      <c r="I193">
        <v>3606</v>
      </c>
      <c r="J193">
        <v>28.3</v>
      </c>
      <c r="K193" t="s">
        <v>24</v>
      </c>
      <c r="L193">
        <v>6.6</v>
      </c>
      <c r="M193">
        <v>10</v>
      </c>
      <c r="N193">
        <v>819</v>
      </c>
      <c r="O193" t="s">
        <v>64</v>
      </c>
      <c r="P193">
        <v>73.099999999999994</v>
      </c>
      <c r="Q193" t="s">
        <v>65</v>
      </c>
      <c r="R193">
        <v>-10.7</v>
      </c>
      <c r="S193">
        <v>48.3</v>
      </c>
      <c r="T193">
        <v>23.7</v>
      </c>
      <c r="U193">
        <v>10</v>
      </c>
      <c r="V193">
        <v>5</v>
      </c>
      <c r="W193">
        <v>3.9</v>
      </c>
      <c r="X193" t="s">
        <v>66</v>
      </c>
    </row>
    <row r="194" spans="2:24" x14ac:dyDescent="0.3">
      <c r="B194" t="s">
        <v>287</v>
      </c>
      <c r="C194" t="s">
        <v>106</v>
      </c>
      <c r="D194" t="s">
        <v>4</v>
      </c>
      <c r="E194" t="s">
        <v>15</v>
      </c>
      <c r="F194" t="s">
        <v>11</v>
      </c>
      <c r="G194" t="s">
        <v>74</v>
      </c>
      <c r="H194">
        <v>2026</v>
      </c>
      <c r="I194">
        <v>14347</v>
      </c>
      <c r="J194">
        <v>25.7</v>
      </c>
      <c r="K194" t="s">
        <v>22</v>
      </c>
      <c r="L194">
        <v>9.6</v>
      </c>
      <c r="M194">
        <v>10</v>
      </c>
      <c r="N194">
        <v>439</v>
      </c>
      <c r="O194" t="s">
        <v>64</v>
      </c>
      <c r="P194">
        <v>25</v>
      </c>
      <c r="Q194" t="s">
        <v>84</v>
      </c>
      <c r="R194">
        <v>36.1</v>
      </c>
      <c r="S194">
        <v>2.8</v>
      </c>
      <c r="T194">
        <v>3.7</v>
      </c>
      <c r="U194">
        <v>9.4</v>
      </c>
      <c r="V194">
        <v>6.4</v>
      </c>
      <c r="W194">
        <v>3.2</v>
      </c>
      <c r="X194" t="s">
        <v>66</v>
      </c>
    </row>
    <row r="195" spans="2:24" x14ac:dyDescent="0.3">
      <c r="B195" t="s">
        <v>288</v>
      </c>
      <c r="C195" t="s">
        <v>90</v>
      </c>
      <c r="D195" t="s">
        <v>3</v>
      </c>
      <c r="E195" t="s">
        <v>17</v>
      </c>
      <c r="F195" t="s">
        <v>10</v>
      </c>
      <c r="G195" t="s">
        <v>131</v>
      </c>
      <c r="H195">
        <v>2026</v>
      </c>
      <c r="I195">
        <v>453</v>
      </c>
      <c r="J195">
        <v>3.6</v>
      </c>
      <c r="K195" t="s">
        <v>21</v>
      </c>
      <c r="L195">
        <v>7.8</v>
      </c>
      <c r="M195">
        <v>7.7</v>
      </c>
      <c r="N195">
        <v>4208</v>
      </c>
      <c r="O195" t="s">
        <v>55</v>
      </c>
      <c r="P195">
        <v>13.9</v>
      </c>
      <c r="Q195" t="s">
        <v>76</v>
      </c>
      <c r="R195">
        <v>36</v>
      </c>
      <c r="S195">
        <v>-0.9</v>
      </c>
      <c r="T195">
        <v>10.5</v>
      </c>
      <c r="U195">
        <v>8.6999999999999993</v>
      </c>
      <c r="V195">
        <v>6</v>
      </c>
      <c r="W195">
        <v>5.7</v>
      </c>
      <c r="X195" t="s">
        <v>116</v>
      </c>
    </row>
    <row r="196" spans="2:24" x14ac:dyDescent="0.3">
      <c r="B196" t="s">
        <v>289</v>
      </c>
      <c r="C196" t="s">
        <v>81</v>
      </c>
      <c r="D196" t="s">
        <v>5</v>
      </c>
      <c r="E196" t="s">
        <v>17</v>
      </c>
      <c r="F196" t="s">
        <v>12</v>
      </c>
      <c r="G196" t="s">
        <v>104</v>
      </c>
      <c r="H196">
        <v>2024</v>
      </c>
      <c r="I196">
        <v>5917</v>
      </c>
      <c r="J196">
        <v>19.899999999999999</v>
      </c>
      <c r="K196" t="s">
        <v>25</v>
      </c>
      <c r="L196">
        <v>2.1</v>
      </c>
      <c r="M196">
        <v>7.5</v>
      </c>
      <c r="N196">
        <v>191</v>
      </c>
      <c r="O196" t="s">
        <v>75</v>
      </c>
      <c r="P196">
        <v>11.6</v>
      </c>
      <c r="Q196" t="s">
        <v>84</v>
      </c>
      <c r="R196">
        <v>25.2</v>
      </c>
      <c r="S196">
        <v>34.200000000000003</v>
      </c>
      <c r="T196">
        <v>18.3</v>
      </c>
      <c r="U196">
        <v>3.4</v>
      </c>
      <c r="V196">
        <v>5.2</v>
      </c>
      <c r="W196">
        <v>4.7</v>
      </c>
      <c r="X196" t="s">
        <v>66</v>
      </c>
    </row>
    <row r="197" spans="2:24" x14ac:dyDescent="0.3">
      <c r="B197" t="s">
        <v>290</v>
      </c>
      <c r="C197" t="s">
        <v>94</v>
      </c>
      <c r="D197" t="s">
        <v>6</v>
      </c>
      <c r="E197" t="s">
        <v>19</v>
      </c>
      <c r="F197" t="s">
        <v>9</v>
      </c>
      <c r="G197" t="s">
        <v>104</v>
      </c>
      <c r="H197">
        <v>2024</v>
      </c>
      <c r="I197">
        <v>4221</v>
      </c>
      <c r="J197">
        <v>17.5</v>
      </c>
      <c r="K197" t="s">
        <v>25</v>
      </c>
      <c r="L197">
        <v>3.6</v>
      </c>
      <c r="M197">
        <v>4.5999999999999996</v>
      </c>
      <c r="N197">
        <v>1642</v>
      </c>
      <c r="O197" t="s">
        <v>75</v>
      </c>
      <c r="P197">
        <v>52.5</v>
      </c>
      <c r="Q197" t="s">
        <v>56</v>
      </c>
      <c r="R197">
        <v>58.5</v>
      </c>
      <c r="S197">
        <v>36.1</v>
      </c>
      <c r="T197">
        <v>19.600000000000001</v>
      </c>
      <c r="U197">
        <v>5.6</v>
      </c>
      <c r="V197">
        <v>7.2</v>
      </c>
      <c r="W197">
        <v>5.5</v>
      </c>
      <c r="X197" t="s">
        <v>66</v>
      </c>
    </row>
    <row r="198" spans="2:24" x14ac:dyDescent="0.3">
      <c r="B198" t="s">
        <v>291</v>
      </c>
      <c r="C198" t="s">
        <v>73</v>
      </c>
      <c r="D198" t="s">
        <v>2</v>
      </c>
      <c r="E198" t="s">
        <v>18</v>
      </c>
      <c r="F198" t="s">
        <v>9</v>
      </c>
      <c r="G198" t="s">
        <v>131</v>
      </c>
      <c r="H198">
        <v>2024</v>
      </c>
      <c r="I198">
        <v>1561</v>
      </c>
      <c r="J198">
        <v>1.7</v>
      </c>
      <c r="K198" t="s">
        <v>25</v>
      </c>
      <c r="L198">
        <v>4.5</v>
      </c>
      <c r="M198">
        <v>3.9</v>
      </c>
      <c r="N198">
        <v>6700</v>
      </c>
      <c r="O198" t="s">
        <v>55</v>
      </c>
      <c r="P198">
        <v>59.6</v>
      </c>
      <c r="Q198" t="s">
        <v>56</v>
      </c>
      <c r="R198">
        <v>54.9</v>
      </c>
      <c r="S198">
        <v>35</v>
      </c>
      <c r="T198">
        <v>15.8</v>
      </c>
      <c r="U198">
        <v>3.3</v>
      </c>
      <c r="V198">
        <v>8.6</v>
      </c>
      <c r="W198">
        <v>8.8000000000000007</v>
      </c>
      <c r="X198" t="s">
        <v>57</v>
      </c>
    </row>
    <row r="199" spans="2:24" x14ac:dyDescent="0.3">
      <c r="B199" t="s">
        <v>292</v>
      </c>
      <c r="C199" t="s">
        <v>73</v>
      </c>
      <c r="D199" t="s">
        <v>3</v>
      </c>
      <c r="E199" t="s">
        <v>14</v>
      </c>
      <c r="F199" t="s">
        <v>11</v>
      </c>
      <c r="G199" t="s">
        <v>69</v>
      </c>
      <c r="H199">
        <v>2024</v>
      </c>
      <c r="I199">
        <v>4217</v>
      </c>
      <c r="J199">
        <v>26</v>
      </c>
      <c r="K199" t="s">
        <v>25</v>
      </c>
      <c r="L199">
        <v>1.1000000000000001</v>
      </c>
      <c r="M199">
        <v>6.3</v>
      </c>
      <c r="N199">
        <v>1829</v>
      </c>
      <c r="O199" t="s">
        <v>75</v>
      </c>
      <c r="P199">
        <v>23.7</v>
      </c>
      <c r="Q199" t="s">
        <v>86</v>
      </c>
      <c r="R199">
        <v>-1.7</v>
      </c>
      <c r="S199">
        <v>31</v>
      </c>
      <c r="T199">
        <v>7.6</v>
      </c>
      <c r="U199">
        <v>1</v>
      </c>
      <c r="V199">
        <v>5.8</v>
      </c>
      <c r="W199">
        <v>4.5</v>
      </c>
      <c r="X199" t="s">
        <v>66</v>
      </c>
    </row>
    <row r="200" spans="2:24" x14ac:dyDescent="0.3">
      <c r="B200" t="s">
        <v>293</v>
      </c>
      <c r="C200" t="s">
        <v>81</v>
      </c>
      <c r="D200" t="s">
        <v>5</v>
      </c>
      <c r="E200" t="s">
        <v>16</v>
      </c>
      <c r="F200" t="s">
        <v>12</v>
      </c>
      <c r="G200" t="s">
        <v>54</v>
      </c>
      <c r="H200">
        <v>2026</v>
      </c>
      <c r="I200">
        <v>6609</v>
      </c>
      <c r="J200">
        <v>7.8</v>
      </c>
      <c r="K200" t="s">
        <v>24</v>
      </c>
      <c r="L200">
        <v>5.4</v>
      </c>
      <c r="M200">
        <v>7.3</v>
      </c>
      <c r="N200">
        <v>1683</v>
      </c>
      <c r="O200" t="s">
        <v>64</v>
      </c>
      <c r="P200">
        <v>40.299999999999997</v>
      </c>
      <c r="Q200" t="s">
        <v>76</v>
      </c>
      <c r="R200">
        <v>-42.3</v>
      </c>
      <c r="S200">
        <v>23.4</v>
      </c>
      <c r="T200">
        <v>5.9</v>
      </c>
      <c r="U200">
        <v>4.4000000000000004</v>
      </c>
      <c r="V200">
        <v>5.0999999999999996</v>
      </c>
      <c r="W200">
        <v>5.8</v>
      </c>
      <c r="X200" t="s">
        <v>116</v>
      </c>
    </row>
    <row r="201" spans="2:24" x14ac:dyDescent="0.3">
      <c r="B201" t="s">
        <v>294</v>
      </c>
      <c r="C201" t="s">
        <v>106</v>
      </c>
      <c r="D201" t="s">
        <v>7</v>
      </c>
      <c r="E201" t="s">
        <v>19</v>
      </c>
      <c r="F201" t="s">
        <v>12</v>
      </c>
      <c r="G201" t="s">
        <v>131</v>
      </c>
      <c r="H201">
        <v>2024</v>
      </c>
      <c r="I201">
        <v>4429</v>
      </c>
      <c r="J201">
        <v>5.7</v>
      </c>
      <c r="K201" t="s">
        <v>23</v>
      </c>
      <c r="L201">
        <v>6.9</v>
      </c>
      <c r="M201">
        <v>8.5</v>
      </c>
      <c r="N201">
        <v>2264</v>
      </c>
      <c r="O201" t="s">
        <v>64</v>
      </c>
      <c r="P201">
        <v>80.599999999999994</v>
      </c>
      <c r="Q201" t="s">
        <v>76</v>
      </c>
      <c r="R201">
        <v>34.5</v>
      </c>
      <c r="S201">
        <v>-13.2</v>
      </c>
      <c r="T201">
        <v>-14.5</v>
      </c>
      <c r="U201">
        <v>4.9000000000000004</v>
      </c>
      <c r="V201">
        <v>5.0999999999999996</v>
      </c>
      <c r="W201">
        <v>5.7</v>
      </c>
      <c r="X201" t="s">
        <v>116</v>
      </c>
    </row>
    <row r="202" spans="2:24" x14ac:dyDescent="0.3">
      <c r="B202" t="s">
        <v>295</v>
      </c>
      <c r="C202" t="s">
        <v>90</v>
      </c>
      <c r="D202" t="s">
        <v>2</v>
      </c>
      <c r="E202" t="s">
        <v>14</v>
      </c>
      <c r="F202" t="s">
        <v>11</v>
      </c>
      <c r="G202" t="s">
        <v>78</v>
      </c>
      <c r="H202">
        <v>2024</v>
      </c>
      <c r="I202">
        <v>10557</v>
      </c>
      <c r="J202">
        <v>37.6</v>
      </c>
      <c r="K202" t="s">
        <v>21</v>
      </c>
      <c r="L202">
        <v>2.2999999999999998</v>
      </c>
      <c r="M202">
        <v>9.3000000000000007</v>
      </c>
      <c r="N202">
        <v>2452</v>
      </c>
      <c r="O202" t="s">
        <v>75</v>
      </c>
      <c r="P202">
        <v>73.900000000000006</v>
      </c>
      <c r="Q202" t="s">
        <v>56</v>
      </c>
      <c r="R202">
        <v>52.9</v>
      </c>
      <c r="S202">
        <v>-19.2</v>
      </c>
      <c r="T202">
        <v>-8.3000000000000007</v>
      </c>
      <c r="U202">
        <v>3.2</v>
      </c>
      <c r="V202">
        <v>2.2000000000000002</v>
      </c>
      <c r="W202">
        <v>2.6</v>
      </c>
      <c r="X202" t="s">
        <v>66</v>
      </c>
    </row>
    <row r="203" spans="2:24" x14ac:dyDescent="0.3">
      <c r="B203" t="s">
        <v>296</v>
      </c>
      <c r="C203" t="s">
        <v>73</v>
      </c>
      <c r="D203" t="s">
        <v>3</v>
      </c>
      <c r="E203" t="s">
        <v>15</v>
      </c>
      <c r="F203" t="s">
        <v>11</v>
      </c>
      <c r="G203" t="s">
        <v>112</v>
      </c>
      <c r="H203">
        <v>2025</v>
      </c>
      <c r="I203">
        <v>1846</v>
      </c>
      <c r="J203">
        <v>7.3</v>
      </c>
      <c r="K203" t="s">
        <v>23</v>
      </c>
      <c r="L203">
        <v>8.4</v>
      </c>
      <c r="M203">
        <v>6.9</v>
      </c>
      <c r="N203">
        <v>1992</v>
      </c>
      <c r="O203" t="s">
        <v>64</v>
      </c>
      <c r="P203">
        <v>31.1</v>
      </c>
      <c r="Q203" t="s">
        <v>56</v>
      </c>
      <c r="R203">
        <v>4.8</v>
      </c>
      <c r="S203">
        <v>45.8</v>
      </c>
      <c r="T203">
        <v>16.8</v>
      </c>
      <c r="U203">
        <v>8.3000000000000007</v>
      </c>
      <c r="V203">
        <v>8.6999999999999993</v>
      </c>
      <c r="W203">
        <v>6.5</v>
      </c>
      <c r="X203" t="s">
        <v>57</v>
      </c>
    </row>
    <row r="204" spans="2:24" x14ac:dyDescent="0.3">
      <c r="B204" t="s">
        <v>297</v>
      </c>
      <c r="C204" t="s">
        <v>53</v>
      </c>
      <c r="D204" t="s">
        <v>3</v>
      </c>
      <c r="E204" t="s">
        <v>14</v>
      </c>
      <c r="F204" t="s">
        <v>9</v>
      </c>
      <c r="G204" t="s">
        <v>115</v>
      </c>
      <c r="H204">
        <v>2026</v>
      </c>
      <c r="I204">
        <v>201</v>
      </c>
      <c r="J204">
        <v>5.6</v>
      </c>
      <c r="K204" t="s">
        <v>25</v>
      </c>
      <c r="L204">
        <v>9.9</v>
      </c>
      <c r="M204">
        <v>6.6</v>
      </c>
      <c r="N204">
        <v>636</v>
      </c>
      <c r="O204" t="s">
        <v>64</v>
      </c>
      <c r="P204">
        <v>32.700000000000003</v>
      </c>
      <c r="Q204" t="s">
        <v>76</v>
      </c>
      <c r="R204">
        <v>-38.9</v>
      </c>
      <c r="S204">
        <v>-9.1999999999999993</v>
      </c>
      <c r="T204">
        <v>7.1</v>
      </c>
      <c r="U204">
        <v>7.5</v>
      </c>
      <c r="V204">
        <v>8.1999999999999993</v>
      </c>
      <c r="W204">
        <v>6.3</v>
      </c>
      <c r="X204" t="s">
        <v>57</v>
      </c>
    </row>
    <row r="205" spans="2:24" x14ac:dyDescent="0.3">
      <c r="B205" t="s">
        <v>298</v>
      </c>
      <c r="C205" t="s">
        <v>53</v>
      </c>
      <c r="D205" t="s">
        <v>2</v>
      </c>
      <c r="E205" t="s">
        <v>19</v>
      </c>
      <c r="F205" t="s">
        <v>12</v>
      </c>
      <c r="G205" t="s">
        <v>115</v>
      </c>
      <c r="H205">
        <v>2024</v>
      </c>
      <c r="I205">
        <v>18787</v>
      </c>
      <c r="J205">
        <v>28.2</v>
      </c>
      <c r="K205" t="s">
        <v>23</v>
      </c>
      <c r="L205">
        <v>4.0999999999999996</v>
      </c>
      <c r="M205">
        <v>8.4</v>
      </c>
      <c r="N205">
        <v>9762</v>
      </c>
      <c r="O205" t="s">
        <v>55</v>
      </c>
      <c r="P205">
        <v>90</v>
      </c>
      <c r="Q205" t="s">
        <v>76</v>
      </c>
      <c r="R205">
        <v>59.1</v>
      </c>
      <c r="S205">
        <v>-24.8</v>
      </c>
      <c r="T205">
        <v>-9</v>
      </c>
      <c r="U205">
        <v>3.3</v>
      </c>
      <c r="V205">
        <v>3.1</v>
      </c>
      <c r="W205">
        <v>3.1</v>
      </c>
      <c r="X205" t="s">
        <v>66</v>
      </c>
    </row>
    <row r="206" spans="2:24" x14ac:dyDescent="0.3">
      <c r="B206" t="s">
        <v>299</v>
      </c>
      <c r="C206" t="s">
        <v>83</v>
      </c>
      <c r="D206" t="s">
        <v>4</v>
      </c>
      <c r="E206" t="s">
        <v>18</v>
      </c>
      <c r="F206" t="s">
        <v>12</v>
      </c>
      <c r="G206" t="s">
        <v>98</v>
      </c>
      <c r="H206">
        <v>2024</v>
      </c>
      <c r="I206">
        <v>6001</v>
      </c>
      <c r="J206">
        <v>4.4000000000000004</v>
      </c>
      <c r="K206" t="s">
        <v>24</v>
      </c>
      <c r="L206">
        <v>3.8</v>
      </c>
      <c r="M206">
        <v>9.4</v>
      </c>
      <c r="N206">
        <v>4823</v>
      </c>
      <c r="O206" t="s">
        <v>55</v>
      </c>
      <c r="P206">
        <v>87.3</v>
      </c>
      <c r="Q206" t="s">
        <v>84</v>
      </c>
      <c r="R206">
        <v>75.099999999999994</v>
      </c>
      <c r="S206">
        <v>30.3</v>
      </c>
      <c r="T206">
        <v>13.2</v>
      </c>
      <c r="U206">
        <v>5.7</v>
      </c>
      <c r="V206">
        <v>9</v>
      </c>
      <c r="W206">
        <v>6.5</v>
      </c>
      <c r="X206" t="s">
        <v>116</v>
      </c>
    </row>
    <row r="207" spans="2:24" x14ac:dyDescent="0.3">
      <c r="B207" t="s">
        <v>300</v>
      </c>
      <c r="C207" t="s">
        <v>122</v>
      </c>
      <c r="D207" t="s">
        <v>2</v>
      </c>
      <c r="E207" t="s">
        <v>17</v>
      </c>
      <c r="F207" t="s">
        <v>9</v>
      </c>
      <c r="G207" t="s">
        <v>54</v>
      </c>
      <c r="H207">
        <v>2024</v>
      </c>
      <c r="I207">
        <v>16472</v>
      </c>
      <c r="J207">
        <v>32.4</v>
      </c>
      <c r="K207" t="s">
        <v>24</v>
      </c>
      <c r="L207">
        <v>7</v>
      </c>
      <c r="M207">
        <v>10</v>
      </c>
      <c r="N207">
        <v>8696</v>
      </c>
      <c r="O207" t="s">
        <v>55</v>
      </c>
      <c r="P207">
        <v>19.3</v>
      </c>
      <c r="Q207" t="s">
        <v>56</v>
      </c>
      <c r="R207">
        <v>13.4</v>
      </c>
      <c r="S207">
        <v>44.4</v>
      </c>
      <c r="T207">
        <v>5</v>
      </c>
      <c r="U207">
        <v>6</v>
      </c>
      <c r="V207">
        <v>4.5999999999999996</v>
      </c>
      <c r="W207">
        <v>4.4000000000000004</v>
      </c>
      <c r="X207" t="s">
        <v>66</v>
      </c>
    </row>
    <row r="208" spans="2:24" x14ac:dyDescent="0.3">
      <c r="B208" t="s">
        <v>301</v>
      </c>
      <c r="C208" t="s">
        <v>106</v>
      </c>
      <c r="D208" t="s">
        <v>8</v>
      </c>
      <c r="E208" t="s">
        <v>14</v>
      </c>
      <c r="F208" t="s">
        <v>11</v>
      </c>
      <c r="G208" t="s">
        <v>60</v>
      </c>
      <c r="H208">
        <v>2026</v>
      </c>
      <c r="I208">
        <v>5525</v>
      </c>
      <c r="J208">
        <v>2.1</v>
      </c>
      <c r="K208" t="s">
        <v>25</v>
      </c>
      <c r="L208">
        <v>11</v>
      </c>
      <c r="M208">
        <v>8.9</v>
      </c>
      <c r="N208">
        <v>2769</v>
      </c>
      <c r="O208" t="s">
        <v>55</v>
      </c>
      <c r="P208">
        <v>69.2</v>
      </c>
      <c r="Q208" t="s">
        <v>65</v>
      </c>
      <c r="R208">
        <v>67.5</v>
      </c>
      <c r="S208">
        <v>9.4</v>
      </c>
      <c r="T208">
        <v>16.7</v>
      </c>
      <c r="U208">
        <v>8.6</v>
      </c>
      <c r="V208">
        <v>5.4</v>
      </c>
      <c r="W208">
        <v>6.2</v>
      </c>
      <c r="X208" t="s">
        <v>116</v>
      </c>
    </row>
    <row r="209" spans="2:24" x14ac:dyDescent="0.3">
      <c r="B209" t="s">
        <v>302</v>
      </c>
      <c r="C209" t="s">
        <v>159</v>
      </c>
      <c r="D209" t="s">
        <v>2</v>
      </c>
      <c r="E209" t="s">
        <v>16</v>
      </c>
      <c r="F209" t="s">
        <v>9</v>
      </c>
      <c r="G209" t="s">
        <v>78</v>
      </c>
      <c r="H209">
        <v>2026</v>
      </c>
      <c r="I209">
        <v>19761</v>
      </c>
      <c r="J209">
        <v>14.9</v>
      </c>
      <c r="K209" t="s">
        <v>24</v>
      </c>
      <c r="L209">
        <v>4.3</v>
      </c>
      <c r="M209">
        <v>7.7</v>
      </c>
      <c r="N209">
        <v>7953</v>
      </c>
      <c r="O209" t="s">
        <v>55</v>
      </c>
      <c r="P209">
        <v>73.2</v>
      </c>
      <c r="Q209" t="s">
        <v>56</v>
      </c>
      <c r="R209">
        <v>37.200000000000003</v>
      </c>
      <c r="S209">
        <v>10</v>
      </c>
      <c r="T209">
        <v>1.9</v>
      </c>
      <c r="U209">
        <v>5.8</v>
      </c>
      <c r="V209">
        <v>5.8</v>
      </c>
      <c r="W209">
        <v>6</v>
      </c>
      <c r="X209" t="s">
        <v>66</v>
      </c>
    </row>
    <row r="210" spans="2:24" x14ac:dyDescent="0.3">
      <c r="B210" t="s">
        <v>303</v>
      </c>
      <c r="C210" t="s">
        <v>90</v>
      </c>
      <c r="D210" t="s">
        <v>2</v>
      </c>
      <c r="E210" t="s">
        <v>17</v>
      </c>
      <c r="F210" t="s">
        <v>11</v>
      </c>
      <c r="G210" t="s">
        <v>115</v>
      </c>
      <c r="H210">
        <v>2026</v>
      </c>
      <c r="I210">
        <v>3502</v>
      </c>
      <c r="J210">
        <v>8.4</v>
      </c>
      <c r="K210" t="s">
        <v>21</v>
      </c>
      <c r="L210">
        <v>4.5999999999999996</v>
      </c>
      <c r="M210">
        <v>3.2</v>
      </c>
      <c r="N210">
        <v>8282</v>
      </c>
      <c r="O210" t="s">
        <v>55</v>
      </c>
      <c r="P210">
        <v>16.100000000000001</v>
      </c>
      <c r="Q210" t="s">
        <v>56</v>
      </c>
      <c r="R210">
        <v>21.8</v>
      </c>
      <c r="S210">
        <v>26.8</v>
      </c>
      <c r="T210">
        <v>5.2</v>
      </c>
      <c r="U210">
        <v>3.1</v>
      </c>
      <c r="V210">
        <v>8</v>
      </c>
      <c r="W210">
        <v>7.5</v>
      </c>
      <c r="X210" t="s">
        <v>116</v>
      </c>
    </row>
    <row r="211" spans="2:24" x14ac:dyDescent="0.3">
      <c r="B211" t="s">
        <v>304</v>
      </c>
      <c r="C211" t="s">
        <v>159</v>
      </c>
      <c r="D211" t="s">
        <v>7</v>
      </c>
      <c r="E211" t="s">
        <v>16</v>
      </c>
      <c r="F211" t="s">
        <v>12</v>
      </c>
      <c r="G211" t="s">
        <v>101</v>
      </c>
      <c r="H211">
        <v>2024</v>
      </c>
      <c r="I211">
        <v>2786</v>
      </c>
      <c r="J211">
        <v>4.8</v>
      </c>
      <c r="K211" t="s">
        <v>24</v>
      </c>
      <c r="L211">
        <v>7.6</v>
      </c>
      <c r="M211">
        <v>6.5</v>
      </c>
      <c r="N211">
        <v>261</v>
      </c>
      <c r="O211" t="s">
        <v>64</v>
      </c>
      <c r="P211">
        <v>64.099999999999994</v>
      </c>
      <c r="Q211" t="s">
        <v>76</v>
      </c>
      <c r="R211">
        <v>24.2</v>
      </c>
      <c r="S211">
        <v>32.4</v>
      </c>
      <c r="T211">
        <v>23.9</v>
      </c>
      <c r="U211">
        <v>6.3</v>
      </c>
      <c r="V211">
        <v>6.6</v>
      </c>
      <c r="W211">
        <v>7.9</v>
      </c>
      <c r="X211" t="s">
        <v>116</v>
      </c>
    </row>
    <row r="212" spans="2:24" x14ac:dyDescent="0.3">
      <c r="B212" t="s">
        <v>305</v>
      </c>
      <c r="C212" t="s">
        <v>73</v>
      </c>
      <c r="D212" t="s">
        <v>3</v>
      </c>
      <c r="E212" t="s">
        <v>17</v>
      </c>
      <c r="F212" t="s">
        <v>9</v>
      </c>
      <c r="G212" t="s">
        <v>98</v>
      </c>
      <c r="H212">
        <v>2025</v>
      </c>
      <c r="I212">
        <v>6308</v>
      </c>
      <c r="J212">
        <v>30.8</v>
      </c>
      <c r="K212" t="s">
        <v>25</v>
      </c>
      <c r="L212">
        <v>7.3</v>
      </c>
      <c r="M212">
        <v>10</v>
      </c>
      <c r="N212">
        <v>370</v>
      </c>
      <c r="O212" t="s">
        <v>75</v>
      </c>
      <c r="P212">
        <v>71.8</v>
      </c>
      <c r="Q212" t="s">
        <v>76</v>
      </c>
      <c r="R212">
        <v>58.6</v>
      </c>
      <c r="S212">
        <v>38.700000000000003</v>
      </c>
      <c r="T212">
        <v>10.7</v>
      </c>
      <c r="U212">
        <v>7.3</v>
      </c>
      <c r="V212">
        <v>7.2</v>
      </c>
      <c r="W212">
        <v>3.3</v>
      </c>
      <c r="X212" t="s">
        <v>66</v>
      </c>
    </row>
    <row r="213" spans="2:24" x14ac:dyDescent="0.3">
      <c r="B213" t="s">
        <v>306</v>
      </c>
      <c r="C213" t="s">
        <v>53</v>
      </c>
      <c r="D213" t="s">
        <v>7</v>
      </c>
      <c r="E213" t="s">
        <v>16</v>
      </c>
      <c r="F213" t="s">
        <v>9</v>
      </c>
      <c r="G213" t="s">
        <v>54</v>
      </c>
      <c r="H213">
        <v>2026</v>
      </c>
      <c r="I213">
        <v>5426</v>
      </c>
      <c r="J213">
        <v>7.5</v>
      </c>
      <c r="K213" t="s">
        <v>21</v>
      </c>
      <c r="L213">
        <v>3.1</v>
      </c>
      <c r="M213">
        <v>4</v>
      </c>
      <c r="N213">
        <v>5807</v>
      </c>
      <c r="O213" t="s">
        <v>64</v>
      </c>
      <c r="P213">
        <v>71.599999999999994</v>
      </c>
      <c r="Q213" t="s">
        <v>56</v>
      </c>
      <c r="R213">
        <v>58.8</v>
      </c>
      <c r="S213">
        <v>33.5</v>
      </c>
      <c r="T213">
        <v>17.2</v>
      </c>
      <c r="U213">
        <v>2.4</v>
      </c>
      <c r="V213">
        <v>8.3000000000000007</v>
      </c>
      <c r="W213">
        <v>7.4</v>
      </c>
      <c r="X213" t="s">
        <v>116</v>
      </c>
    </row>
    <row r="214" spans="2:24" x14ac:dyDescent="0.3">
      <c r="B214" t="s">
        <v>307</v>
      </c>
      <c r="C214" t="s">
        <v>142</v>
      </c>
      <c r="D214" t="s">
        <v>8</v>
      </c>
      <c r="E214" t="s">
        <v>18</v>
      </c>
      <c r="F214" t="s">
        <v>10</v>
      </c>
      <c r="G214" t="s">
        <v>112</v>
      </c>
      <c r="H214">
        <v>2025</v>
      </c>
      <c r="I214">
        <v>782</v>
      </c>
      <c r="J214">
        <v>3.1</v>
      </c>
      <c r="K214" t="s">
        <v>22</v>
      </c>
      <c r="L214">
        <v>4</v>
      </c>
      <c r="M214">
        <v>5.4</v>
      </c>
      <c r="N214">
        <v>4870</v>
      </c>
      <c r="O214" t="s">
        <v>64</v>
      </c>
      <c r="P214">
        <v>89.4</v>
      </c>
      <c r="Q214" t="s">
        <v>65</v>
      </c>
      <c r="R214">
        <v>-38.799999999999997</v>
      </c>
      <c r="S214">
        <v>5</v>
      </c>
      <c r="T214">
        <v>11.9</v>
      </c>
      <c r="U214">
        <v>2.9</v>
      </c>
      <c r="V214">
        <v>6.2</v>
      </c>
      <c r="W214">
        <v>6.6</v>
      </c>
      <c r="X214" t="s">
        <v>57</v>
      </c>
    </row>
    <row r="215" spans="2:24" x14ac:dyDescent="0.3">
      <c r="B215" t="s">
        <v>308</v>
      </c>
      <c r="C215" t="s">
        <v>62</v>
      </c>
      <c r="D215" t="s">
        <v>2</v>
      </c>
      <c r="E215" t="s">
        <v>19</v>
      </c>
      <c r="F215" t="s">
        <v>11</v>
      </c>
      <c r="G215" t="s">
        <v>104</v>
      </c>
      <c r="H215">
        <v>2026</v>
      </c>
      <c r="I215">
        <v>15484</v>
      </c>
      <c r="J215">
        <v>14.6</v>
      </c>
      <c r="K215" t="s">
        <v>25</v>
      </c>
      <c r="L215">
        <v>2</v>
      </c>
      <c r="M215">
        <v>3.3</v>
      </c>
      <c r="N215">
        <v>2099</v>
      </c>
      <c r="O215" t="s">
        <v>64</v>
      </c>
      <c r="P215">
        <v>45.8</v>
      </c>
      <c r="Q215" t="s">
        <v>76</v>
      </c>
      <c r="R215">
        <v>59.7</v>
      </c>
      <c r="S215">
        <v>-0.5</v>
      </c>
      <c r="T215">
        <v>-7.1</v>
      </c>
      <c r="U215">
        <v>2</v>
      </c>
      <c r="V215">
        <v>6.5</v>
      </c>
      <c r="W215">
        <v>6</v>
      </c>
      <c r="X215" t="s">
        <v>66</v>
      </c>
    </row>
    <row r="216" spans="2:24" x14ac:dyDescent="0.3">
      <c r="B216" t="s">
        <v>309</v>
      </c>
      <c r="C216" t="s">
        <v>137</v>
      </c>
      <c r="D216" t="s">
        <v>3</v>
      </c>
      <c r="E216" t="s">
        <v>17</v>
      </c>
      <c r="F216" t="s">
        <v>10</v>
      </c>
      <c r="G216" t="s">
        <v>69</v>
      </c>
      <c r="H216">
        <v>2024</v>
      </c>
      <c r="I216">
        <v>257</v>
      </c>
      <c r="J216">
        <v>2.6</v>
      </c>
      <c r="K216" t="s">
        <v>21</v>
      </c>
      <c r="L216">
        <v>3.3</v>
      </c>
      <c r="M216">
        <v>3.8</v>
      </c>
      <c r="N216">
        <v>5133</v>
      </c>
      <c r="O216" t="s">
        <v>55</v>
      </c>
      <c r="P216">
        <v>85.4</v>
      </c>
      <c r="Q216" t="s">
        <v>76</v>
      </c>
      <c r="R216">
        <v>59.2</v>
      </c>
      <c r="S216">
        <v>-23.3</v>
      </c>
      <c r="T216">
        <v>-5.4</v>
      </c>
      <c r="U216">
        <v>2.5</v>
      </c>
      <c r="V216">
        <v>6</v>
      </c>
      <c r="W216">
        <v>6</v>
      </c>
      <c r="X216" t="s">
        <v>57</v>
      </c>
    </row>
    <row r="217" spans="2:24" x14ac:dyDescent="0.3">
      <c r="B217" t="s">
        <v>310</v>
      </c>
      <c r="C217" t="s">
        <v>122</v>
      </c>
      <c r="D217" t="s">
        <v>2</v>
      </c>
      <c r="E217" t="s">
        <v>15</v>
      </c>
      <c r="F217" t="s">
        <v>11</v>
      </c>
      <c r="G217" t="s">
        <v>54</v>
      </c>
      <c r="H217">
        <v>2025</v>
      </c>
      <c r="I217">
        <v>1225</v>
      </c>
      <c r="J217">
        <v>3.3</v>
      </c>
      <c r="K217" t="s">
        <v>25</v>
      </c>
      <c r="L217">
        <v>10.1</v>
      </c>
      <c r="M217">
        <v>4.3</v>
      </c>
      <c r="N217">
        <v>9191</v>
      </c>
      <c r="O217" t="s">
        <v>118</v>
      </c>
      <c r="P217">
        <v>43.3</v>
      </c>
      <c r="Q217" t="s">
        <v>76</v>
      </c>
      <c r="R217">
        <v>-16.600000000000001</v>
      </c>
      <c r="S217">
        <v>3.8</v>
      </c>
      <c r="T217">
        <v>6</v>
      </c>
      <c r="U217">
        <v>8.5</v>
      </c>
      <c r="V217">
        <v>7.2</v>
      </c>
      <c r="W217">
        <v>6.7</v>
      </c>
      <c r="X217" t="s">
        <v>57</v>
      </c>
    </row>
    <row r="218" spans="2:24" x14ac:dyDescent="0.3">
      <c r="B218" t="s">
        <v>311</v>
      </c>
      <c r="C218" t="s">
        <v>137</v>
      </c>
      <c r="D218" t="s">
        <v>3</v>
      </c>
      <c r="E218" t="s">
        <v>18</v>
      </c>
      <c r="F218" t="s">
        <v>11</v>
      </c>
      <c r="G218" t="s">
        <v>98</v>
      </c>
      <c r="H218">
        <v>2026</v>
      </c>
      <c r="I218">
        <v>529</v>
      </c>
      <c r="J218">
        <v>1.1000000000000001</v>
      </c>
      <c r="K218" t="s">
        <v>24</v>
      </c>
      <c r="L218">
        <v>8.4</v>
      </c>
      <c r="M218">
        <v>4.5999999999999996</v>
      </c>
      <c r="N218">
        <v>4707</v>
      </c>
      <c r="O218" t="s">
        <v>55</v>
      </c>
      <c r="P218">
        <v>40.700000000000003</v>
      </c>
      <c r="Q218" t="s">
        <v>56</v>
      </c>
      <c r="R218">
        <v>50.9</v>
      </c>
      <c r="S218">
        <v>31.2</v>
      </c>
      <c r="T218">
        <v>6.9</v>
      </c>
      <c r="U218">
        <v>7.8</v>
      </c>
      <c r="V218">
        <v>9.1999999999999993</v>
      </c>
      <c r="W218">
        <v>7.4</v>
      </c>
      <c r="X218" t="s">
        <v>116</v>
      </c>
    </row>
    <row r="219" spans="2:24" x14ac:dyDescent="0.3">
      <c r="B219" t="s">
        <v>312</v>
      </c>
      <c r="C219" t="s">
        <v>139</v>
      </c>
      <c r="D219" t="s">
        <v>8</v>
      </c>
      <c r="E219" t="s">
        <v>15</v>
      </c>
      <c r="F219" t="s">
        <v>12</v>
      </c>
      <c r="G219" t="s">
        <v>54</v>
      </c>
      <c r="H219">
        <v>2026</v>
      </c>
      <c r="I219">
        <v>1188</v>
      </c>
      <c r="J219">
        <v>6.9</v>
      </c>
      <c r="K219" t="s">
        <v>23</v>
      </c>
      <c r="L219">
        <v>5.0999999999999996</v>
      </c>
      <c r="M219">
        <v>6.1</v>
      </c>
      <c r="N219">
        <v>5562</v>
      </c>
      <c r="O219" t="s">
        <v>55</v>
      </c>
      <c r="P219">
        <v>11.8</v>
      </c>
      <c r="Q219" t="s">
        <v>86</v>
      </c>
      <c r="R219">
        <v>83.8</v>
      </c>
      <c r="S219">
        <v>-12.9</v>
      </c>
      <c r="T219">
        <v>0.4</v>
      </c>
      <c r="U219">
        <v>7</v>
      </c>
      <c r="V219">
        <v>4.3</v>
      </c>
      <c r="W219">
        <v>4.9000000000000004</v>
      </c>
      <c r="X219" t="s">
        <v>116</v>
      </c>
    </row>
    <row r="220" spans="2:24" x14ac:dyDescent="0.3">
      <c r="B220" t="s">
        <v>313</v>
      </c>
      <c r="C220" t="s">
        <v>90</v>
      </c>
      <c r="D220" t="s">
        <v>3</v>
      </c>
      <c r="E220" t="s">
        <v>15</v>
      </c>
      <c r="F220" t="s">
        <v>12</v>
      </c>
      <c r="G220" t="s">
        <v>54</v>
      </c>
      <c r="H220">
        <v>2025</v>
      </c>
      <c r="I220">
        <v>2306</v>
      </c>
      <c r="J220">
        <v>7</v>
      </c>
      <c r="K220" t="s">
        <v>21</v>
      </c>
      <c r="L220">
        <v>3.2</v>
      </c>
      <c r="M220">
        <v>6.7</v>
      </c>
      <c r="N220">
        <v>2121</v>
      </c>
      <c r="O220" t="s">
        <v>64</v>
      </c>
      <c r="P220">
        <v>16.399999999999999</v>
      </c>
      <c r="Q220" t="s">
        <v>65</v>
      </c>
      <c r="R220">
        <v>34.6</v>
      </c>
      <c r="S220">
        <v>33.200000000000003</v>
      </c>
      <c r="T220">
        <v>10.4</v>
      </c>
      <c r="U220">
        <v>3.6</v>
      </c>
      <c r="V220">
        <v>7.2</v>
      </c>
      <c r="W220">
        <v>6.6</v>
      </c>
      <c r="X220" t="s">
        <v>57</v>
      </c>
    </row>
    <row r="221" spans="2:24" x14ac:dyDescent="0.3">
      <c r="B221" t="s">
        <v>314</v>
      </c>
      <c r="C221" t="s">
        <v>53</v>
      </c>
      <c r="D221" t="s">
        <v>3</v>
      </c>
      <c r="E221" t="s">
        <v>18</v>
      </c>
      <c r="F221" t="s">
        <v>12</v>
      </c>
      <c r="G221" t="s">
        <v>115</v>
      </c>
      <c r="H221">
        <v>2024</v>
      </c>
      <c r="I221">
        <v>14548</v>
      </c>
      <c r="J221">
        <v>22.9</v>
      </c>
      <c r="K221" t="s">
        <v>24</v>
      </c>
      <c r="L221">
        <v>12.4</v>
      </c>
      <c r="M221">
        <v>10</v>
      </c>
      <c r="N221">
        <v>1043</v>
      </c>
      <c r="O221" t="s">
        <v>64</v>
      </c>
      <c r="P221">
        <v>36.6</v>
      </c>
      <c r="Q221" t="s">
        <v>56</v>
      </c>
      <c r="R221">
        <v>-31.7</v>
      </c>
      <c r="S221">
        <v>-15</v>
      </c>
      <c r="T221">
        <v>-12.7</v>
      </c>
      <c r="U221">
        <v>8.3000000000000007</v>
      </c>
      <c r="V221">
        <v>6.6</v>
      </c>
      <c r="W221">
        <v>3.5</v>
      </c>
      <c r="X221" t="s">
        <v>66</v>
      </c>
    </row>
    <row r="222" spans="2:24" x14ac:dyDescent="0.3">
      <c r="B222" t="s">
        <v>315</v>
      </c>
      <c r="C222" t="s">
        <v>27</v>
      </c>
      <c r="D222" t="s">
        <v>3</v>
      </c>
      <c r="E222" t="s">
        <v>17</v>
      </c>
      <c r="F222" t="s">
        <v>9</v>
      </c>
      <c r="G222" t="s">
        <v>54</v>
      </c>
      <c r="H222">
        <v>2026</v>
      </c>
      <c r="I222">
        <v>3042</v>
      </c>
      <c r="J222">
        <v>22.8</v>
      </c>
      <c r="K222" t="s">
        <v>22</v>
      </c>
      <c r="L222">
        <v>2.2999999999999998</v>
      </c>
      <c r="M222">
        <v>8.1999999999999993</v>
      </c>
      <c r="N222">
        <v>1309</v>
      </c>
      <c r="O222" t="s">
        <v>75</v>
      </c>
      <c r="P222">
        <v>68.7</v>
      </c>
      <c r="Q222" t="s">
        <v>65</v>
      </c>
      <c r="R222">
        <v>-6.4</v>
      </c>
      <c r="S222">
        <v>48.5</v>
      </c>
      <c r="T222">
        <v>22</v>
      </c>
      <c r="U222">
        <v>3.5</v>
      </c>
      <c r="V222">
        <v>4.8</v>
      </c>
      <c r="W222">
        <v>4.9000000000000004</v>
      </c>
      <c r="X222" t="s">
        <v>66</v>
      </c>
    </row>
    <row r="223" spans="2:24" x14ac:dyDescent="0.3">
      <c r="B223" t="s">
        <v>316</v>
      </c>
      <c r="C223" t="s">
        <v>90</v>
      </c>
      <c r="D223" t="s">
        <v>3</v>
      </c>
      <c r="E223" t="s">
        <v>16</v>
      </c>
      <c r="F223" t="s">
        <v>10</v>
      </c>
      <c r="G223" t="s">
        <v>60</v>
      </c>
      <c r="H223">
        <v>2026</v>
      </c>
      <c r="I223">
        <v>2638</v>
      </c>
      <c r="J223">
        <v>17.5</v>
      </c>
      <c r="K223" t="s">
        <v>23</v>
      </c>
      <c r="L223">
        <v>2.5</v>
      </c>
      <c r="M223">
        <v>7.5</v>
      </c>
      <c r="N223">
        <v>3601</v>
      </c>
      <c r="O223" t="s">
        <v>64</v>
      </c>
      <c r="P223">
        <v>37.6</v>
      </c>
      <c r="Q223" t="s">
        <v>125</v>
      </c>
      <c r="R223">
        <v>40.9</v>
      </c>
      <c r="S223">
        <v>55.7</v>
      </c>
      <c r="T223">
        <v>28</v>
      </c>
      <c r="U223">
        <v>2.1</v>
      </c>
      <c r="V223">
        <v>6.8</v>
      </c>
      <c r="W223">
        <v>6.6</v>
      </c>
      <c r="X223" t="s">
        <v>116</v>
      </c>
    </row>
    <row r="224" spans="2:24" x14ac:dyDescent="0.3">
      <c r="B224" t="s">
        <v>317</v>
      </c>
      <c r="C224" t="s">
        <v>90</v>
      </c>
      <c r="D224" t="s">
        <v>2</v>
      </c>
      <c r="E224" t="s">
        <v>15</v>
      </c>
      <c r="F224" t="s">
        <v>10</v>
      </c>
      <c r="G224" t="s">
        <v>131</v>
      </c>
      <c r="H224">
        <v>2025</v>
      </c>
      <c r="I224">
        <v>2929</v>
      </c>
      <c r="J224">
        <v>10.5</v>
      </c>
      <c r="K224" t="s">
        <v>22</v>
      </c>
      <c r="L224">
        <v>8.9</v>
      </c>
      <c r="M224">
        <v>9.4</v>
      </c>
      <c r="N224">
        <v>2473</v>
      </c>
      <c r="O224" t="s">
        <v>64</v>
      </c>
      <c r="P224">
        <v>65.599999999999994</v>
      </c>
      <c r="Q224" t="s">
        <v>56</v>
      </c>
      <c r="R224">
        <v>-3</v>
      </c>
      <c r="S224">
        <v>-14.7</v>
      </c>
      <c r="T224">
        <v>2.6</v>
      </c>
      <c r="U224">
        <v>8.6999999999999993</v>
      </c>
      <c r="V224">
        <v>5.7</v>
      </c>
      <c r="W224">
        <v>4.8</v>
      </c>
      <c r="X224" t="s">
        <v>116</v>
      </c>
    </row>
    <row r="225" spans="2:24" x14ac:dyDescent="0.3">
      <c r="B225" t="s">
        <v>318</v>
      </c>
      <c r="C225" t="s">
        <v>53</v>
      </c>
      <c r="D225" t="s">
        <v>7</v>
      </c>
      <c r="E225" t="s">
        <v>16</v>
      </c>
      <c r="F225" t="s">
        <v>12</v>
      </c>
      <c r="G225" t="s">
        <v>112</v>
      </c>
      <c r="H225">
        <v>2026</v>
      </c>
      <c r="I225">
        <v>3277</v>
      </c>
      <c r="J225">
        <v>7.8</v>
      </c>
      <c r="K225" t="s">
        <v>25</v>
      </c>
      <c r="L225">
        <v>6.7</v>
      </c>
      <c r="M225">
        <v>2.8</v>
      </c>
      <c r="N225">
        <v>5118</v>
      </c>
      <c r="O225" t="s">
        <v>55</v>
      </c>
      <c r="P225">
        <v>73.7</v>
      </c>
      <c r="Q225" t="s">
        <v>125</v>
      </c>
      <c r="R225">
        <v>17.2</v>
      </c>
      <c r="S225">
        <v>15.9</v>
      </c>
      <c r="T225">
        <v>7.7</v>
      </c>
      <c r="U225">
        <v>5</v>
      </c>
      <c r="V225">
        <v>8.1</v>
      </c>
      <c r="W225">
        <v>7.5</v>
      </c>
      <c r="X225" t="s">
        <v>116</v>
      </c>
    </row>
    <row r="226" spans="2:24" x14ac:dyDescent="0.3">
      <c r="B226" t="s">
        <v>319</v>
      </c>
      <c r="C226" t="s">
        <v>92</v>
      </c>
      <c r="D226" t="s">
        <v>7</v>
      </c>
      <c r="E226" t="s">
        <v>15</v>
      </c>
      <c r="F226" t="s">
        <v>10</v>
      </c>
      <c r="G226" t="s">
        <v>101</v>
      </c>
      <c r="H226">
        <v>2026</v>
      </c>
      <c r="I226">
        <v>780</v>
      </c>
      <c r="J226">
        <v>1</v>
      </c>
      <c r="K226" t="s">
        <v>21</v>
      </c>
      <c r="L226">
        <v>7.3</v>
      </c>
      <c r="M226">
        <v>10</v>
      </c>
      <c r="N226">
        <v>3579</v>
      </c>
      <c r="O226" t="s">
        <v>55</v>
      </c>
      <c r="P226">
        <v>48.2</v>
      </c>
      <c r="Q226" t="s">
        <v>84</v>
      </c>
      <c r="R226">
        <v>-43.5</v>
      </c>
      <c r="S226">
        <v>53.8</v>
      </c>
      <c r="T226">
        <v>26.8</v>
      </c>
      <c r="U226">
        <v>7</v>
      </c>
      <c r="V226">
        <v>7.3</v>
      </c>
      <c r="W226">
        <v>8.4</v>
      </c>
      <c r="X226" t="s">
        <v>57</v>
      </c>
    </row>
    <row r="227" spans="2:24" x14ac:dyDescent="0.3">
      <c r="B227" t="s">
        <v>320</v>
      </c>
      <c r="C227" t="s">
        <v>53</v>
      </c>
      <c r="D227" t="s">
        <v>7</v>
      </c>
      <c r="E227" t="s">
        <v>18</v>
      </c>
      <c r="F227" t="s">
        <v>12</v>
      </c>
      <c r="G227" t="s">
        <v>131</v>
      </c>
      <c r="H227">
        <v>2024</v>
      </c>
      <c r="I227">
        <v>5246</v>
      </c>
      <c r="J227">
        <v>5.0999999999999996</v>
      </c>
      <c r="K227" t="s">
        <v>23</v>
      </c>
      <c r="L227">
        <v>2.2000000000000002</v>
      </c>
      <c r="M227">
        <v>1.3</v>
      </c>
      <c r="N227">
        <v>5609</v>
      </c>
      <c r="O227" t="s">
        <v>55</v>
      </c>
      <c r="P227">
        <v>61.4</v>
      </c>
      <c r="Q227" t="s">
        <v>76</v>
      </c>
      <c r="R227">
        <v>62</v>
      </c>
      <c r="S227">
        <v>-22.9</v>
      </c>
      <c r="T227">
        <v>-7.8</v>
      </c>
      <c r="U227">
        <v>1.4</v>
      </c>
      <c r="V227">
        <v>6.8</v>
      </c>
      <c r="W227">
        <v>7.5</v>
      </c>
      <c r="X227" t="s">
        <v>116</v>
      </c>
    </row>
    <row r="228" spans="2:24" x14ac:dyDescent="0.3">
      <c r="B228" t="s">
        <v>321</v>
      </c>
      <c r="C228" t="s">
        <v>106</v>
      </c>
      <c r="D228" t="s">
        <v>8</v>
      </c>
      <c r="E228" t="s">
        <v>15</v>
      </c>
      <c r="F228" t="s">
        <v>12</v>
      </c>
      <c r="G228" t="s">
        <v>131</v>
      </c>
      <c r="H228">
        <v>2026</v>
      </c>
      <c r="I228">
        <v>6701</v>
      </c>
      <c r="J228">
        <v>5.3</v>
      </c>
      <c r="K228" t="s">
        <v>21</v>
      </c>
      <c r="L228">
        <v>8.6999999999999993</v>
      </c>
      <c r="M228">
        <v>9.1</v>
      </c>
      <c r="N228">
        <v>2481</v>
      </c>
      <c r="O228" t="s">
        <v>55</v>
      </c>
      <c r="P228">
        <v>77.900000000000006</v>
      </c>
      <c r="Q228" t="s">
        <v>86</v>
      </c>
      <c r="R228">
        <v>-19.8</v>
      </c>
      <c r="S228">
        <v>-9.9</v>
      </c>
      <c r="T228">
        <v>5</v>
      </c>
      <c r="U228">
        <v>6.1</v>
      </c>
      <c r="V228">
        <v>7.2</v>
      </c>
      <c r="W228">
        <v>5.7</v>
      </c>
      <c r="X228" t="s">
        <v>116</v>
      </c>
    </row>
    <row r="229" spans="2:24" x14ac:dyDescent="0.3">
      <c r="B229" t="s">
        <v>322</v>
      </c>
      <c r="C229" t="s">
        <v>53</v>
      </c>
      <c r="D229" t="s">
        <v>3</v>
      </c>
      <c r="E229" t="s">
        <v>15</v>
      </c>
      <c r="F229" t="s">
        <v>9</v>
      </c>
      <c r="G229" t="s">
        <v>78</v>
      </c>
      <c r="H229">
        <v>2024</v>
      </c>
      <c r="I229">
        <v>18809</v>
      </c>
      <c r="J229">
        <v>39.299999999999997</v>
      </c>
      <c r="K229" t="s">
        <v>21</v>
      </c>
      <c r="L229">
        <v>6.9</v>
      </c>
      <c r="M229">
        <v>10</v>
      </c>
      <c r="N229">
        <v>1365</v>
      </c>
      <c r="O229" t="s">
        <v>75</v>
      </c>
      <c r="P229">
        <v>78</v>
      </c>
      <c r="Q229" t="s">
        <v>76</v>
      </c>
      <c r="R229">
        <v>85.7</v>
      </c>
      <c r="S229">
        <v>56.1</v>
      </c>
      <c r="T229">
        <v>18.5</v>
      </c>
      <c r="U229">
        <v>4.7</v>
      </c>
      <c r="V229">
        <v>7.3</v>
      </c>
      <c r="W229">
        <v>4.2</v>
      </c>
      <c r="X229" t="s">
        <v>66</v>
      </c>
    </row>
    <row r="230" spans="2:24" x14ac:dyDescent="0.3">
      <c r="B230" t="s">
        <v>323</v>
      </c>
      <c r="C230" t="s">
        <v>73</v>
      </c>
      <c r="D230" t="s">
        <v>2</v>
      </c>
      <c r="E230" t="s">
        <v>19</v>
      </c>
      <c r="F230" t="s">
        <v>9</v>
      </c>
      <c r="G230" t="s">
        <v>112</v>
      </c>
      <c r="H230">
        <v>2026</v>
      </c>
      <c r="I230">
        <v>2973</v>
      </c>
      <c r="J230">
        <v>8.4</v>
      </c>
      <c r="K230" t="s">
        <v>23</v>
      </c>
      <c r="L230">
        <v>8.6</v>
      </c>
      <c r="M230">
        <v>10</v>
      </c>
      <c r="N230">
        <v>4190</v>
      </c>
      <c r="O230" t="s">
        <v>55</v>
      </c>
      <c r="P230">
        <v>50.8</v>
      </c>
      <c r="Q230" t="s">
        <v>56</v>
      </c>
      <c r="R230">
        <v>35.1</v>
      </c>
      <c r="S230">
        <v>-5.2</v>
      </c>
      <c r="T230">
        <v>7.1</v>
      </c>
      <c r="U230">
        <v>5.7</v>
      </c>
      <c r="V230">
        <v>6.5</v>
      </c>
      <c r="W230">
        <v>4.5999999999999996</v>
      </c>
      <c r="X230" t="s">
        <v>116</v>
      </c>
    </row>
    <row r="231" spans="2:24" x14ac:dyDescent="0.3">
      <c r="B231" t="s">
        <v>324</v>
      </c>
      <c r="C231" t="s">
        <v>62</v>
      </c>
      <c r="D231" t="s">
        <v>2</v>
      </c>
      <c r="E231" t="s">
        <v>15</v>
      </c>
      <c r="F231" t="s">
        <v>10</v>
      </c>
      <c r="G231" t="s">
        <v>104</v>
      </c>
      <c r="H231">
        <v>2026</v>
      </c>
      <c r="I231">
        <v>164</v>
      </c>
      <c r="J231">
        <v>4.5999999999999996</v>
      </c>
      <c r="K231" t="s">
        <v>25</v>
      </c>
      <c r="L231">
        <v>8.1</v>
      </c>
      <c r="M231">
        <v>5.8</v>
      </c>
      <c r="N231">
        <v>9469</v>
      </c>
      <c r="O231" t="s">
        <v>118</v>
      </c>
      <c r="P231">
        <v>35.200000000000003</v>
      </c>
      <c r="Q231" t="s">
        <v>76</v>
      </c>
      <c r="R231">
        <v>27</v>
      </c>
      <c r="S231">
        <v>45</v>
      </c>
      <c r="T231">
        <v>30.3</v>
      </c>
      <c r="U231">
        <v>8</v>
      </c>
      <c r="V231">
        <v>7.6</v>
      </c>
      <c r="W231">
        <v>8.3000000000000007</v>
      </c>
      <c r="X231" t="s">
        <v>116</v>
      </c>
    </row>
    <row r="232" spans="2:24" x14ac:dyDescent="0.3">
      <c r="B232" t="s">
        <v>325</v>
      </c>
      <c r="C232" t="s">
        <v>122</v>
      </c>
      <c r="D232" t="s">
        <v>2</v>
      </c>
      <c r="E232" t="s">
        <v>17</v>
      </c>
      <c r="F232" t="s">
        <v>11</v>
      </c>
      <c r="G232" t="s">
        <v>131</v>
      </c>
      <c r="H232">
        <v>2026</v>
      </c>
      <c r="I232">
        <v>2651</v>
      </c>
      <c r="J232">
        <v>12.1</v>
      </c>
      <c r="K232" t="s">
        <v>25</v>
      </c>
      <c r="L232">
        <v>3.8</v>
      </c>
      <c r="M232">
        <v>3.3</v>
      </c>
      <c r="N232">
        <v>1241</v>
      </c>
      <c r="O232" t="s">
        <v>64</v>
      </c>
      <c r="P232">
        <v>62.5</v>
      </c>
      <c r="Q232" t="s">
        <v>76</v>
      </c>
      <c r="R232">
        <v>-10.9</v>
      </c>
      <c r="S232">
        <v>2.8</v>
      </c>
      <c r="T232">
        <v>0.8</v>
      </c>
      <c r="U232">
        <v>5.2</v>
      </c>
      <c r="V232">
        <v>5</v>
      </c>
      <c r="W232">
        <v>6.8</v>
      </c>
      <c r="X232" t="s">
        <v>116</v>
      </c>
    </row>
    <row r="233" spans="2:24" x14ac:dyDescent="0.3">
      <c r="B233" t="s">
        <v>326</v>
      </c>
      <c r="C233" t="s">
        <v>97</v>
      </c>
      <c r="D233" t="s">
        <v>3</v>
      </c>
      <c r="E233" t="s">
        <v>16</v>
      </c>
      <c r="F233" t="s">
        <v>11</v>
      </c>
      <c r="G233" t="s">
        <v>74</v>
      </c>
      <c r="H233">
        <v>2025</v>
      </c>
      <c r="I233">
        <v>18596</v>
      </c>
      <c r="J233">
        <v>33.299999999999997</v>
      </c>
      <c r="K233" t="s">
        <v>25</v>
      </c>
      <c r="L233">
        <v>1.3</v>
      </c>
      <c r="M233">
        <v>5.9</v>
      </c>
      <c r="N233">
        <v>111</v>
      </c>
      <c r="O233" t="s">
        <v>75</v>
      </c>
      <c r="P233">
        <v>44</v>
      </c>
      <c r="Q233" t="s">
        <v>84</v>
      </c>
      <c r="R233">
        <v>-21.8</v>
      </c>
      <c r="S233">
        <v>39.799999999999997</v>
      </c>
      <c r="T233">
        <v>16.3</v>
      </c>
      <c r="U233">
        <v>1.1000000000000001</v>
      </c>
      <c r="V233">
        <v>6.6</v>
      </c>
      <c r="W233">
        <v>4.3</v>
      </c>
      <c r="X233" t="s">
        <v>66</v>
      </c>
    </row>
    <row r="234" spans="2:24" x14ac:dyDescent="0.3">
      <c r="B234" t="s">
        <v>327</v>
      </c>
      <c r="C234" t="s">
        <v>73</v>
      </c>
      <c r="D234" t="s">
        <v>3</v>
      </c>
      <c r="E234" t="s">
        <v>15</v>
      </c>
      <c r="F234" t="s">
        <v>11</v>
      </c>
      <c r="G234" t="s">
        <v>63</v>
      </c>
      <c r="H234">
        <v>2024</v>
      </c>
      <c r="I234">
        <v>2446</v>
      </c>
      <c r="J234">
        <v>8</v>
      </c>
      <c r="K234" t="s">
        <v>24</v>
      </c>
      <c r="L234">
        <v>3.5</v>
      </c>
      <c r="M234">
        <v>2.7</v>
      </c>
      <c r="N234">
        <v>4571</v>
      </c>
      <c r="O234" t="s">
        <v>64</v>
      </c>
      <c r="P234">
        <v>69.099999999999994</v>
      </c>
      <c r="Q234" t="s">
        <v>56</v>
      </c>
      <c r="R234">
        <v>8.1</v>
      </c>
      <c r="S234">
        <v>-19.5</v>
      </c>
      <c r="T234">
        <v>-14</v>
      </c>
      <c r="U234">
        <v>3.4</v>
      </c>
      <c r="V234">
        <v>6.9</v>
      </c>
      <c r="W234">
        <v>6.7</v>
      </c>
      <c r="X234" t="s">
        <v>57</v>
      </c>
    </row>
    <row r="235" spans="2:24" x14ac:dyDescent="0.3">
      <c r="B235" t="s">
        <v>328</v>
      </c>
      <c r="C235" t="s">
        <v>106</v>
      </c>
      <c r="D235" t="s">
        <v>2</v>
      </c>
      <c r="E235" t="s">
        <v>19</v>
      </c>
      <c r="F235" t="s">
        <v>10</v>
      </c>
      <c r="G235" t="s">
        <v>60</v>
      </c>
      <c r="H235">
        <v>2025</v>
      </c>
      <c r="I235">
        <v>19748</v>
      </c>
      <c r="J235">
        <v>35</v>
      </c>
      <c r="K235" t="s">
        <v>25</v>
      </c>
      <c r="L235">
        <v>6.3</v>
      </c>
      <c r="M235">
        <v>9.4</v>
      </c>
      <c r="N235">
        <v>8057</v>
      </c>
      <c r="O235" t="s">
        <v>55</v>
      </c>
      <c r="P235">
        <v>76.3</v>
      </c>
      <c r="Q235" t="s">
        <v>76</v>
      </c>
      <c r="R235">
        <v>-1.2</v>
      </c>
      <c r="S235">
        <v>-5</v>
      </c>
      <c r="T235">
        <v>-13.5</v>
      </c>
      <c r="U235">
        <v>4.8</v>
      </c>
      <c r="V235">
        <v>5.9</v>
      </c>
      <c r="W235">
        <v>2.1</v>
      </c>
      <c r="X235" t="s">
        <v>66</v>
      </c>
    </row>
    <row r="236" spans="2:24" x14ac:dyDescent="0.3">
      <c r="B236" t="s">
        <v>329</v>
      </c>
      <c r="C236" t="s">
        <v>90</v>
      </c>
      <c r="D236" t="s">
        <v>5</v>
      </c>
      <c r="E236" t="s">
        <v>17</v>
      </c>
      <c r="F236" t="s">
        <v>11</v>
      </c>
      <c r="G236" t="s">
        <v>104</v>
      </c>
      <c r="H236">
        <v>2026</v>
      </c>
      <c r="I236">
        <v>1693</v>
      </c>
      <c r="J236">
        <v>1.5</v>
      </c>
      <c r="K236" t="s">
        <v>22</v>
      </c>
      <c r="L236">
        <v>7.6</v>
      </c>
      <c r="M236">
        <v>8.3000000000000007</v>
      </c>
      <c r="N236">
        <v>5654</v>
      </c>
      <c r="O236" t="s">
        <v>118</v>
      </c>
      <c r="P236">
        <v>14</v>
      </c>
      <c r="Q236" t="s">
        <v>76</v>
      </c>
      <c r="R236">
        <v>44.8</v>
      </c>
      <c r="S236">
        <v>27.4</v>
      </c>
      <c r="T236">
        <v>16.100000000000001</v>
      </c>
      <c r="U236">
        <v>6.1</v>
      </c>
      <c r="V236">
        <v>6.9</v>
      </c>
      <c r="W236">
        <v>6.8</v>
      </c>
      <c r="X236" t="s">
        <v>57</v>
      </c>
    </row>
    <row r="237" spans="2:24" x14ac:dyDescent="0.3">
      <c r="B237" t="s">
        <v>330</v>
      </c>
      <c r="C237" t="s">
        <v>53</v>
      </c>
      <c r="D237" t="s">
        <v>4</v>
      </c>
      <c r="E237" t="s">
        <v>17</v>
      </c>
      <c r="F237" t="s">
        <v>10</v>
      </c>
      <c r="G237" t="s">
        <v>63</v>
      </c>
      <c r="H237">
        <v>2026</v>
      </c>
      <c r="I237">
        <v>1660</v>
      </c>
      <c r="J237">
        <v>9</v>
      </c>
      <c r="K237" t="s">
        <v>21</v>
      </c>
      <c r="L237">
        <v>5.0999999999999996</v>
      </c>
      <c r="M237">
        <v>10</v>
      </c>
      <c r="N237">
        <v>2652</v>
      </c>
      <c r="O237" t="s">
        <v>55</v>
      </c>
      <c r="P237">
        <v>33.200000000000003</v>
      </c>
      <c r="Q237" t="s">
        <v>76</v>
      </c>
      <c r="R237">
        <v>37.799999999999997</v>
      </c>
      <c r="S237">
        <v>20.100000000000001</v>
      </c>
      <c r="T237">
        <v>13.1</v>
      </c>
      <c r="U237">
        <v>8.1999999999999993</v>
      </c>
      <c r="V237">
        <v>7.4</v>
      </c>
      <c r="W237">
        <v>6.5</v>
      </c>
      <c r="X237" t="s">
        <v>116</v>
      </c>
    </row>
    <row r="238" spans="2:24" x14ac:dyDescent="0.3">
      <c r="B238" t="s">
        <v>331</v>
      </c>
      <c r="C238" t="s">
        <v>53</v>
      </c>
      <c r="D238" t="s">
        <v>3</v>
      </c>
      <c r="E238" t="s">
        <v>16</v>
      </c>
      <c r="F238" t="s">
        <v>10</v>
      </c>
      <c r="G238" t="s">
        <v>112</v>
      </c>
      <c r="H238">
        <v>2026</v>
      </c>
      <c r="I238">
        <v>387</v>
      </c>
      <c r="J238">
        <v>11.1</v>
      </c>
      <c r="K238" t="s">
        <v>21</v>
      </c>
      <c r="L238">
        <v>3.7</v>
      </c>
      <c r="M238">
        <v>4.4000000000000004</v>
      </c>
      <c r="N238">
        <v>4570</v>
      </c>
      <c r="O238" t="s">
        <v>64</v>
      </c>
      <c r="P238">
        <v>17.7</v>
      </c>
      <c r="Q238" t="s">
        <v>65</v>
      </c>
      <c r="R238">
        <v>-33.5</v>
      </c>
      <c r="S238">
        <v>7.4</v>
      </c>
      <c r="T238">
        <v>8.4</v>
      </c>
      <c r="U238">
        <v>3.8</v>
      </c>
      <c r="V238">
        <v>8</v>
      </c>
      <c r="W238">
        <v>5.4</v>
      </c>
      <c r="X238" t="s">
        <v>116</v>
      </c>
    </row>
    <row r="239" spans="2:24" x14ac:dyDescent="0.3">
      <c r="B239" t="s">
        <v>332</v>
      </c>
      <c r="C239" t="s">
        <v>159</v>
      </c>
      <c r="D239" t="s">
        <v>2</v>
      </c>
      <c r="E239" t="s">
        <v>15</v>
      </c>
      <c r="F239" t="s">
        <v>10</v>
      </c>
      <c r="G239" t="s">
        <v>63</v>
      </c>
      <c r="H239">
        <v>2025</v>
      </c>
      <c r="I239">
        <v>5773</v>
      </c>
      <c r="J239">
        <v>12.5</v>
      </c>
      <c r="K239" t="s">
        <v>24</v>
      </c>
      <c r="L239">
        <v>8.8000000000000007</v>
      </c>
      <c r="M239">
        <v>10</v>
      </c>
      <c r="N239">
        <v>2300</v>
      </c>
      <c r="O239" t="s">
        <v>64</v>
      </c>
      <c r="P239">
        <v>23.2</v>
      </c>
      <c r="Q239" t="s">
        <v>56</v>
      </c>
      <c r="R239">
        <v>48.6</v>
      </c>
      <c r="S239">
        <v>52.9</v>
      </c>
      <c r="T239">
        <v>18.399999999999999</v>
      </c>
      <c r="U239">
        <v>6.1</v>
      </c>
      <c r="V239">
        <v>6.3</v>
      </c>
      <c r="W239">
        <v>5.9</v>
      </c>
      <c r="X239" t="s">
        <v>116</v>
      </c>
    </row>
    <row r="240" spans="2:24" x14ac:dyDescent="0.3">
      <c r="B240" t="s">
        <v>333</v>
      </c>
      <c r="C240" t="s">
        <v>62</v>
      </c>
      <c r="D240" t="s">
        <v>2</v>
      </c>
      <c r="E240" t="s">
        <v>18</v>
      </c>
      <c r="F240" t="s">
        <v>9</v>
      </c>
      <c r="G240" t="s">
        <v>115</v>
      </c>
      <c r="H240">
        <v>2026</v>
      </c>
      <c r="I240">
        <v>6948</v>
      </c>
      <c r="J240">
        <v>12.1</v>
      </c>
      <c r="K240" t="s">
        <v>21</v>
      </c>
      <c r="L240">
        <v>3.5</v>
      </c>
      <c r="M240">
        <v>5.9</v>
      </c>
      <c r="N240">
        <v>4536</v>
      </c>
      <c r="O240" t="s">
        <v>55</v>
      </c>
      <c r="P240">
        <v>83.7</v>
      </c>
      <c r="Q240" t="s">
        <v>76</v>
      </c>
      <c r="R240">
        <v>-21.7</v>
      </c>
      <c r="S240">
        <v>33</v>
      </c>
      <c r="T240">
        <v>9.6999999999999993</v>
      </c>
      <c r="U240">
        <v>3.2</v>
      </c>
      <c r="V240">
        <v>7.4</v>
      </c>
      <c r="W240">
        <v>7.1</v>
      </c>
      <c r="X240" t="s">
        <v>66</v>
      </c>
    </row>
    <row r="241" spans="2:24" x14ac:dyDescent="0.3">
      <c r="B241" t="s">
        <v>334</v>
      </c>
      <c r="C241" t="s">
        <v>142</v>
      </c>
      <c r="D241" t="s">
        <v>8</v>
      </c>
      <c r="E241" t="s">
        <v>17</v>
      </c>
      <c r="F241" t="s">
        <v>11</v>
      </c>
      <c r="G241" t="s">
        <v>98</v>
      </c>
      <c r="H241">
        <v>2024</v>
      </c>
      <c r="I241">
        <v>17632</v>
      </c>
      <c r="J241">
        <v>30.3</v>
      </c>
      <c r="K241" t="s">
        <v>21</v>
      </c>
      <c r="L241">
        <v>4.0999999999999996</v>
      </c>
      <c r="M241">
        <v>8.8000000000000007</v>
      </c>
      <c r="N241">
        <v>633</v>
      </c>
      <c r="O241" t="s">
        <v>75</v>
      </c>
      <c r="P241">
        <v>84.9</v>
      </c>
      <c r="Q241" t="s">
        <v>86</v>
      </c>
      <c r="R241">
        <v>20.9</v>
      </c>
      <c r="S241">
        <v>-3</v>
      </c>
      <c r="T241">
        <v>-2.4</v>
      </c>
      <c r="U241">
        <v>5.6</v>
      </c>
      <c r="V241">
        <v>5.4</v>
      </c>
      <c r="W241">
        <v>2.4</v>
      </c>
      <c r="X241" t="s">
        <v>66</v>
      </c>
    </row>
    <row r="242" spans="2:24" x14ac:dyDescent="0.3">
      <c r="B242" t="s">
        <v>335</v>
      </c>
      <c r="C242" t="s">
        <v>137</v>
      </c>
      <c r="D242" t="s">
        <v>4</v>
      </c>
      <c r="E242" t="s">
        <v>18</v>
      </c>
      <c r="F242" t="s">
        <v>11</v>
      </c>
      <c r="G242" t="s">
        <v>54</v>
      </c>
      <c r="H242">
        <v>2026</v>
      </c>
      <c r="I242">
        <v>21</v>
      </c>
      <c r="J242">
        <v>3.8</v>
      </c>
      <c r="K242" t="s">
        <v>21</v>
      </c>
      <c r="L242">
        <v>7.2</v>
      </c>
      <c r="M242">
        <v>5.4</v>
      </c>
      <c r="N242">
        <v>5132</v>
      </c>
      <c r="O242" t="s">
        <v>55</v>
      </c>
      <c r="P242">
        <v>59.1</v>
      </c>
      <c r="Q242" t="s">
        <v>125</v>
      </c>
      <c r="R242">
        <v>-25.4</v>
      </c>
      <c r="S242">
        <v>-14.7</v>
      </c>
      <c r="T242">
        <v>-1.2</v>
      </c>
      <c r="U242">
        <v>6.5</v>
      </c>
      <c r="V242">
        <v>4.3</v>
      </c>
      <c r="W242">
        <v>5.0999999999999996</v>
      </c>
      <c r="X242" t="s">
        <v>57</v>
      </c>
    </row>
    <row r="243" spans="2:24" x14ac:dyDescent="0.3">
      <c r="B243" t="s">
        <v>336</v>
      </c>
      <c r="C243" t="s">
        <v>106</v>
      </c>
      <c r="D243" t="s">
        <v>8</v>
      </c>
      <c r="E243" t="s">
        <v>14</v>
      </c>
      <c r="F243" t="s">
        <v>9</v>
      </c>
      <c r="G243" t="s">
        <v>60</v>
      </c>
      <c r="H243">
        <v>2024</v>
      </c>
      <c r="I243">
        <v>3700</v>
      </c>
      <c r="J243">
        <v>1.6</v>
      </c>
      <c r="K243" t="s">
        <v>24</v>
      </c>
      <c r="L243">
        <v>7.6</v>
      </c>
      <c r="M243">
        <v>4.0999999999999996</v>
      </c>
      <c r="N243">
        <v>3636</v>
      </c>
      <c r="O243" t="s">
        <v>55</v>
      </c>
      <c r="P243">
        <v>23.9</v>
      </c>
      <c r="Q243" t="s">
        <v>86</v>
      </c>
      <c r="R243">
        <v>84</v>
      </c>
      <c r="S243">
        <v>10.199999999999999</v>
      </c>
      <c r="T243">
        <v>14.9</v>
      </c>
      <c r="U243">
        <v>4.5</v>
      </c>
      <c r="V243">
        <v>8.5</v>
      </c>
      <c r="W243">
        <v>7.3</v>
      </c>
      <c r="X243" t="s">
        <v>116</v>
      </c>
    </row>
    <row r="244" spans="2:24" x14ac:dyDescent="0.3">
      <c r="B244" t="s">
        <v>337</v>
      </c>
      <c r="C244" t="s">
        <v>100</v>
      </c>
      <c r="D244" t="s">
        <v>3</v>
      </c>
      <c r="E244" t="s">
        <v>15</v>
      </c>
      <c r="F244" t="s">
        <v>10</v>
      </c>
      <c r="G244" t="s">
        <v>101</v>
      </c>
      <c r="H244">
        <v>2025</v>
      </c>
      <c r="I244">
        <v>19567</v>
      </c>
      <c r="J244">
        <v>18.899999999999999</v>
      </c>
      <c r="K244" t="s">
        <v>22</v>
      </c>
      <c r="L244">
        <v>4.5</v>
      </c>
      <c r="M244">
        <v>10</v>
      </c>
      <c r="N244">
        <v>76</v>
      </c>
      <c r="O244" t="s">
        <v>75</v>
      </c>
      <c r="P244">
        <v>80.599999999999994</v>
      </c>
      <c r="Q244" t="s">
        <v>88</v>
      </c>
      <c r="R244">
        <v>-34.799999999999997</v>
      </c>
      <c r="S244">
        <v>56.5</v>
      </c>
      <c r="T244">
        <v>18.5</v>
      </c>
      <c r="U244">
        <v>5.7</v>
      </c>
      <c r="V244">
        <v>7.7</v>
      </c>
      <c r="W244">
        <v>6.1</v>
      </c>
      <c r="X244" t="s">
        <v>66</v>
      </c>
    </row>
    <row r="245" spans="2:24" x14ac:dyDescent="0.3">
      <c r="B245" t="s">
        <v>338</v>
      </c>
      <c r="C245" t="s">
        <v>90</v>
      </c>
      <c r="D245" t="s">
        <v>6</v>
      </c>
      <c r="E245" t="s">
        <v>17</v>
      </c>
      <c r="F245" t="s">
        <v>9</v>
      </c>
      <c r="G245" t="s">
        <v>60</v>
      </c>
      <c r="H245">
        <v>2025</v>
      </c>
      <c r="I245">
        <v>2436</v>
      </c>
      <c r="J245">
        <v>9</v>
      </c>
      <c r="K245" t="s">
        <v>21</v>
      </c>
      <c r="L245">
        <v>12.9</v>
      </c>
      <c r="M245">
        <v>10</v>
      </c>
      <c r="N245">
        <v>1403</v>
      </c>
      <c r="O245" t="s">
        <v>55</v>
      </c>
      <c r="P245">
        <v>54.2</v>
      </c>
      <c r="Q245" t="s">
        <v>84</v>
      </c>
      <c r="R245">
        <v>89.5</v>
      </c>
      <c r="S245">
        <v>-15.1</v>
      </c>
      <c r="T245">
        <v>2.7</v>
      </c>
      <c r="U245">
        <v>8.8000000000000007</v>
      </c>
      <c r="V245">
        <v>5.8</v>
      </c>
      <c r="W245">
        <v>4.4000000000000004</v>
      </c>
      <c r="X245" t="s">
        <v>57</v>
      </c>
    </row>
    <row r="246" spans="2:24" x14ac:dyDescent="0.3">
      <c r="B246" t="s">
        <v>339</v>
      </c>
      <c r="C246" t="s">
        <v>139</v>
      </c>
      <c r="D246" t="s">
        <v>8</v>
      </c>
      <c r="E246" t="s">
        <v>15</v>
      </c>
      <c r="F246" t="s">
        <v>9</v>
      </c>
      <c r="G246" t="s">
        <v>101</v>
      </c>
      <c r="H246">
        <v>2025</v>
      </c>
      <c r="I246">
        <v>101</v>
      </c>
      <c r="J246">
        <v>10</v>
      </c>
      <c r="K246" t="s">
        <v>25</v>
      </c>
      <c r="L246">
        <v>5.4</v>
      </c>
      <c r="M246">
        <v>8</v>
      </c>
      <c r="N246">
        <v>4699</v>
      </c>
      <c r="O246" t="s">
        <v>55</v>
      </c>
      <c r="P246">
        <v>14.9</v>
      </c>
      <c r="Q246" t="s">
        <v>86</v>
      </c>
      <c r="R246">
        <v>12.5</v>
      </c>
      <c r="S246">
        <v>37.1</v>
      </c>
      <c r="T246">
        <v>18.8</v>
      </c>
      <c r="U246">
        <v>9</v>
      </c>
      <c r="V246">
        <v>6.3</v>
      </c>
      <c r="W246">
        <v>6.5</v>
      </c>
      <c r="X246" t="s">
        <v>57</v>
      </c>
    </row>
    <row r="247" spans="2:24" x14ac:dyDescent="0.3">
      <c r="B247" t="s">
        <v>340</v>
      </c>
      <c r="C247" t="s">
        <v>106</v>
      </c>
      <c r="D247" t="s">
        <v>7</v>
      </c>
      <c r="E247" t="s">
        <v>16</v>
      </c>
      <c r="F247" t="s">
        <v>11</v>
      </c>
      <c r="G247" t="s">
        <v>112</v>
      </c>
      <c r="H247">
        <v>2026</v>
      </c>
      <c r="I247">
        <v>1377</v>
      </c>
      <c r="J247">
        <v>12.9</v>
      </c>
      <c r="K247" t="s">
        <v>24</v>
      </c>
      <c r="L247">
        <v>7.4</v>
      </c>
      <c r="M247">
        <v>6.3</v>
      </c>
      <c r="N247">
        <v>2852</v>
      </c>
      <c r="O247" t="s">
        <v>55</v>
      </c>
      <c r="P247">
        <v>70.599999999999994</v>
      </c>
      <c r="Q247" t="s">
        <v>65</v>
      </c>
      <c r="R247">
        <v>-8</v>
      </c>
      <c r="S247">
        <v>-3.5</v>
      </c>
      <c r="T247">
        <v>8.6</v>
      </c>
      <c r="U247">
        <v>8.6999999999999993</v>
      </c>
      <c r="V247">
        <v>7.3</v>
      </c>
      <c r="W247">
        <v>6</v>
      </c>
      <c r="X247" t="s">
        <v>116</v>
      </c>
    </row>
    <row r="248" spans="2:24" x14ac:dyDescent="0.3">
      <c r="B248" t="s">
        <v>341</v>
      </c>
      <c r="C248" t="s">
        <v>27</v>
      </c>
      <c r="D248" t="s">
        <v>3</v>
      </c>
      <c r="E248" t="s">
        <v>16</v>
      </c>
      <c r="F248" t="s">
        <v>10</v>
      </c>
      <c r="G248" t="s">
        <v>112</v>
      </c>
      <c r="H248">
        <v>2026</v>
      </c>
      <c r="I248">
        <v>1310</v>
      </c>
      <c r="J248">
        <v>0.6</v>
      </c>
      <c r="K248" t="s">
        <v>21</v>
      </c>
      <c r="L248">
        <v>10.199999999999999</v>
      </c>
      <c r="M248">
        <v>9.5</v>
      </c>
      <c r="N248">
        <v>1876</v>
      </c>
      <c r="O248" t="s">
        <v>55</v>
      </c>
      <c r="P248">
        <v>41</v>
      </c>
      <c r="Q248" t="s">
        <v>65</v>
      </c>
      <c r="R248">
        <v>-15.4</v>
      </c>
      <c r="S248">
        <v>37.4</v>
      </c>
      <c r="T248">
        <v>24</v>
      </c>
      <c r="U248">
        <v>8.1999999999999993</v>
      </c>
      <c r="V248">
        <v>7.8</v>
      </c>
      <c r="W248">
        <v>6.8</v>
      </c>
      <c r="X248" t="s">
        <v>57</v>
      </c>
    </row>
    <row r="249" spans="2:24" x14ac:dyDescent="0.3">
      <c r="B249" t="s">
        <v>342</v>
      </c>
      <c r="C249" t="s">
        <v>97</v>
      </c>
      <c r="D249" t="s">
        <v>3</v>
      </c>
      <c r="E249" t="s">
        <v>16</v>
      </c>
      <c r="F249" t="s">
        <v>9</v>
      </c>
      <c r="G249" t="s">
        <v>74</v>
      </c>
      <c r="H249">
        <v>2026</v>
      </c>
      <c r="I249">
        <v>1037</v>
      </c>
      <c r="J249">
        <v>8.6</v>
      </c>
      <c r="K249" t="s">
        <v>25</v>
      </c>
      <c r="L249">
        <v>4</v>
      </c>
      <c r="M249">
        <v>2.5</v>
      </c>
      <c r="N249">
        <v>1491</v>
      </c>
      <c r="O249" t="s">
        <v>64</v>
      </c>
      <c r="P249">
        <v>16.3</v>
      </c>
      <c r="Q249" t="s">
        <v>76</v>
      </c>
      <c r="R249">
        <v>-16.7</v>
      </c>
      <c r="S249">
        <v>-8.1</v>
      </c>
      <c r="T249">
        <v>4.5</v>
      </c>
      <c r="U249">
        <v>3</v>
      </c>
      <c r="V249">
        <v>7.1</v>
      </c>
      <c r="W249">
        <v>6.8</v>
      </c>
      <c r="X249" t="s">
        <v>57</v>
      </c>
    </row>
    <row r="250" spans="2:24" x14ac:dyDescent="0.3">
      <c r="B250" t="s">
        <v>343</v>
      </c>
      <c r="C250" t="s">
        <v>27</v>
      </c>
      <c r="D250" t="s">
        <v>2</v>
      </c>
      <c r="E250" t="s">
        <v>16</v>
      </c>
      <c r="F250" t="s">
        <v>11</v>
      </c>
      <c r="G250" t="s">
        <v>60</v>
      </c>
      <c r="H250">
        <v>2024</v>
      </c>
      <c r="I250">
        <v>921</v>
      </c>
      <c r="J250">
        <v>8.5</v>
      </c>
      <c r="K250" t="s">
        <v>24</v>
      </c>
      <c r="L250">
        <v>10.4</v>
      </c>
      <c r="M250">
        <v>7.3</v>
      </c>
      <c r="N250">
        <v>7013</v>
      </c>
      <c r="O250" t="s">
        <v>118</v>
      </c>
      <c r="P250">
        <v>78.3</v>
      </c>
      <c r="Q250" t="s">
        <v>56</v>
      </c>
      <c r="R250">
        <v>-36.299999999999997</v>
      </c>
      <c r="S250">
        <v>27.8</v>
      </c>
      <c r="T250">
        <v>6.5</v>
      </c>
      <c r="U250">
        <v>6.4</v>
      </c>
      <c r="V250">
        <v>7.4</v>
      </c>
      <c r="W250">
        <v>7.4</v>
      </c>
      <c r="X250" t="s">
        <v>57</v>
      </c>
    </row>
    <row r="251" spans="2:24" x14ac:dyDescent="0.3">
      <c r="B251" t="s">
        <v>344</v>
      </c>
      <c r="C251" t="s">
        <v>106</v>
      </c>
      <c r="D251" t="s">
        <v>3</v>
      </c>
      <c r="E251" t="s">
        <v>15</v>
      </c>
      <c r="F251" t="s">
        <v>11</v>
      </c>
      <c r="G251" t="s">
        <v>74</v>
      </c>
      <c r="H251">
        <v>2026</v>
      </c>
      <c r="I251">
        <v>13366</v>
      </c>
      <c r="J251">
        <v>17.3</v>
      </c>
      <c r="K251" t="s">
        <v>22</v>
      </c>
      <c r="L251">
        <v>7.6</v>
      </c>
      <c r="M251">
        <v>10</v>
      </c>
      <c r="N251">
        <v>433</v>
      </c>
      <c r="O251" t="s">
        <v>64</v>
      </c>
      <c r="P251">
        <v>61.1</v>
      </c>
      <c r="Q251" t="s">
        <v>79</v>
      </c>
      <c r="R251">
        <v>43.1</v>
      </c>
      <c r="S251">
        <v>52.5</v>
      </c>
      <c r="T251">
        <v>17.8</v>
      </c>
      <c r="U251">
        <v>8.9</v>
      </c>
      <c r="V251">
        <v>8.5</v>
      </c>
      <c r="W251">
        <v>5.5</v>
      </c>
      <c r="X251" t="s">
        <v>66</v>
      </c>
    </row>
    <row r="252" spans="2:24" x14ac:dyDescent="0.3">
      <c r="B252" t="s">
        <v>345</v>
      </c>
      <c r="C252" t="s">
        <v>94</v>
      </c>
      <c r="D252" t="s">
        <v>6</v>
      </c>
      <c r="E252" t="s">
        <v>14</v>
      </c>
      <c r="F252" t="s">
        <v>12</v>
      </c>
      <c r="G252" t="s">
        <v>115</v>
      </c>
      <c r="H252">
        <v>2024</v>
      </c>
      <c r="I252">
        <v>3347</v>
      </c>
      <c r="J252">
        <v>9.1</v>
      </c>
      <c r="K252" t="s">
        <v>23</v>
      </c>
      <c r="L252">
        <v>13.2</v>
      </c>
      <c r="M252">
        <v>6.3</v>
      </c>
      <c r="N252">
        <v>2521</v>
      </c>
      <c r="O252" t="s">
        <v>64</v>
      </c>
      <c r="P252">
        <v>78.599999999999994</v>
      </c>
      <c r="Q252" t="s">
        <v>65</v>
      </c>
      <c r="R252">
        <v>63.8</v>
      </c>
      <c r="S252">
        <v>-9.8000000000000007</v>
      </c>
      <c r="T252">
        <v>3.9</v>
      </c>
      <c r="U252">
        <v>8.6</v>
      </c>
      <c r="V252">
        <v>7.7</v>
      </c>
      <c r="W252">
        <v>5.2</v>
      </c>
      <c r="X252" t="s">
        <v>116</v>
      </c>
    </row>
    <row r="253" spans="2:24" x14ac:dyDescent="0.3">
      <c r="B253" t="s">
        <v>346</v>
      </c>
      <c r="C253" t="s">
        <v>71</v>
      </c>
      <c r="D253" t="s">
        <v>5</v>
      </c>
      <c r="E253" t="s">
        <v>18</v>
      </c>
      <c r="F253" t="s">
        <v>9</v>
      </c>
      <c r="G253" t="s">
        <v>104</v>
      </c>
      <c r="H253">
        <v>2026</v>
      </c>
      <c r="I253">
        <v>392</v>
      </c>
      <c r="J253">
        <v>5.5</v>
      </c>
      <c r="K253" t="s">
        <v>25</v>
      </c>
      <c r="L253">
        <v>10.6</v>
      </c>
      <c r="M253">
        <v>4.3</v>
      </c>
      <c r="N253">
        <v>1558</v>
      </c>
      <c r="O253" t="s">
        <v>55</v>
      </c>
      <c r="P253">
        <v>32.4</v>
      </c>
      <c r="Q253" t="s">
        <v>79</v>
      </c>
      <c r="R253">
        <v>47.7</v>
      </c>
      <c r="S253">
        <v>14</v>
      </c>
      <c r="T253">
        <v>10</v>
      </c>
      <c r="U253">
        <v>9.4</v>
      </c>
      <c r="V253">
        <v>7.8</v>
      </c>
      <c r="W253">
        <v>7.5</v>
      </c>
      <c r="X253" t="s">
        <v>57</v>
      </c>
    </row>
    <row r="254" spans="2:24" x14ac:dyDescent="0.3">
      <c r="B254" t="s">
        <v>347</v>
      </c>
      <c r="C254" t="s">
        <v>53</v>
      </c>
      <c r="D254" t="s">
        <v>7</v>
      </c>
      <c r="E254" t="s">
        <v>15</v>
      </c>
      <c r="F254" t="s">
        <v>9</v>
      </c>
      <c r="G254" t="s">
        <v>63</v>
      </c>
      <c r="H254">
        <v>2026</v>
      </c>
      <c r="I254">
        <v>1048</v>
      </c>
      <c r="J254">
        <v>12</v>
      </c>
      <c r="K254" t="s">
        <v>21</v>
      </c>
      <c r="L254">
        <v>5.0999999999999996</v>
      </c>
      <c r="M254">
        <v>8.8000000000000007</v>
      </c>
      <c r="N254">
        <v>3092</v>
      </c>
      <c r="O254" t="s">
        <v>55</v>
      </c>
      <c r="P254">
        <v>43.7</v>
      </c>
      <c r="Q254" t="s">
        <v>79</v>
      </c>
      <c r="R254">
        <v>-42.4</v>
      </c>
      <c r="S254">
        <v>-15.5</v>
      </c>
      <c r="T254">
        <v>4.3</v>
      </c>
      <c r="U254">
        <v>8.5</v>
      </c>
      <c r="V254">
        <v>4.7</v>
      </c>
      <c r="W254">
        <v>5.5</v>
      </c>
      <c r="X254" t="s">
        <v>116</v>
      </c>
    </row>
    <row r="255" spans="2:24" x14ac:dyDescent="0.3">
      <c r="B255" t="s">
        <v>348</v>
      </c>
      <c r="C255" t="s">
        <v>90</v>
      </c>
      <c r="D255" t="s">
        <v>6</v>
      </c>
      <c r="E255" t="s">
        <v>15</v>
      </c>
      <c r="F255" t="s">
        <v>12</v>
      </c>
      <c r="G255" t="s">
        <v>60</v>
      </c>
      <c r="H255">
        <v>2026</v>
      </c>
      <c r="I255">
        <v>14428</v>
      </c>
      <c r="J255">
        <v>10.9</v>
      </c>
      <c r="K255" t="s">
        <v>24</v>
      </c>
      <c r="L255">
        <v>7</v>
      </c>
      <c r="M255">
        <v>8.5</v>
      </c>
      <c r="N255">
        <v>1657</v>
      </c>
      <c r="O255" t="s">
        <v>55</v>
      </c>
      <c r="P255">
        <v>12.7</v>
      </c>
      <c r="Q255" t="s">
        <v>79</v>
      </c>
      <c r="R255">
        <v>71.8</v>
      </c>
      <c r="S255">
        <v>24.3</v>
      </c>
      <c r="T255">
        <v>1.3</v>
      </c>
      <c r="U255">
        <v>5.2</v>
      </c>
      <c r="V255">
        <v>5.7</v>
      </c>
      <c r="W255">
        <v>5.5</v>
      </c>
      <c r="X255" t="s">
        <v>66</v>
      </c>
    </row>
    <row r="256" spans="2:24" x14ac:dyDescent="0.3">
      <c r="B256" t="s">
        <v>349</v>
      </c>
      <c r="C256" t="s">
        <v>71</v>
      </c>
      <c r="D256" t="s">
        <v>6</v>
      </c>
      <c r="E256" t="s">
        <v>16</v>
      </c>
      <c r="F256" t="s">
        <v>10</v>
      </c>
      <c r="G256" t="s">
        <v>131</v>
      </c>
      <c r="H256">
        <v>2025</v>
      </c>
      <c r="I256">
        <v>2403</v>
      </c>
      <c r="J256">
        <v>18.2</v>
      </c>
      <c r="K256" t="s">
        <v>21</v>
      </c>
      <c r="L256">
        <v>5.9</v>
      </c>
      <c r="M256">
        <v>5.4</v>
      </c>
      <c r="N256">
        <v>560</v>
      </c>
      <c r="O256" t="s">
        <v>75</v>
      </c>
      <c r="P256">
        <v>34.200000000000003</v>
      </c>
      <c r="Q256" t="s">
        <v>86</v>
      </c>
      <c r="R256">
        <v>-11</v>
      </c>
      <c r="S256">
        <v>6.9</v>
      </c>
      <c r="T256">
        <v>5</v>
      </c>
      <c r="U256">
        <v>3.5</v>
      </c>
      <c r="V256">
        <v>7.1</v>
      </c>
      <c r="W256">
        <v>4.9000000000000004</v>
      </c>
      <c r="X256" t="s">
        <v>66</v>
      </c>
    </row>
    <row r="257" spans="2:24" x14ac:dyDescent="0.3">
      <c r="B257" t="s">
        <v>350</v>
      </c>
      <c r="C257" t="s">
        <v>106</v>
      </c>
      <c r="D257" t="s">
        <v>3</v>
      </c>
      <c r="E257" t="s">
        <v>15</v>
      </c>
      <c r="F257" t="s">
        <v>10</v>
      </c>
      <c r="G257" t="s">
        <v>60</v>
      </c>
      <c r="H257">
        <v>2025</v>
      </c>
      <c r="I257">
        <v>5530</v>
      </c>
      <c r="J257">
        <v>3.4</v>
      </c>
      <c r="K257" t="s">
        <v>25</v>
      </c>
      <c r="L257">
        <v>10.3</v>
      </c>
      <c r="M257">
        <v>8</v>
      </c>
      <c r="N257">
        <v>2715</v>
      </c>
      <c r="O257" t="s">
        <v>55</v>
      </c>
      <c r="P257">
        <v>56.7</v>
      </c>
      <c r="Q257" t="s">
        <v>56</v>
      </c>
      <c r="R257">
        <v>-2.2999999999999998</v>
      </c>
      <c r="S257">
        <v>16.100000000000001</v>
      </c>
      <c r="T257">
        <v>15.8</v>
      </c>
      <c r="U257">
        <v>8.1999999999999993</v>
      </c>
      <c r="V257">
        <v>9</v>
      </c>
      <c r="W257">
        <v>6</v>
      </c>
      <c r="X257" t="s">
        <v>116</v>
      </c>
    </row>
    <row r="258" spans="2:24" x14ac:dyDescent="0.3">
      <c r="B258" t="s">
        <v>351</v>
      </c>
      <c r="C258" t="s">
        <v>90</v>
      </c>
      <c r="D258" t="s">
        <v>2</v>
      </c>
      <c r="E258" t="s">
        <v>18</v>
      </c>
      <c r="F258" t="s">
        <v>10</v>
      </c>
      <c r="G258" t="s">
        <v>74</v>
      </c>
      <c r="H258">
        <v>2024</v>
      </c>
      <c r="I258">
        <v>6726</v>
      </c>
      <c r="J258">
        <v>5.0999999999999996</v>
      </c>
      <c r="K258" t="s">
        <v>23</v>
      </c>
      <c r="L258">
        <v>4.7</v>
      </c>
      <c r="M258">
        <v>10</v>
      </c>
      <c r="N258">
        <v>4685</v>
      </c>
      <c r="O258" t="s">
        <v>55</v>
      </c>
      <c r="P258">
        <v>49.3</v>
      </c>
      <c r="Q258" t="s">
        <v>56</v>
      </c>
      <c r="R258">
        <v>-25</v>
      </c>
      <c r="S258">
        <v>7.1</v>
      </c>
      <c r="T258">
        <v>8.6</v>
      </c>
      <c r="U258">
        <v>7.2</v>
      </c>
      <c r="V258">
        <v>5.7</v>
      </c>
      <c r="W258">
        <v>5.5</v>
      </c>
      <c r="X258" t="s">
        <v>116</v>
      </c>
    </row>
    <row r="259" spans="2:24" x14ac:dyDescent="0.3">
      <c r="B259" t="s">
        <v>352</v>
      </c>
      <c r="C259" t="s">
        <v>142</v>
      </c>
      <c r="D259" t="s">
        <v>8</v>
      </c>
      <c r="E259" t="s">
        <v>17</v>
      </c>
      <c r="F259" t="s">
        <v>11</v>
      </c>
      <c r="G259" t="s">
        <v>98</v>
      </c>
      <c r="H259">
        <v>2026</v>
      </c>
      <c r="I259">
        <v>9444</v>
      </c>
      <c r="J259">
        <v>31.9</v>
      </c>
      <c r="K259" t="s">
        <v>22</v>
      </c>
      <c r="L259">
        <v>4.3</v>
      </c>
      <c r="M259">
        <v>10</v>
      </c>
      <c r="N259">
        <v>1511</v>
      </c>
      <c r="O259" t="s">
        <v>75</v>
      </c>
      <c r="P259">
        <v>19.100000000000001</v>
      </c>
      <c r="Q259" t="s">
        <v>88</v>
      </c>
      <c r="R259">
        <v>70.2</v>
      </c>
      <c r="S259">
        <v>25</v>
      </c>
      <c r="T259">
        <v>10.9</v>
      </c>
      <c r="U259">
        <v>6</v>
      </c>
      <c r="V259">
        <v>6.4</v>
      </c>
      <c r="W259">
        <v>3.9</v>
      </c>
      <c r="X259" t="s">
        <v>66</v>
      </c>
    </row>
    <row r="260" spans="2:24" x14ac:dyDescent="0.3">
      <c r="B260" t="s">
        <v>353</v>
      </c>
      <c r="C260" t="s">
        <v>94</v>
      </c>
      <c r="D260" t="s">
        <v>6</v>
      </c>
      <c r="E260" t="s">
        <v>16</v>
      </c>
      <c r="F260" t="s">
        <v>10</v>
      </c>
      <c r="G260" t="s">
        <v>131</v>
      </c>
      <c r="H260">
        <v>2024</v>
      </c>
      <c r="I260">
        <v>3381</v>
      </c>
      <c r="J260">
        <v>28.2</v>
      </c>
      <c r="K260" t="s">
        <v>21</v>
      </c>
      <c r="L260">
        <v>6.9</v>
      </c>
      <c r="M260">
        <v>10</v>
      </c>
      <c r="N260">
        <v>1872</v>
      </c>
      <c r="O260" t="s">
        <v>64</v>
      </c>
      <c r="P260">
        <v>41.1</v>
      </c>
      <c r="Q260" t="s">
        <v>65</v>
      </c>
      <c r="R260">
        <v>-35.1</v>
      </c>
      <c r="S260">
        <v>48.5</v>
      </c>
      <c r="T260">
        <v>14.5</v>
      </c>
      <c r="U260">
        <v>10</v>
      </c>
      <c r="V260">
        <v>6.5</v>
      </c>
      <c r="W260">
        <v>5.0999999999999996</v>
      </c>
      <c r="X260" t="s">
        <v>66</v>
      </c>
    </row>
    <row r="261" spans="2:24" x14ac:dyDescent="0.3">
      <c r="B261" t="s">
        <v>354</v>
      </c>
      <c r="C261" t="s">
        <v>94</v>
      </c>
      <c r="D261" t="s">
        <v>6</v>
      </c>
      <c r="E261" t="s">
        <v>19</v>
      </c>
      <c r="F261" t="s">
        <v>11</v>
      </c>
      <c r="G261" t="s">
        <v>112</v>
      </c>
      <c r="H261">
        <v>2025</v>
      </c>
      <c r="I261">
        <v>78</v>
      </c>
      <c r="J261">
        <v>2.8</v>
      </c>
      <c r="K261" t="s">
        <v>25</v>
      </c>
      <c r="L261">
        <v>1</v>
      </c>
      <c r="M261">
        <v>1</v>
      </c>
      <c r="N261">
        <v>4353</v>
      </c>
      <c r="O261" t="s">
        <v>64</v>
      </c>
      <c r="P261">
        <v>20</v>
      </c>
      <c r="Q261" t="s">
        <v>125</v>
      </c>
      <c r="R261">
        <v>66</v>
      </c>
      <c r="S261">
        <v>53.4</v>
      </c>
      <c r="T261">
        <v>27</v>
      </c>
      <c r="U261">
        <v>1.3</v>
      </c>
      <c r="V261">
        <v>7.2</v>
      </c>
      <c r="W261">
        <v>8.9</v>
      </c>
      <c r="X261" t="s">
        <v>57</v>
      </c>
    </row>
    <row r="262" spans="2:24" x14ac:dyDescent="0.3">
      <c r="B262" t="s">
        <v>355</v>
      </c>
      <c r="C262" t="s">
        <v>73</v>
      </c>
      <c r="D262" t="s">
        <v>3</v>
      </c>
      <c r="E262" t="s">
        <v>16</v>
      </c>
      <c r="F262" t="s">
        <v>9</v>
      </c>
      <c r="G262" t="s">
        <v>54</v>
      </c>
      <c r="H262">
        <v>2026</v>
      </c>
      <c r="I262">
        <v>1235</v>
      </c>
      <c r="J262">
        <v>5.6</v>
      </c>
      <c r="K262" t="s">
        <v>25</v>
      </c>
      <c r="L262">
        <v>6.6</v>
      </c>
      <c r="M262">
        <v>3.7</v>
      </c>
      <c r="N262">
        <v>2463</v>
      </c>
      <c r="O262" t="s">
        <v>55</v>
      </c>
      <c r="P262">
        <v>77.099999999999994</v>
      </c>
      <c r="Q262" t="s">
        <v>86</v>
      </c>
      <c r="R262">
        <v>5.9</v>
      </c>
      <c r="S262">
        <v>53.4</v>
      </c>
      <c r="T262">
        <v>13.6</v>
      </c>
      <c r="U262">
        <v>6.4</v>
      </c>
      <c r="V262">
        <v>9.6</v>
      </c>
      <c r="W262">
        <v>7.8</v>
      </c>
      <c r="X262" t="s">
        <v>116</v>
      </c>
    </row>
    <row r="263" spans="2:24" x14ac:dyDescent="0.3">
      <c r="B263" t="s">
        <v>356</v>
      </c>
      <c r="C263" t="s">
        <v>142</v>
      </c>
      <c r="D263" t="s">
        <v>8</v>
      </c>
      <c r="E263" t="s">
        <v>15</v>
      </c>
      <c r="F263" t="s">
        <v>10</v>
      </c>
      <c r="G263" t="s">
        <v>54</v>
      </c>
      <c r="H263">
        <v>2026</v>
      </c>
      <c r="I263">
        <v>15985</v>
      </c>
      <c r="J263">
        <v>21.3</v>
      </c>
      <c r="K263" t="s">
        <v>21</v>
      </c>
      <c r="L263">
        <v>3.8</v>
      </c>
      <c r="M263">
        <v>5.3</v>
      </c>
      <c r="N263">
        <v>720</v>
      </c>
      <c r="O263" t="s">
        <v>75</v>
      </c>
      <c r="P263">
        <v>57.3</v>
      </c>
      <c r="Q263" t="s">
        <v>76</v>
      </c>
      <c r="R263">
        <v>75.7</v>
      </c>
      <c r="S263">
        <v>-19</v>
      </c>
      <c r="T263">
        <v>-3.2</v>
      </c>
      <c r="U263">
        <v>2.2999999999999998</v>
      </c>
      <c r="V263">
        <v>5.2</v>
      </c>
      <c r="W263">
        <v>3.6</v>
      </c>
      <c r="X263" t="s">
        <v>66</v>
      </c>
    </row>
    <row r="264" spans="2:24" x14ac:dyDescent="0.3">
      <c r="B264" t="s">
        <v>357</v>
      </c>
      <c r="C264" t="s">
        <v>137</v>
      </c>
      <c r="D264" t="s">
        <v>3</v>
      </c>
      <c r="E264" t="s">
        <v>15</v>
      </c>
      <c r="F264" t="s">
        <v>12</v>
      </c>
      <c r="G264" t="s">
        <v>74</v>
      </c>
      <c r="H264">
        <v>2025</v>
      </c>
      <c r="I264">
        <v>14570</v>
      </c>
      <c r="J264">
        <v>9</v>
      </c>
      <c r="K264" t="s">
        <v>21</v>
      </c>
      <c r="L264">
        <v>1.6</v>
      </c>
      <c r="M264">
        <v>1.5</v>
      </c>
      <c r="N264">
        <v>756</v>
      </c>
      <c r="O264" t="s">
        <v>64</v>
      </c>
      <c r="P264">
        <v>43.9</v>
      </c>
      <c r="Q264" t="s">
        <v>125</v>
      </c>
      <c r="R264">
        <v>22.2</v>
      </c>
      <c r="S264">
        <v>8.9</v>
      </c>
      <c r="T264">
        <v>6.8</v>
      </c>
      <c r="U264">
        <v>1.9</v>
      </c>
      <c r="V264">
        <v>4.8</v>
      </c>
      <c r="W264">
        <v>6.2</v>
      </c>
      <c r="X264" t="s">
        <v>66</v>
      </c>
    </row>
    <row r="265" spans="2:24" x14ac:dyDescent="0.3">
      <c r="B265" t="s">
        <v>358</v>
      </c>
      <c r="C265" t="s">
        <v>53</v>
      </c>
      <c r="D265" t="s">
        <v>2</v>
      </c>
      <c r="E265" t="s">
        <v>14</v>
      </c>
      <c r="F265" t="s">
        <v>11</v>
      </c>
      <c r="G265" t="s">
        <v>54</v>
      </c>
      <c r="H265">
        <v>2025</v>
      </c>
      <c r="I265">
        <v>1530</v>
      </c>
      <c r="J265">
        <v>4.4000000000000004</v>
      </c>
      <c r="K265" t="s">
        <v>21</v>
      </c>
      <c r="L265">
        <v>4.7</v>
      </c>
      <c r="M265">
        <v>6.3</v>
      </c>
      <c r="N265">
        <v>7220</v>
      </c>
      <c r="O265" t="s">
        <v>118</v>
      </c>
      <c r="P265">
        <v>50.1</v>
      </c>
      <c r="Q265" t="s">
        <v>56</v>
      </c>
      <c r="R265">
        <v>67.2</v>
      </c>
      <c r="S265">
        <v>52.5</v>
      </c>
      <c r="T265">
        <v>18.2</v>
      </c>
      <c r="U265">
        <v>6.9</v>
      </c>
      <c r="V265">
        <v>9.3000000000000007</v>
      </c>
      <c r="W265">
        <v>7.4</v>
      </c>
      <c r="X265" t="s">
        <v>116</v>
      </c>
    </row>
    <row r="266" spans="2:24" x14ac:dyDescent="0.3">
      <c r="B266" t="s">
        <v>359</v>
      </c>
      <c r="C266" t="s">
        <v>53</v>
      </c>
      <c r="D266" t="s">
        <v>2</v>
      </c>
      <c r="E266" t="s">
        <v>16</v>
      </c>
      <c r="F266" t="s">
        <v>11</v>
      </c>
      <c r="G266" t="s">
        <v>115</v>
      </c>
      <c r="H266">
        <v>2026</v>
      </c>
      <c r="I266">
        <v>7030</v>
      </c>
      <c r="J266">
        <v>37.9</v>
      </c>
      <c r="K266" t="s">
        <v>22</v>
      </c>
      <c r="L266">
        <v>1.9</v>
      </c>
      <c r="M266">
        <v>10</v>
      </c>
      <c r="N266">
        <v>5231</v>
      </c>
      <c r="O266" t="s">
        <v>75</v>
      </c>
      <c r="P266">
        <v>31.2</v>
      </c>
      <c r="Q266" t="s">
        <v>56</v>
      </c>
      <c r="R266">
        <v>29.1</v>
      </c>
      <c r="S266">
        <v>-8</v>
      </c>
      <c r="T266">
        <v>-22.8</v>
      </c>
      <c r="U266">
        <v>2.7</v>
      </c>
      <c r="V266">
        <v>4</v>
      </c>
      <c r="W266">
        <v>1.9</v>
      </c>
      <c r="X266" t="s">
        <v>66</v>
      </c>
    </row>
    <row r="267" spans="2:24" x14ac:dyDescent="0.3">
      <c r="B267" t="s">
        <v>360</v>
      </c>
      <c r="C267" t="s">
        <v>159</v>
      </c>
      <c r="D267" t="s">
        <v>2</v>
      </c>
      <c r="E267" t="s">
        <v>18</v>
      </c>
      <c r="F267" t="s">
        <v>12</v>
      </c>
      <c r="G267" t="s">
        <v>131</v>
      </c>
      <c r="H267">
        <v>2025</v>
      </c>
      <c r="I267">
        <v>2971</v>
      </c>
      <c r="J267">
        <v>17.7</v>
      </c>
      <c r="K267" t="s">
        <v>21</v>
      </c>
      <c r="L267">
        <v>10</v>
      </c>
      <c r="M267">
        <v>10</v>
      </c>
      <c r="N267">
        <v>5723</v>
      </c>
      <c r="O267" t="s">
        <v>55</v>
      </c>
      <c r="P267">
        <v>54</v>
      </c>
      <c r="Q267" t="s">
        <v>76</v>
      </c>
      <c r="R267">
        <v>-4.5</v>
      </c>
      <c r="S267">
        <v>-9.5</v>
      </c>
      <c r="T267">
        <v>-6.7</v>
      </c>
      <c r="U267">
        <v>6.9</v>
      </c>
      <c r="V267">
        <v>4.3</v>
      </c>
      <c r="W267">
        <v>4</v>
      </c>
      <c r="X267" t="s">
        <v>116</v>
      </c>
    </row>
    <row r="268" spans="2:24" x14ac:dyDescent="0.3">
      <c r="B268" t="s">
        <v>361</v>
      </c>
      <c r="C268" t="s">
        <v>122</v>
      </c>
      <c r="D268" t="s">
        <v>2</v>
      </c>
      <c r="E268" t="s">
        <v>15</v>
      </c>
      <c r="F268" t="s">
        <v>11</v>
      </c>
      <c r="G268" t="s">
        <v>131</v>
      </c>
      <c r="H268">
        <v>2026</v>
      </c>
      <c r="I268">
        <v>2177</v>
      </c>
      <c r="J268">
        <v>6.1</v>
      </c>
      <c r="K268" t="s">
        <v>21</v>
      </c>
      <c r="L268">
        <v>2.1</v>
      </c>
      <c r="M268">
        <v>5.0999999999999996</v>
      </c>
      <c r="N268">
        <v>8378</v>
      </c>
      <c r="O268" t="s">
        <v>55</v>
      </c>
      <c r="P268">
        <v>60.4</v>
      </c>
      <c r="Q268" t="s">
        <v>76</v>
      </c>
      <c r="R268">
        <v>39.9</v>
      </c>
      <c r="S268">
        <v>-12.5</v>
      </c>
      <c r="T268">
        <v>4.3</v>
      </c>
      <c r="U268">
        <v>3.5</v>
      </c>
      <c r="V268">
        <v>7.1</v>
      </c>
      <c r="W268">
        <v>5.5</v>
      </c>
      <c r="X268" t="s">
        <v>57</v>
      </c>
    </row>
    <row r="269" spans="2:24" x14ac:dyDescent="0.3">
      <c r="B269" t="s">
        <v>362</v>
      </c>
      <c r="C269" t="s">
        <v>90</v>
      </c>
      <c r="D269" t="s">
        <v>6</v>
      </c>
      <c r="E269" t="s">
        <v>19</v>
      </c>
      <c r="F269" t="s">
        <v>9</v>
      </c>
      <c r="G269" t="s">
        <v>54</v>
      </c>
      <c r="H269">
        <v>2026</v>
      </c>
      <c r="I269">
        <v>5310</v>
      </c>
      <c r="J269">
        <v>32.200000000000003</v>
      </c>
      <c r="K269" t="s">
        <v>22</v>
      </c>
      <c r="L269">
        <v>2.9</v>
      </c>
      <c r="M269">
        <v>9.5</v>
      </c>
      <c r="N269">
        <v>1307</v>
      </c>
      <c r="O269" t="s">
        <v>75</v>
      </c>
      <c r="P269">
        <v>63.3</v>
      </c>
      <c r="Q269" t="s">
        <v>76</v>
      </c>
      <c r="R269">
        <v>46</v>
      </c>
      <c r="S269">
        <v>7.9</v>
      </c>
      <c r="T269">
        <v>-1.9</v>
      </c>
      <c r="U269">
        <v>1.9</v>
      </c>
      <c r="V269">
        <v>6.3</v>
      </c>
      <c r="W269">
        <v>2.8</v>
      </c>
      <c r="X269" t="s">
        <v>66</v>
      </c>
    </row>
    <row r="270" spans="2:24" x14ac:dyDescent="0.3">
      <c r="B270" t="s">
        <v>363</v>
      </c>
      <c r="C270" t="s">
        <v>106</v>
      </c>
      <c r="D270" t="s">
        <v>8</v>
      </c>
      <c r="E270" t="s">
        <v>16</v>
      </c>
      <c r="F270" t="s">
        <v>12</v>
      </c>
      <c r="G270" t="s">
        <v>101</v>
      </c>
      <c r="H270">
        <v>2024</v>
      </c>
      <c r="I270">
        <v>12811</v>
      </c>
      <c r="J270">
        <v>34</v>
      </c>
      <c r="K270" t="s">
        <v>24</v>
      </c>
      <c r="L270">
        <v>3.9</v>
      </c>
      <c r="M270">
        <v>8.5</v>
      </c>
      <c r="N270">
        <v>511</v>
      </c>
      <c r="O270" t="s">
        <v>75</v>
      </c>
      <c r="P270">
        <v>28.7</v>
      </c>
      <c r="Q270" t="s">
        <v>86</v>
      </c>
      <c r="R270">
        <v>-15</v>
      </c>
      <c r="S270">
        <v>-12.5</v>
      </c>
      <c r="T270">
        <v>-11</v>
      </c>
      <c r="U270">
        <v>5.5</v>
      </c>
      <c r="V270">
        <v>5.8</v>
      </c>
      <c r="W270">
        <v>2</v>
      </c>
      <c r="X270" t="s">
        <v>66</v>
      </c>
    </row>
    <row r="271" spans="2:24" x14ac:dyDescent="0.3">
      <c r="B271" t="s">
        <v>364</v>
      </c>
      <c r="C271" t="s">
        <v>137</v>
      </c>
      <c r="D271" t="s">
        <v>4</v>
      </c>
      <c r="E271" t="s">
        <v>17</v>
      </c>
      <c r="F271" t="s">
        <v>9</v>
      </c>
      <c r="G271" t="s">
        <v>98</v>
      </c>
      <c r="H271">
        <v>2026</v>
      </c>
      <c r="I271">
        <v>2261</v>
      </c>
      <c r="J271">
        <v>8.8000000000000007</v>
      </c>
      <c r="K271" t="s">
        <v>21</v>
      </c>
      <c r="L271">
        <v>6.5</v>
      </c>
      <c r="M271">
        <v>5.8</v>
      </c>
      <c r="N271">
        <v>5118</v>
      </c>
      <c r="O271" t="s">
        <v>64</v>
      </c>
      <c r="P271">
        <v>86.6</v>
      </c>
      <c r="Q271" t="s">
        <v>76</v>
      </c>
      <c r="R271">
        <v>74</v>
      </c>
      <c r="S271">
        <v>51</v>
      </c>
      <c r="T271">
        <v>20.3</v>
      </c>
      <c r="U271">
        <v>4.2</v>
      </c>
      <c r="V271">
        <v>6.4</v>
      </c>
      <c r="W271">
        <v>7.6</v>
      </c>
      <c r="X271" t="s">
        <v>116</v>
      </c>
    </row>
    <row r="272" spans="2:24" x14ac:dyDescent="0.3">
      <c r="B272" t="s">
        <v>365</v>
      </c>
      <c r="C272" t="s">
        <v>106</v>
      </c>
      <c r="D272" t="s">
        <v>3</v>
      </c>
      <c r="E272" t="s">
        <v>17</v>
      </c>
      <c r="F272" t="s">
        <v>12</v>
      </c>
      <c r="G272" t="s">
        <v>63</v>
      </c>
      <c r="H272">
        <v>2024</v>
      </c>
      <c r="I272">
        <v>5419</v>
      </c>
      <c r="J272">
        <v>2.7</v>
      </c>
      <c r="K272" t="s">
        <v>22</v>
      </c>
      <c r="L272">
        <v>2.1</v>
      </c>
      <c r="M272">
        <v>4.3</v>
      </c>
      <c r="N272">
        <v>4576</v>
      </c>
      <c r="O272" t="s">
        <v>55</v>
      </c>
      <c r="P272">
        <v>44</v>
      </c>
      <c r="Q272" t="s">
        <v>125</v>
      </c>
      <c r="R272">
        <v>13</v>
      </c>
      <c r="S272">
        <v>20.399999999999999</v>
      </c>
      <c r="T272">
        <v>18.100000000000001</v>
      </c>
      <c r="U272">
        <v>3.2</v>
      </c>
      <c r="V272">
        <v>6.6</v>
      </c>
      <c r="W272">
        <v>7.1</v>
      </c>
      <c r="X272" t="s">
        <v>116</v>
      </c>
    </row>
    <row r="273" spans="2:24" x14ac:dyDescent="0.3">
      <c r="B273" t="s">
        <v>366</v>
      </c>
      <c r="C273" t="s">
        <v>142</v>
      </c>
      <c r="D273" t="s">
        <v>8</v>
      </c>
      <c r="E273" t="s">
        <v>16</v>
      </c>
      <c r="F273" t="s">
        <v>12</v>
      </c>
      <c r="G273" t="s">
        <v>131</v>
      </c>
      <c r="H273">
        <v>2025</v>
      </c>
      <c r="I273">
        <v>6261</v>
      </c>
      <c r="J273">
        <v>8.8000000000000007</v>
      </c>
      <c r="K273" t="s">
        <v>25</v>
      </c>
      <c r="L273">
        <v>6.6</v>
      </c>
      <c r="M273">
        <v>6.4</v>
      </c>
      <c r="N273">
        <v>3464</v>
      </c>
      <c r="O273" t="s">
        <v>55</v>
      </c>
      <c r="P273">
        <v>30.8</v>
      </c>
      <c r="Q273" t="s">
        <v>65</v>
      </c>
      <c r="R273">
        <v>14.9</v>
      </c>
      <c r="S273">
        <v>-23.1</v>
      </c>
      <c r="T273">
        <v>-17.399999999999999</v>
      </c>
      <c r="U273">
        <v>7.3</v>
      </c>
      <c r="V273">
        <v>6.9</v>
      </c>
      <c r="W273">
        <v>5.4</v>
      </c>
      <c r="X273" t="s">
        <v>116</v>
      </c>
    </row>
    <row r="274" spans="2:24" x14ac:dyDescent="0.3">
      <c r="B274" t="s">
        <v>367</v>
      </c>
      <c r="C274" t="s">
        <v>90</v>
      </c>
      <c r="D274" t="s">
        <v>3</v>
      </c>
      <c r="E274" t="s">
        <v>16</v>
      </c>
      <c r="F274" t="s">
        <v>11</v>
      </c>
      <c r="G274" t="s">
        <v>60</v>
      </c>
      <c r="H274">
        <v>2026</v>
      </c>
      <c r="I274">
        <v>5111</v>
      </c>
      <c r="J274">
        <v>9.4</v>
      </c>
      <c r="K274" t="s">
        <v>21</v>
      </c>
      <c r="L274">
        <v>5.7</v>
      </c>
      <c r="M274">
        <v>10</v>
      </c>
      <c r="N274">
        <v>1356</v>
      </c>
      <c r="O274" t="s">
        <v>55</v>
      </c>
      <c r="P274">
        <v>21.9</v>
      </c>
      <c r="Q274" t="s">
        <v>84</v>
      </c>
      <c r="R274">
        <v>67.900000000000006</v>
      </c>
      <c r="S274">
        <v>44.2</v>
      </c>
      <c r="T274">
        <v>21.3</v>
      </c>
      <c r="U274">
        <v>7.1</v>
      </c>
      <c r="V274">
        <v>7</v>
      </c>
      <c r="W274">
        <v>6</v>
      </c>
      <c r="X274" t="s">
        <v>116</v>
      </c>
    </row>
    <row r="275" spans="2:24" x14ac:dyDescent="0.3">
      <c r="B275" t="s">
        <v>368</v>
      </c>
      <c r="C275" t="s">
        <v>137</v>
      </c>
      <c r="D275" t="s">
        <v>4</v>
      </c>
      <c r="E275" t="s">
        <v>14</v>
      </c>
      <c r="F275" t="s">
        <v>12</v>
      </c>
      <c r="G275" t="s">
        <v>115</v>
      </c>
      <c r="H275">
        <v>2026</v>
      </c>
      <c r="I275">
        <v>5789</v>
      </c>
      <c r="J275">
        <v>12.8</v>
      </c>
      <c r="K275" t="s">
        <v>25</v>
      </c>
      <c r="L275">
        <v>4</v>
      </c>
      <c r="M275">
        <v>8.8000000000000007</v>
      </c>
      <c r="N275">
        <v>1063</v>
      </c>
      <c r="O275" t="s">
        <v>64</v>
      </c>
      <c r="P275">
        <v>80.5</v>
      </c>
      <c r="Q275" t="s">
        <v>88</v>
      </c>
      <c r="R275">
        <v>6.2</v>
      </c>
      <c r="S275">
        <v>-20.9</v>
      </c>
      <c r="T275">
        <v>-5.8</v>
      </c>
      <c r="U275">
        <v>5.9</v>
      </c>
      <c r="V275">
        <v>7.3</v>
      </c>
      <c r="W275">
        <v>5.2</v>
      </c>
      <c r="X275" t="s">
        <v>116</v>
      </c>
    </row>
    <row r="276" spans="2:24" x14ac:dyDescent="0.3">
      <c r="B276" t="s">
        <v>369</v>
      </c>
      <c r="C276" t="s">
        <v>97</v>
      </c>
      <c r="D276" t="s">
        <v>3</v>
      </c>
      <c r="E276" t="s">
        <v>16</v>
      </c>
      <c r="F276" t="s">
        <v>11</v>
      </c>
      <c r="G276" t="s">
        <v>54</v>
      </c>
      <c r="H276">
        <v>2025</v>
      </c>
      <c r="I276">
        <v>1715</v>
      </c>
      <c r="J276">
        <v>3.9</v>
      </c>
      <c r="K276" t="s">
        <v>22</v>
      </c>
      <c r="L276">
        <v>1.3</v>
      </c>
      <c r="M276">
        <v>2.2999999999999998</v>
      </c>
      <c r="N276">
        <v>1996</v>
      </c>
      <c r="O276" t="s">
        <v>64</v>
      </c>
      <c r="P276">
        <v>85.1</v>
      </c>
      <c r="Q276" t="s">
        <v>88</v>
      </c>
      <c r="R276">
        <v>53.2</v>
      </c>
      <c r="S276">
        <v>1.3</v>
      </c>
      <c r="T276">
        <v>-2.4</v>
      </c>
      <c r="U276">
        <v>1.6</v>
      </c>
      <c r="V276">
        <v>6.6</v>
      </c>
      <c r="W276">
        <v>7</v>
      </c>
      <c r="X276" t="s">
        <v>57</v>
      </c>
    </row>
    <row r="277" spans="2:24" x14ac:dyDescent="0.3">
      <c r="B277" t="s">
        <v>370</v>
      </c>
      <c r="C277" t="s">
        <v>137</v>
      </c>
      <c r="D277" t="s">
        <v>4</v>
      </c>
      <c r="E277" t="s">
        <v>17</v>
      </c>
      <c r="F277" t="s">
        <v>10</v>
      </c>
      <c r="G277" t="s">
        <v>54</v>
      </c>
      <c r="H277">
        <v>2025</v>
      </c>
      <c r="I277">
        <v>2214</v>
      </c>
      <c r="J277">
        <v>7.1</v>
      </c>
      <c r="K277" t="s">
        <v>25</v>
      </c>
      <c r="L277">
        <v>8.5</v>
      </c>
      <c r="M277">
        <v>6.8</v>
      </c>
      <c r="N277">
        <v>3150</v>
      </c>
      <c r="O277" t="s">
        <v>55</v>
      </c>
      <c r="P277">
        <v>21.4</v>
      </c>
      <c r="Q277" t="s">
        <v>56</v>
      </c>
      <c r="R277">
        <v>59.3</v>
      </c>
      <c r="S277">
        <v>29.2</v>
      </c>
      <c r="T277">
        <v>14.1</v>
      </c>
      <c r="U277">
        <v>5.6</v>
      </c>
      <c r="V277">
        <v>6.2</v>
      </c>
      <c r="W277">
        <v>7.1</v>
      </c>
      <c r="X277" t="s">
        <v>116</v>
      </c>
    </row>
    <row r="278" spans="2:24" x14ac:dyDescent="0.3">
      <c r="B278" t="s">
        <v>371</v>
      </c>
      <c r="C278" t="s">
        <v>90</v>
      </c>
      <c r="D278" t="s">
        <v>6</v>
      </c>
      <c r="E278" t="s">
        <v>16</v>
      </c>
      <c r="F278" t="s">
        <v>9</v>
      </c>
      <c r="G278" t="s">
        <v>104</v>
      </c>
      <c r="H278">
        <v>2026</v>
      </c>
      <c r="I278">
        <v>1877</v>
      </c>
      <c r="J278">
        <v>32.5</v>
      </c>
      <c r="K278" t="s">
        <v>25</v>
      </c>
      <c r="L278">
        <v>11.2</v>
      </c>
      <c r="M278">
        <v>10</v>
      </c>
      <c r="N278">
        <v>305</v>
      </c>
      <c r="O278" t="s">
        <v>64</v>
      </c>
      <c r="P278">
        <v>36.799999999999997</v>
      </c>
      <c r="Q278" t="s">
        <v>86</v>
      </c>
      <c r="R278">
        <v>25.4</v>
      </c>
      <c r="S278">
        <v>-13</v>
      </c>
      <c r="T278">
        <v>-17</v>
      </c>
      <c r="U278">
        <v>7.1</v>
      </c>
      <c r="V278">
        <v>3.9</v>
      </c>
      <c r="W278">
        <v>1.4</v>
      </c>
      <c r="X278" t="s">
        <v>66</v>
      </c>
    </row>
    <row r="279" spans="2:24" x14ac:dyDescent="0.3">
      <c r="B279" t="s">
        <v>372</v>
      </c>
      <c r="C279" t="s">
        <v>73</v>
      </c>
      <c r="D279" t="s">
        <v>3</v>
      </c>
      <c r="E279" t="s">
        <v>16</v>
      </c>
      <c r="F279" t="s">
        <v>9</v>
      </c>
      <c r="G279" t="s">
        <v>78</v>
      </c>
      <c r="H279">
        <v>2025</v>
      </c>
      <c r="I279">
        <v>3415</v>
      </c>
      <c r="J279">
        <v>20.5</v>
      </c>
      <c r="K279" t="s">
        <v>24</v>
      </c>
      <c r="L279">
        <v>9.5</v>
      </c>
      <c r="M279">
        <v>10</v>
      </c>
      <c r="N279">
        <v>549</v>
      </c>
      <c r="O279" t="s">
        <v>75</v>
      </c>
      <c r="P279">
        <v>38.1</v>
      </c>
      <c r="Q279" t="s">
        <v>125</v>
      </c>
      <c r="R279">
        <v>86.9</v>
      </c>
      <c r="S279">
        <v>-19.3</v>
      </c>
      <c r="T279">
        <v>-2.8</v>
      </c>
      <c r="U279">
        <v>6.2</v>
      </c>
      <c r="V279">
        <v>4</v>
      </c>
      <c r="W279">
        <v>3.5</v>
      </c>
      <c r="X279" t="s">
        <v>66</v>
      </c>
    </row>
    <row r="280" spans="2:24" x14ac:dyDescent="0.3">
      <c r="B280" t="s">
        <v>373</v>
      </c>
      <c r="C280" t="s">
        <v>53</v>
      </c>
      <c r="D280" t="s">
        <v>3</v>
      </c>
      <c r="E280" t="s">
        <v>18</v>
      </c>
      <c r="F280" t="s">
        <v>9</v>
      </c>
      <c r="G280" t="s">
        <v>101</v>
      </c>
      <c r="H280">
        <v>2024</v>
      </c>
      <c r="I280">
        <v>1558</v>
      </c>
      <c r="J280">
        <v>4.0999999999999996</v>
      </c>
      <c r="K280" t="s">
        <v>24</v>
      </c>
      <c r="L280">
        <v>4.4000000000000004</v>
      </c>
      <c r="M280">
        <v>4.5999999999999996</v>
      </c>
      <c r="N280">
        <v>3713</v>
      </c>
      <c r="O280" t="s">
        <v>64</v>
      </c>
      <c r="P280">
        <v>31.4</v>
      </c>
      <c r="Q280" t="s">
        <v>125</v>
      </c>
      <c r="R280">
        <v>74.099999999999994</v>
      </c>
      <c r="S280">
        <v>55.8</v>
      </c>
      <c r="T280">
        <v>27</v>
      </c>
      <c r="U280">
        <v>3.2</v>
      </c>
      <c r="V280">
        <v>8.3000000000000007</v>
      </c>
      <c r="W280">
        <v>8.6</v>
      </c>
      <c r="X280" t="s">
        <v>57</v>
      </c>
    </row>
    <row r="281" spans="2:24" x14ac:dyDescent="0.3">
      <c r="B281" t="s">
        <v>374</v>
      </c>
      <c r="C281" t="s">
        <v>71</v>
      </c>
      <c r="D281" t="s">
        <v>6</v>
      </c>
      <c r="E281" t="s">
        <v>16</v>
      </c>
      <c r="F281" t="s">
        <v>11</v>
      </c>
      <c r="G281" t="s">
        <v>69</v>
      </c>
      <c r="H281">
        <v>2026</v>
      </c>
      <c r="I281">
        <v>6632</v>
      </c>
      <c r="J281">
        <v>4.7</v>
      </c>
      <c r="K281" t="s">
        <v>24</v>
      </c>
      <c r="L281">
        <v>5.6</v>
      </c>
      <c r="M281">
        <v>5.8</v>
      </c>
      <c r="N281">
        <v>3252</v>
      </c>
      <c r="O281" t="s">
        <v>55</v>
      </c>
      <c r="P281">
        <v>76.900000000000006</v>
      </c>
      <c r="Q281" t="s">
        <v>56</v>
      </c>
      <c r="R281">
        <v>47.4</v>
      </c>
      <c r="S281">
        <v>-6.5</v>
      </c>
      <c r="T281">
        <v>8</v>
      </c>
      <c r="U281">
        <v>4.7</v>
      </c>
      <c r="V281">
        <v>7.8</v>
      </c>
      <c r="W281">
        <v>6.8</v>
      </c>
      <c r="X281" t="s">
        <v>116</v>
      </c>
    </row>
    <row r="282" spans="2:24" x14ac:dyDescent="0.3">
      <c r="B282" t="s">
        <v>375</v>
      </c>
      <c r="C282" t="s">
        <v>142</v>
      </c>
      <c r="D282" t="s">
        <v>8</v>
      </c>
      <c r="E282" t="s">
        <v>18</v>
      </c>
      <c r="F282" t="s">
        <v>11</v>
      </c>
      <c r="G282" t="s">
        <v>63</v>
      </c>
      <c r="H282">
        <v>2026</v>
      </c>
      <c r="I282">
        <v>2268</v>
      </c>
      <c r="J282">
        <v>11.4</v>
      </c>
      <c r="K282" t="s">
        <v>21</v>
      </c>
      <c r="L282">
        <v>15.6</v>
      </c>
      <c r="M282">
        <v>10</v>
      </c>
      <c r="N282">
        <v>696</v>
      </c>
      <c r="O282" t="s">
        <v>64</v>
      </c>
      <c r="P282">
        <v>11.5</v>
      </c>
      <c r="Q282" t="s">
        <v>86</v>
      </c>
      <c r="R282">
        <v>74.900000000000006</v>
      </c>
      <c r="S282">
        <v>48.9</v>
      </c>
      <c r="T282">
        <v>18</v>
      </c>
      <c r="U282">
        <v>9.4</v>
      </c>
      <c r="V282">
        <v>9.1</v>
      </c>
      <c r="W282">
        <v>6.5</v>
      </c>
      <c r="X282" t="s">
        <v>66</v>
      </c>
    </row>
    <row r="283" spans="2:24" x14ac:dyDescent="0.3">
      <c r="B283" t="s">
        <v>376</v>
      </c>
      <c r="C283" t="s">
        <v>71</v>
      </c>
      <c r="D283" t="s">
        <v>5</v>
      </c>
      <c r="E283" t="s">
        <v>17</v>
      </c>
      <c r="F283" t="s">
        <v>9</v>
      </c>
      <c r="G283" t="s">
        <v>115</v>
      </c>
      <c r="H283">
        <v>2026</v>
      </c>
      <c r="I283">
        <v>669</v>
      </c>
      <c r="J283">
        <v>9.1</v>
      </c>
      <c r="K283" t="s">
        <v>21</v>
      </c>
      <c r="L283">
        <v>14.1</v>
      </c>
      <c r="M283">
        <v>10</v>
      </c>
      <c r="N283">
        <v>2763</v>
      </c>
      <c r="O283" t="s">
        <v>55</v>
      </c>
      <c r="P283">
        <v>48.8</v>
      </c>
      <c r="Q283" t="s">
        <v>86</v>
      </c>
      <c r="R283">
        <v>-28.2</v>
      </c>
      <c r="S283">
        <v>4.3</v>
      </c>
      <c r="T283">
        <v>-3.6</v>
      </c>
      <c r="U283">
        <v>9.3000000000000007</v>
      </c>
      <c r="V283">
        <v>8.4</v>
      </c>
      <c r="W283">
        <v>4.3</v>
      </c>
      <c r="X283" t="s">
        <v>57</v>
      </c>
    </row>
    <row r="284" spans="2:24" x14ac:dyDescent="0.3">
      <c r="B284" t="s">
        <v>377</v>
      </c>
      <c r="C284" t="s">
        <v>100</v>
      </c>
      <c r="D284" t="s">
        <v>3</v>
      </c>
      <c r="E284" t="s">
        <v>15</v>
      </c>
      <c r="F284" t="s">
        <v>9</v>
      </c>
      <c r="G284" t="s">
        <v>78</v>
      </c>
      <c r="H284">
        <v>2026</v>
      </c>
      <c r="I284">
        <v>8506</v>
      </c>
      <c r="J284">
        <v>11.3</v>
      </c>
      <c r="K284" t="s">
        <v>25</v>
      </c>
      <c r="L284">
        <v>5.6</v>
      </c>
      <c r="M284">
        <v>9</v>
      </c>
      <c r="N284">
        <v>278</v>
      </c>
      <c r="O284" t="s">
        <v>64</v>
      </c>
      <c r="P284">
        <v>63.7</v>
      </c>
      <c r="Q284" t="s">
        <v>65</v>
      </c>
      <c r="R284">
        <v>-11.2</v>
      </c>
      <c r="S284">
        <v>50.5</v>
      </c>
      <c r="T284">
        <v>24.7</v>
      </c>
      <c r="U284">
        <v>5.5</v>
      </c>
      <c r="V284">
        <v>8.5</v>
      </c>
      <c r="W284">
        <v>6.3</v>
      </c>
      <c r="X284" t="s">
        <v>66</v>
      </c>
    </row>
    <row r="285" spans="2:24" x14ac:dyDescent="0.3">
      <c r="B285" t="s">
        <v>378</v>
      </c>
      <c r="C285" t="s">
        <v>71</v>
      </c>
      <c r="D285" t="s">
        <v>5</v>
      </c>
      <c r="E285" t="s">
        <v>19</v>
      </c>
      <c r="F285" t="s">
        <v>10</v>
      </c>
      <c r="G285" t="s">
        <v>98</v>
      </c>
      <c r="H285">
        <v>2025</v>
      </c>
      <c r="I285">
        <v>5925</v>
      </c>
      <c r="J285">
        <v>13.9</v>
      </c>
      <c r="K285" t="s">
        <v>21</v>
      </c>
      <c r="L285">
        <v>2.4</v>
      </c>
      <c r="M285">
        <v>5.2</v>
      </c>
      <c r="N285">
        <v>1770</v>
      </c>
      <c r="O285" t="s">
        <v>64</v>
      </c>
      <c r="P285">
        <v>86.6</v>
      </c>
      <c r="Q285" t="s">
        <v>86</v>
      </c>
      <c r="R285">
        <v>36.5</v>
      </c>
      <c r="S285">
        <v>59.2</v>
      </c>
      <c r="T285">
        <v>16.2</v>
      </c>
      <c r="U285">
        <v>2.8</v>
      </c>
      <c r="V285">
        <v>5.9</v>
      </c>
      <c r="W285">
        <v>6.4</v>
      </c>
      <c r="X285" t="s">
        <v>66</v>
      </c>
    </row>
    <row r="286" spans="2:24" x14ac:dyDescent="0.3">
      <c r="B286" t="s">
        <v>379</v>
      </c>
      <c r="C286" t="s">
        <v>90</v>
      </c>
      <c r="D286" t="s">
        <v>5</v>
      </c>
      <c r="E286" t="s">
        <v>18</v>
      </c>
      <c r="F286" t="s">
        <v>11</v>
      </c>
      <c r="G286" t="s">
        <v>98</v>
      </c>
      <c r="H286">
        <v>2026</v>
      </c>
      <c r="I286">
        <v>1890</v>
      </c>
      <c r="J286">
        <v>7.3</v>
      </c>
      <c r="K286" t="s">
        <v>21</v>
      </c>
      <c r="L286">
        <v>12.8</v>
      </c>
      <c r="M286">
        <v>10</v>
      </c>
      <c r="N286">
        <v>3192</v>
      </c>
      <c r="O286" t="s">
        <v>55</v>
      </c>
      <c r="P286">
        <v>47.7</v>
      </c>
      <c r="Q286" t="s">
        <v>84</v>
      </c>
      <c r="R286">
        <v>11</v>
      </c>
      <c r="S286">
        <v>20.399999999999999</v>
      </c>
      <c r="T286">
        <v>1.1000000000000001</v>
      </c>
      <c r="U286">
        <v>9.5</v>
      </c>
      <c r="V286">
        <v>5.7</v>
      </c>
      <c r="W286">
        <v>6.2</v>
      </c>
      <c r="X286" t="s">
        <v>57</v>
      </c>
    </row>
    <row r="287" spans="2:24" x14ac:dyDescent="0.3">
      <c r="B287" t="s">
        <v>380</v>
      </c>
      <c r="C287" t="s">
        <v>53</v>
      </c>
      <c r="D287" t="s">
        <v>3</v>
      </c>
      <c r="E287" t="s">
        <v>14</v>
      </c>
      <c r="F287" t="s">
        <v>9</v>
      </c>
      <c r="G287" t="s">
        <v>74</v>
      </c>
      <c r="H287">
        <v>2024</v>
      </c>
      <c r="I287">
        <v>613</v>
      </c>
      <c r="J287">
        <v>8.5</v>
      </c>
      <c r="K287" t="s">
        <v>24</v>
      </c>
      <c r="L287">
        <v>4.3</v>
      </c>
      <c r="M287">
        <v>4.5999999999999996</v>
      </c>
      <c r="N287">
        <v>2521</v>
      </c>
      <c r="O287" t="s">
        <v>55</v>
      </c>
      <c r="P287">
        <v>74.2</v>
      </c>
      <c r="Q287" t="s">
        <v>76</v>
      </c>
      <c r="R287">
        <v>48.9</v>
      </c>
      <c r="S287">
        <v>16.399999999999999</v>
      </c>
      <c r="T287">
        <v>4.8</v>
      </c>
      <c r="U287">
        <v>7</v>
      </c>
      <c r="V287">
        <v>6.3</v>
      </c>
      <c r="W287">
        <v>6.7</v>
      </c>
      <c r="X287" t="s">
        <v>116</v>
      </c>
    </row>
    <row r="288" spans="2:24" x14ac:dyDescent="0.3">
      <c r="B288" t="s">
        <v>381</v>
      </c>
      <c r="C288" t="s">
        <v>71</v>
      </c>
      <c r="D288" t="s">
        <v>6</v>
      </c>
      <c r="E288" t="s">
        <v>15</v>
      </c>
      <c r="F288" t="s">
        <v>9</v>
      </c>
      <c r="G288" t="s">
        <v>104</v>
      </c>
      <c r="H288">
        <v>2024</v>
      </c>
      <c r="I288">
        <v>555</v>
      </c>
      <c r="J288">
        <v>0.3</v>
      </c>
      <c r="K288" t="s">
        <v>22</v>
      </c>
      <c r="L288">
        <v>2.8</v>
      </c>
      <c r="M288">
        <v>1</v>
      </c>
      <c r="N288">
        <v>5407</v>
      </c>
      <c r="O288" t="s">
        <v>55</v>
      </c>
      <c r="P288">
        <v>82.1</v>
      </c>
      <c r="Q288" t="s">
        <v>84</v>
      </c>
      <c r="R288">
        <v>74.2</v>
      </c>
      <c r="S288">
        <v>23.6</v>
      </c>
      <c r="T288">
        <v>17.5</v>
      </c>
      <c r="U288">
        <v>1.7</v>
      </c>
      <c r="V288">
        <v>7.6</v>
      </c>
      <c r="W288">
        <v>9.3000000000000007</v>
      </c>
      <c r="X288" t="s">
        <v>57</v>
      </c>
    </row>
    <row r="289" spans="2:24" x14ac:dyDescent="0.3">
      <c r="B289" t="s">
        <v>382</v>
      </c>
      <c r="C289" t="s">
        <v>137</v>
      </c>
      <c r="D289" t="s">
        <v>3</v>
      </c>
      <c r="E289" t="s">
        <v>16</v>
      </c>
      <c r="F289" t="s">
        <v>9</v>
      </c>
      <c r="G289" t="s">
        <v>98</v>
      </c>
      <c r="H289">
        <v>2024</v>
      </c>
      <c r="I289">
        <v>3589</v>
      </c>
      <c r="J289">
        <v>17.2</v>
      </c>
      <c r="K289" t="s">
        <v>22</v>
      </c>
      <c r="L289">
        <v>2.5</v>
      </c>
      <c r="M289">
        <v>8</v>
      </c>
      <c r="N289">
        <v>5160</v>
      </c>
      <c r="O289" t="s">
        <v>55</v>
      </c>
      <c r="P289">
        <v>88.8</v>
      </c>
      <c r="Q289" t="s">
        <v>65</v>
      </c>
      <c r="R289">
        <v>-41.1</v>
      </c>
      <c r="S289">
        <v>40.5</v>
      </c>
      <c r="T289">
        <v>4.7</v>
      </c>
      <c r="U289">
        <v>3</v>
      </c>
      <c r="V289">
        <v>4.9000000000000004</v>
      </c>
      <c r="W289">
        <v>5.4</v>
      </c>
      <c r="X289" t="s">
        <v>116</v>
      </c>
    </row>
    <row r="290" spans="2:24" x14ac:dyDescent="0.3">
      <c r="B290" t="s">
        <v>383</v>
      </c>
      <c r="C290" t="s">
        <v>62</v>
      </c>
      <c r="D290" t="s">
        <v>2</v>
      </c>
      <c r="E290" t="s">
        <v>15</v>
      </c>
      <c r="F290" t="s">
        <v>12</v>
      </c>
      <c r="G290" t="s">
        <v>74</v>
      </c>
      <c r="H290">
        <v>2025</v>
      </c>
      <c r="I290">
        <v>2322</v>
      </c>
      <c r="J290">
        <v>5.2</v>
      </c>
      <c r="K290" t="s">
        <v>23</v>
      </c>
      <c r="L290">
        <v>2.4</v>
      </c>
      <c r="M290">
        <v>1.2</v>
      </c>
      <c r="N290">
        <v>2169</v>
      </c>
      <c r="O290" t="s">
        <v>64</v>
      </c>
      <c r="P290">
        <v>27.1</v>
      </c>
      <c r="Q290" t="s">
        <v>76</v>
      </c>
      <c r="R290">
        <v>87.2</v>
      </c>
      <c r="S290">
        <v>-18.8</v>
      </c>
      <c r="T290">
        <v>-12.1</v>
      </c>
      <c r="U290">
        <v>2.6</v>
      </c>
      <c r="V290">
        <v>5</v>
      </c>
      <c r="W290">
        <v>6.2</v>
      </c>
      <c r="X290" t="s">
        <v>57</v>
      </c>
    </row>
    <row r="291" spans="2:24" x14ac:dyDescent="0.3">
      <c r="B291" t="s">
        <v>384</v>
      </c>
      <c r="C291" t="s">
        <v>71</v>
      </c>
      <c r="D291" t="s">
        <v>5</v>
      </c>
      <c r="E291" t="s">
        <v>19</v>
      </c>
      <c r="F291" t="s">
        <v>12</v>
      </c>
      <c r="G291" t="s">
        <v>78</v>
      </c>
      <c r="H291">
        <v>2024</v>
      </c>
      <c r="I291">
        <v>1281</v>
      </c>
      <c r="J291">
        <v>10.6</v>
      </c>
      <c r="K291" t="s">
        <v>25</v>
      </c>
      <c r="L291">
        <v>4.3</v>
      </c>
      <c r="M291">
        <v>5.3</v>
      </c>
      <c r="N291">
        <v>558</v>
      </c>
      <c r="O291" t="s">
        <v>64</v>
      </c>
      <c r="P291">
        <v>42.6</v>
      </c>
      <c r="Q291" t="s">
        <v>76</v>
      </c>
      <c r="R291">
        <v>-23.8</v>
      </c>
      <c r="S291">
        <v>27.3</v>
      </c>
      <c r="T291">
        <v>19.8</v>
      </c>
      <c r="U291">
        <v>4.4000000000000004</v>
      </c>
      <c r="V291">
        <v>5.7</v>
      </c>
      <c r="W291">
        <v>6.8</v>
      </c>
      <c r="X291" t="s">
        <v>116</v>
      </c>
    </row>
    <row r="292" spans="2:24" x14ac:dyDescent="0.3">
      <c r="B292" t="s">
        <v>385</v>
      </c>
      <c r="C292" t="s">
        <v>27</v>
      </c>
      <c r="D292" t="s">
        <v>2</v>
      </c>
      <c r="E292" t="s">
        <v>14</v>
      </c>
      <c r="F292" t="s">
        <v>9</v>
      </c>
      <c r="G292" t="s">
        <v>98</v>
      </c>
      <c r="H292">
        <v>2024</v>
      </c>
      <c r="I292">
        <v>1039</v>
      </c>
      <c r="J292">
        <v>0.2</v>
      </c>
      <c r="K292" t="s">
        <v>25</v>
      </c>
      <c r="L292">
        <v>10.5</v>
      </c>
      <c r="M292">
        <v>6.4</v>
      </c>
      <c r="N292">
        <v>4534</v>
      </c>
      <c r="O292" t="s">
        <v>55</v>
      </c>
      <c r="P292">
        <v>67</v>
      </c>
      <c r="Q292" t="s">
        <v>56</v>
      </c>
      <c r="R292">
        <v>-36.1</v>
      </c>
      <c r="S292">
        <v>43.8</v>
      </c>
      <c r="T292">
        <v>29.6</v>
      </c>
      <c r="U292">
        <v>6.2</v>
      </c>
      <c r="V292">
        <v>7.7</v>
      </c>
      <c r="W292">
        <v>7.3</v>
      </c>
      <c r="X292" t="s">
        <v>57</v>
      </c>
    </row>
    <row r="293" spans="2:24" x14ac:dyDescent="0.3">
      <c r="B293" t="s">
        <v>386</v>
      </c>
      <c r="C293" t="s">
        <v>106</v>
      </c>
      <c r="D293" t="s">
        <v>2</v>
      </c>
      <c r="E293" t="s">
        <v>15</v>
      </c>
      <c r="F293" t="s">
        <v>11</v>
      </c>
      <c r="G293" t="s">
        <v>63</v>
      </c>
      <c r="H293">
        <v>2024</v>
      </c>
      <c r="I293">
        <v>2196</v>
      </c>
      <c r="J293">
        <v>9.4</v>
      </c>
      <c r="K293" t="s">
        <v>21</v>
      </c>
      <c r="L293">
        <v>6.4</v>
      </c>
      <c r="M293">
        <v>7.6</v>
      </c>
      <c r="N293">
        <v>1185</v>
      </c>
      <c r="O293" t="s">
        <v>64</v>
      </c>
      <c r="P293">
        <v>17</v>
      </c>
      <c r="Q293" t="s">
        <v>76</v>
      </c>
      <c r="R293">
        <v>9.1999999999999993</v>
      </c>
      <c r="S293">
        <v>15.8</v>
      </c>
      <c r="T293">
        <v>15.1</v>
      </c>
      <c r="U293">
        <v>4.2</v>
      </c>
      <c r="V293">
        <v>6.1</v>
      </c>
      <c r="W293">
        <v>6.3</v>
      </c>
      <c r="X293" t="s">
        <v>57</v>
      </c>
    </row>
    <row r="294" spans="2:24" x14ac:dyDescent="0.3">
      <c r="B294" t="s">
        <v>387</v>
      </c>
      <c r="C294" t="s">
        <v>53</v>
      </c>
      <c r="D294" t="s">
        <v>7</v>
      </c>
      <c r="E294" t="s">
        <v>18</v>
      </c>
      <c r="F294" t="s">
        <v>10</v>
      </c>
      <c r="G294" t="s">
        <v>104</v>
      </c>
      <c r="H294">
        <v>2024</v>
      </c>
      <c r="I294">
        <v>12338</v>
      </c>
      <c r="J294">
        <v>26.8</v>
      </c>
      <c r="K294" t="s">
        <v>22</v>
      </c>
      <c r="L294">
        <v>6.4</v>
      </c>
      <c r="M294">
        <v>9</v>
      </c>
      <c r="N294">
        <v>272</v>
      </c>
      <c r="O294" t="s">
        <v>64</v>
      </c>
      <c r="P294">
        <v>80.8</v>
      </c>
      <c r="Q294" t="s">
        <v>79</v>
      </c>
      <c r="R294">
        <v>-42.3</v>
      </c>
      <c r="S294">
        <v>21.4</v>
      </c>
      <c r="T294">
        <v>-0.4</v>
      </c>
      <c r="U294">
        <v>4.4000000000000004</v>
      </c>
      <c r="V294">
        <v>4.5999999999999996</v>
      </c>
      <c r="W294">
        <v>3.8</v>
      </c>
      <c r="X294" t="s">
        <v>66</v>
      </c>
    </row>
    <row r="295" spans="2:24" x14ac:dyDescent="0.3">
      <c r="B295" t="s">
        <v>388</v>
      </c>
      <c r="C295" t="s">
        <v>73</v>
      </c>
      <c r="D295" t="s">
        <v>2</v>
      </c>
      <c r="E295" t="s">
        <v>19</v>
      </c>
      <c r="F295" t="s">
        <v>11</v>
      </c>
      <c r="G295" t="s">
        <v>112</v>
      </c>
      <c r="H295">
        <v>2024</v>
      </c>
      <c r="I295">
        <v>6127</v>
      </c>
      <c r="J295">
        <v>10.6</v>
      </c>
      <c r="K295" t="s">
        <v>24</v>
      </c>
      <c r="L295">
        <v>2.2999999999999998</v>
      </c>
      <c r="M295">
        <v>4.5999999999999996</v>
      </c>
      <c r="N295">
        <v>7959</v>
      </c>
      <c r="O295" t="s">
        <v>64</v>
      </c>
      <c r="P295">
        <v>46.8</v>
      </c>
      <c r="Q295" t="s">
        <v>76</v>
      </c>
      <c r="R295">
        <v>73.8</v>
      </c>
      <c r="S295">
        <v>-19.3</v>
      </c>
      <c r="T295">
        <v>-2.6</v>
      </c>
      <c r="U295">
        <v>1.8</v>
      </c>
      <c r="V295">
        <v>5.0999999999999996</v>
      </c>
      <c r="W295">
        <v>5.2</v>
      </c>
      <c r="X295" t="s">
        <v>116</v>
      </c>
    </row>
    <row r="296" spans="2:24" x14ac:dyDescent="0.3">
      <c r="B296" t="s">
        <v>389</v>
      </c>
      <c r="C296" t="s">
        <v>73</v>
      </c>
      <c r="D296" t="s">
        <v>3</v>
      </c>
      <c r="E296" t="s">
        <v>18</v>
      </c>
      <c r="F296" t="s">
        <v>10</v>
      </c>
      <c r="G296" t="s">
        <v>98</v>
      </c>
      <c r="H296">
        <v>2024</v>
      </c>
      <c r="I296">
        <v>16635</v>
      </c>
      <c r="J296">
        <v>11</v>
      </c>
      <c r="K296" t="s">
        <v>25</v>
      </c>
      <c r="L296">
        <v>6.1</v>
      </c>
      <c r="M296">
        <v>10</v>
      </c>
      <c r="N296">
        <v>625</v>
      </c>
      <c r="O296" t="s">
        <v>55</v>
      </c>
      <c r="P296">
        <v>83.6</v>
      </c>
      <c r="Q296" t="s">
        <v>86</v>
      </c>
      <c r="R296">
        <v>-6.2</v>
      </c>
      <c r="S296">
        <v>34.299999999999997</v>
      </c>
      <c r="T296">
        <v>15.8</v>
      </c>
      <c r="U296">
        <v>6.9</v>
      </c>
      <c r="V296">
        <v>7.1</v>
      </c>
      <c r="W296">
        <v>6.3</v>
      </c>
      <c r="X296" t="s">
        <v>66</v>
      </c>
    </row>
    <row r="297" spans="2:24" x14ac:dyDescent="0.3">
      <c r="B297" t="s">
        <v>390</v>
      </c>
      <c r="C297" t="s">
        <v>122</v>
      </c>
      <c r="D297" t="s">
        <v>2</v>
      </c>
      <c r="E297" t="s">
        <v>18</v>
      </c>
      <c r="F297" t="s">
        <v>9</v>
      </c>
      <c r="G297" t="s">
        <v>115</v>
      </c>
      <c r="H297">
        <v>2025</v>
      </c>
      <c r="I297">
        <v>364</v>
      </c>
      <c r="J297">
        <v>11.9</v>
      </c>
      <c r="K297" t="s">
        <v>23</v>
      </c>
      <c r="L297">
        <v>3.7</v>
      </c>
      <c r="M297">
        <v>5.9</v>
      </c>
      <c r="N297">
        <v>1325</v>
      </c>
      <c r="O297" t="s">
        <v>64</v>
      </c>
      <c r="P297">
        <v>41.5</v>
      </c>
      <c r="Q297" t="s">
        <v>56</v>
      </c>
      <c r="R297">
        <v>81.7</v>
      </c>
      <c r="S297">
        <v>11.3</v>
      </c>
      <c r="T297">
        <v>8.6</v>
      </c>
      <c r="U297">
        <v>4.3</v>
      </c>
      <c r="V297">
        <v>6.3</v>
      </c>
      <c r="W297">
        <v>5.6</v>
      </c>
      <c r="X297" t="s">
        <v>116</v>
      </c>
    </row>
    <row r="298" spans="2:24" x14ac:dyDescent="0.3">
      <c r="B298" t="s">
        <v>391</v>
      </c>
      <c r="C298" t="s">
        <v>142</v>
      </c>
      <c r="D298" t="s">
        <v>8</v>
      </c>
      <c r="E298" t="s">
        <v>15</v>
      </c>
      <c r="F298" t="s">
        <v>9</v>
      </c>
      <c r="G298" t="s">
        <v>63</v>
      </c>
      <c r="H298">
        <v>2025</v>
      </c>
      <c r="I298">
        <v>17516</v>
      </c>
      <c r="J298">
        <v>32.6</v>
      </c>
      <c r="K298" t="s">
        <v>21</v>
      </c>
      <c r="L298">
        <v>1.8</v>
      </c>
      <c r="M298">
        <v>6.2</v>
      </c>
      <c r="N298">
        <v>1530</v>
      </c>
      <c r="O298" t="s">
        <v>75</v>
      </c>
      <c r="P298">
        <v>41.6</v>
      </c>
      <c r="Q298" t="s">
        <v>79</v>
      </c>
      <c r="R298">
        <v>-12</v>
      </c>
      <c r="S298">
        <v>7</v>
      </c>
      <c r="T298">
        <v>-10.4</v>
      </c>
      <c r="U298">
        <v>1.2</v>
      </c>
      <c r="V298">
        <v>3</v>
      </c>
      <c r="W298">
        <v>3.7</v>
      </c>
      <c r="X298" t="s">
        <v>66</v>
      </c>
    </row>
    <row r="299" spans="2:24" x14ac:dyDescent="0.3">
      <c r="B299" t="s">
        <v>392</v>
      </c>
      <c r="C299" t="s">
        <v>68</v>
      </c>
      <c r="D299" t="s">
        <v>8</v>
      </c>
      <c r="E299" t="s">
        <v>18</v>
      </c>
      <c r="F299" t="s">
        <v>9</v>
      </c>
      <c r="G299" t="s">
        <v>78</v>
      </c>
      <c r="H299">
        <v>2025</v>
      </c>
      <c r="I299">
        <v>14696</v>
      </c>
      <c r="J299">
        <v>38.4</v>
      </c>
      <c r="K299" t="s">
        <v>21</v>
      </c>
      <c r="L299">
        <v>6.8</v>
      </c>
      <c r="M299">
        <v>10</v>
      </c>
      <c r="N299">
        <v>997</v>
      </c>
      <c r="O299" t="s">
        <v>75</v>
      </c>
      <c r="P299">
        <v>85.5</v>
      </c>
      <c r="Q299" t="s">
        <v>84</v>
      </c>
      <c r="R299">
        <v>70.400000000000006</v>
      </c>
      <c r="S299">
        <v>-25</v>
      </c>
      <c r="T299">
        <v>-9.1999999999999993</v>
      </c>
      <c r="U299">
        <v>9.4</v>
      </c>
      <c r="V299">
        <v>1.3</v>
      </c>
      <c r="W299">
        <v>1.9</v>
      </c>
      <c r="X299" t="s">
        <v>66</v>
      </c>
    </row>
    <row r="300" spans="2:24" x14ac:dyDescent="0.3">
      <c r="B300" t="s">
        <v>393</v>
      </c>
      <c r="C300" t="s">
        <v>27</v>
      </c>
      <c r="D300" t="s">
        <v>2</v>
      </c>
      <c r="E300" t="s">
        <v>16</v>
      </c>
      <c r="F300" t="s">
        <v>9</v>
      </c>
      <c r="G300" t="s">
        <v>60</v>
      </c>
      <c r="H300">
        <v>2026</v>
      </c>
      <c r="I300">
        <v>1334</v>
      </c>
      <c r="J300">
        <v>3.8</v>
      </c>
      <c r="K300" t="s">
        <v>23</v>
      </c>
      <c r="L300">
        <v>4.9000000000000004</v>
      </c>
      <c r="M300">
        <v>3.4</v>
      </c>
      <c r="N300">
        <v>3781</v>
      </c>
      <c r="O300" t="s">
        <v>55</v>
      </c>
      <c r="P300">
        <v>83.4</v>
      </c>
      <c r="Q300" t="s">
        <v>56</v>
      </c>
      <c r="R300">
        <v>18.7</v>
      </c>
      <c r="S300">
        <v>41.2</v>
      </c>
      <c r="T300">
        <v>20.3</v>
      </c>
      <c r="U300">
        <v>4.2</v>
      </c>
      <c r="V300">
        <v>6.2</v>
      </c>
      <c r="W300">
        <v>7.4</v>
      </c>
      <c r="X300" t="s">
        <v>57</v>
      </c>
    </row>
    <row r="301" spans="2:24" x14ac:dyDescent="0.3">
      <c r="B301" t="s">
        <v>394</v>
      </c>
      <c r="C301" t="s">
        <v>139</v>
      </c>
      <c r="D301" t="s">
        <v>8</v>
      </c>
      <c r="E301" t="s">
        <v>16</v>
      </c>
      <c r="F301" t="s">
        <v>11</v>
      </c>
      <c r="G301" t="s">
        <v>131</v>
      </c>
      <c r="H301">
        <v>2024</v>
      </c>
      <c r="I301">
        <v>439</v>
      </c>
      <c r="J301">
        <v>3.3</v>
      </c>
      <c r="K301" t="s">
        <v>23</v>
      </c>
      <c r="L301">
        <v>5.6</v>
      </c>
      <c r="M301">
        <v>9</v>
      </c>
      <c r="N301">
        <v>2887</v>
      </c>
      <c r="O301" t="s">
        <v>55</v>
      </c>
      <c r="P301">
        <v>30</v>
      </c>
      <c r="Q301" t="s">
        <v>56</v>
      </c>
      <c r="R301">
        <v>-31.9</v>
      </c>
      <c r="S301">
        <v>-5.8</v>
      </c>
      <c r="T301">
        <v>8.1</v>
      </c>
      <c r="U301">
        <v>7</v>
      </c>
      <c r="V301">
        <v>8.5</v>
      </c>
      <c r="W301">
        <v>6</v>
      </c>
      <c r="X301" t="s">
        <v>116</v>
      </c>
    </row>
    <row r="302" spans="2:24" x14ac:dyDescent="0.3">
      <c r="B302" t="s">
        <v>395</v>
      </c>
      <c r="C302" t="s">
        <v>27</v>
      </c>
      <c r="D302" t="s">
        <v>2</v>
      </c>
      <c r="E302" t="s">
        <v>15</v>
      </c>
      <c r="F302" t="s">
        <v>12</v>
      </c>
      <c r="G302" t="s">
        <v>69</v>
      </c>
      <c r="H302">
        <v>2024</v>
      </c>
      <c r="I302">
        <v>6255</v>
      </c>
      <c r="J302">
        <v>15</v>
      </c>
      <c r="K302" t="s">
        <v>22</v>
      </c>
      <c r="L302">
        <v>11.5</v>
      </c>
      <c r="M302">
        <v>6.8</v>
      </c>
      <c r="N302">
        <v>9271</v>
      </c>
      <c r="O302" t="s">
        <v>55</v>
      </c>
      <c r="P302">
        <v>67.2</v>
      </c>
      <c r="Q302" t="s">
        <v>56</v>
      </c>
      <c r="R302">
        <v>46.8</v>
      </c>
      <c r="S302">
        <v>35.6</v>
      </c>
      <c r="T302">
        <v>22.1</v>
      </c>
      <c r="U302">
        <v>7.3</v>
      </c>
      <c r="V302">
        <v>5.0999999999999996</v>
      </c>
      <c r="W302">
        <v>5.6</v>
      </c>
      <c r="X302" t="s">
        <v>116</v>
      </c>
    </row>
    <row r="303" spans="2:24" x14ac:dyDescent="0.3">
      <c r="B303" t="s">
        <v>396</v>
      </c>
      <c r="C303" t="s">
        <v>81</v>
      </c>
      <c r="D303" t="s">
        <v>5</v>
      </c>
      <c r="E303" t="s">
        <v>15</v>
      </c>
      <c r="F303" t="s">
        <v>12</v>
      </c>
      <c r="G303" t="s">
        <v>112</v>
      </c>
      <c r="H303">
        <v>2024</v>
      </c>
      <c r="I303">
        <v>2465</v>
      </c>
      <c r="J303">
        <v>6.5</v>
      </c>
      <c r="K303" t="s">
        <v>22</v>
      </c>
      <c r="L303">
        <v>2.5</v>
      </c>
      <c r="M303">
        <v>3.6</v>
      </c>
      <c r="N303">
        <v>4715</v>
      </c>
      <c r="O303" t="s">
        <v>55</v>
      </c>
      <c r="P303">
        <v>33.799999999999997</v>
      </c>
      <c r="Q303" t="s">
        <v>88</v>
      </c>
      <c r="R303">
        <v>-10.199999999999999</v>
      </c>
      <c r="S303">
        <v>-18.8</v>
      </c>
      <c r="T303">
        <v>-4.0999999999999996</v>
      </c>
      <c r="U303">
        <v>1.6</v>
      </c>
      <c r="V303">
        <v>5.0999999999999996</v>
      </c>
      <c r="W303">
        <v>6</v>
      </c>
      <c r="X303" t="s">
        <v>57</v>
      </c>
    </row>
    <row r="304" spans="2:24" x14ac:dyDescent="0.3">
      <c r="B304" t="s">
        <v>397</v>
      </c>
      <c r="C304" t="s">
        <v>142</v>
      </c>
      <c r="D304" t="s">
        <v>2</v>
      </c>
      <c r="E304" t="s">
        <v>16</v>
      </c>
      <c r="F304" t="s">
        <v>12</v>
      </c>
      <c r="G304" t="s">
        <v>115</v>
      </c>
      <c r="H304">
        <v>2025</v>
      </c>
      <c r="I304">
        <v>3720</v>
      </c>
      <c r="J304">
        <v>16.2</v>
      </c>
      <c r="K304" t="s">
        <v>25</v>
      </c>
      <c r="L304">
        <v>2.7</v>
      </c>
      <c r="M304">
        <v>5</v>
      </c>
      <c r="N304">
        <v>1690</v>
      </c>
      <c r="O304" t="s">
        <v>64</v>
      </c>
      <c r="P304">
        <v>56.1</v>
      </c>
      <c r="Q304" t="s">
        <v>76</v>
      </c>
      <c r="R304">
        <v>-1.4</v>
      </c>
      <c r="S304">
        <v>6.1</v>
      </c>
      <c r="T304">
        <v>-10.5</v>
      </c>
      <c r="U304">
        <v>2.1</v>
      </c>
      <c r="V304">
        <v>6.2</v>
      </c>
      <c r="W304">
        <v>6</v>
      </c>
      <c r="X304" t="s">
        <v>116</v>
      </c>
    </row>
    <row r="305" spans="2:24" x14ac:dyDescent="0.3">
      <c r="B305" t="s">
        <v>398</v>
      </c>
      <c r="C305" t="s">
        <v>68</v>
      </c>
      <c r="D305" t="s">
        <v>8</v>
      </c>
      <c r="E305" t="s">
        <v>15</v>
      </c>
      <c r="F305" t="s">
        <v>12</v>
      </c>
      <c r="G305" t="s">
        <v>131</v>
      </c>
      <c r="H305">
        <v>2026</v>
      </c>
      <c r="I305">
        <v>3853</v>
      </c>
      <c r="J305">
        <v>19.3</v>
      </c>
      <c r="K305" t="s">
        <v>23</v>
      </c>
      <c r="L305">
        <v>2.1</v>
      </c>
      <c r="M305">
        <v>8.3000000000000007</v>
      </c>
      <c r="N305">
        <v>465</v>
      </c>
      <c r="O305" t="s">
        <v>64</v>
      </c>
      <c r="P305">
        <v>36.5</v>
      </c>
      <c r="Q305" t="s">
        <v>56</v>
      </c>
      <c r="R305">
        <v>-1.8</v>
      </c>
      <c r="S305">
        <v>38.299999999999997</v>
      </c>
      <c r="T305">
        <v>11.4</v>
      </c>
      <c r="U305">
        <v>2.4</v>
      </c>
      <c r="V305">
        <v>7</v>
      </c>
      <c r="W305">
        <v>5.3</v>
      </c>
      <c r="X305" t="s">
        <v>66</v>
      </c>
    </row>
    <row r="306" spans="2:24" x14ac:dyDescent="0.3">
      <c r="B306" t="s">
        <v>399</v>
      </c>
      <c r="C306" t="s">
        <v>90</v>
      </c>
      <c r="D306" t="s">
        <v>2</v>
      </c>
      <c r="E306" t="s">
        <v>19</v>
      </c>
      <c r="F306" t="s">
        <v>10</v>
      </c>
      <c r="G306" t="s">
        <v>78</v>
      </c>
      <c r="H306">
        <v>2024</v>
      </c>
      <c r="I306">
        <v>6349</v>
      </c>
      <c r="J306">
        <v>23.7</v>
      </c>
      <c r="K306" t="s">
        <v>22</v>
      </c>
      <c r="L306">
        <v>1.8</v>
      </c>
      <c r="M306">
        <v>5.3</v>
      </c>
      <c r="N306">
        <v>6848</v>
      </c>
      <c r="O306" t="s">
        <v>64</v>
      </c>
      <c r="P306">
        <v>62.2</v>
      </c>
      <c r="Q306" t="s">
        <v>56</v>
      </c>
      <c r="R306">
        <v>43.1</v>
      </c>
      <c r="S306">
        <v>-11.1</v>
      </c>
      <c r="T306">
        <v>-15.8</v>
      </c>
      <c r="U306">
        <v>1.3</v>
      </c>
      <c r="V306">
        <v>3.8</v>
      </c>
      <c r="W306">
        <v>5.2</v>
      </c>
      <c r="X306" t="s">
        <v>66</v>
      </c>
    </row>
    <row r="307" spans="2:24" x14ac:dyDescent="0.3">
      <c r="B307" t="s">
        <v>400</v>
      </c>
      <c r="C307" t="s">
        <v>92</v>
      </c>
      <c r="D307" t="s">
        <v>7</v>
      </c>
      <c r="E307" t="s">
        <v>18</v>
      </c>
      <c r="F307" t="s">
        <v>11</v>
      </c>
      <c r="G307" t="s">
        <v>54</v>
      </c>
      <c r="H307">
        <v>2026</v>
      </c>
      <c r="I307">
        <v>597</v>
      </c>
      <c r="J307">
        <v>11.6</v>
      </c>
      <c r="K307" t="s">
        <v>25</v>
      </c>
      <c r="L307">
        <v>9.6</v>
      </c>
      <c r="M307">
        <v>7.7</v>
      </c>
      <c r="N307">
        <v>575</v>
      </c>
      <c r="O307" t="s">
        <v>64</v>
      </c>
      <c r="P307">
        <v>16.100000000000001</v>
      </c>
      <c r="Q307" t="s">
        <v>86</v>
      </c>
      <c r="R307">
        <v>-35.6</v>
      </c>
      <c r="S307">
        <v>22.3</v>
      </c>
      <c r="T307">
        <v>3.4</v>
      </c>
      <c r="U307">
        <v>6.1</v>
      </c>
      <c r="V307">
        <v>5.7</v>
      </c>
      <c r="W307">
        <v>7</v>
      </c>
      <c r="X307" t="s">
        <v>116</v>
      </c>
    </row>
    <row r="308" spans="2:24" x14ac:dyDescent="0.3">
      <c r="B308" t="s">
        <v>401</v>
      </c>
      <c r="C308" t="s">
        <v>142</v>
      </c>
      <c r="D308" t="s">
        <v>2</v>
      </c>
      <c r="E308" t="s">
        <v>18</v>
      </c>
      <c r="F308" t="s">
        <v>9</v>
      </c>
      <c r="G308" t="s">
        <v>60</v>
      </c>
      <c r="H308">
        <v>2026</v>
      </c>
      <c r="I308">
        <v>89</v>
      </c>
      <c r="J308">
        <v>6.1</v>
      </c>
      <c r="K308" t="s">
        <v>25</v>
      </c>
      <c r="L308">
        <v>5.3</v>
      </c>
      <c r="M308">
        <v>5.2</v>
      </c>
      <c r="N308">
        <v>6575</v>
      </c>
      <c r="O308" t="s">
        <v>55</v>
      </c>
      <c r="P308">
        <v>81.3</v>
      </c>
      <c r="Q308" t="s">
        <v>56</v>
      </c>
      <c r="R308">
        <v>-39.700000000000003</v>
      </c>
      <c r="S308">
        <v>26.2</v>
      </c>
      <c r="T308">
        <v>4.0999999999999996</v>
      </c>
      <c r="U308">
        <v>6</v>
      </c>
      <c r="V308">
        <v>7.3</v>
      </c>
      <c r="W308">
        <v>8</v>
      </c>
      <c r="X308" t="s">
        <v>57</v>
      </c>
    </row>
    <row r="309" spans="2:24" x14ac:dyDescent="0.3">
      <c r="B309" t="s">
        <v>402</v>
      </c>
      <c r="C309" t="s">
        <v>53</v>
      </c>
      <c r="D309" t="s">
        <v>2</v>
      </c>
      <c r="E309" t="s">
        <v>19</v>
      </c>
      <c r="F309" t="s">
        <v>9</v>
      </c>
      <c r="G309" t="s">
        <v>101</v>
      </c>
      <c r="H309">
        <v>2026</v>
      </c>
      <c r="I309">
        <v>15870</v>
      </c>
      <c r="J309">
        <v>33.200000000000003</v>
      </c>
      <c r="K309" t="s">
        <v>22</v>
      </c>
      <c r="L309">
        <v>6.1</v>
      </c>
      <c r="M309">
        <v>9.6</v>
      </c>
      <c r="N309">
        <v>8765</v>
      </c>
      <c r="O309" t="s">
        <v>64</v>
      </c>
      <c r="P309">
        <v>39.9</v>
      </c>
      <c r="Q309" t="s">
        <v>56</v>
      </c>
      <c r="R309">
        <v>-36.4</v>
      </c>
      <c r="S309">
        <v>49.4</v>
      </c>
      <c r="T309">
        <v>18.2</v>
      </c>
      <c r="U309">
        <v>3.8</v>
      </c>
      <c r="V309">
        <v>5.2</v>
      </c>
      <c r="W309">
        <v>4.4000000000000004</v>
      </c>
      <c r="X309" t="s">
        <v>66</v>
      </c>
    </row>
    <row r="310" spans="2:24" x14ac:dyDescent="0.3">
      <c r="B310" t="s">
        <v>403</v>
      </c>
      <c r="C310" t="s">
        <v>159</v>
      </c>
      <c r="D310" t="s">
        <v>7</v>
      </c>
      <c r="E310" t="s">
        <v>17</v>
      </c>
      <c r="F310" t="s">
        <v>12</v>
      </c>
      <c r="G310" t="s">
        <v>60</v>
      </c>
      <c r="H310">
        <v>2026</v>
      </c>
      <c r="I310">
        <v>1493</v>
      </c>
      <c r="J310">
        <v>7.6</v>
      </c>
      <c r="K310" t="s">
        <v>22</v>
      </c>
      <c r="L310">
        <v>2.8</v>
      </c>
      <c r="M310">
        <v>6.2</v>
      </c>
      <c r="N310">
        <v>1725</v>
      </c>
      <c r="O310" t="s">
        <v>64</v>
      </c>
      <c r="P310">
        <v>19</v>
      </c>
      <c r="Q310" t="s">
        <v>86</v>
      </c>
      <c r="R310">
        <v>14.5</v>
      </c>
      <c r="S310">
        <v>42.7</v>
      </c>
      <c r="T310">
        <v>24.4</v>
      </c>
      <c r="U310">
        <v>4.7</v>
      </c>
      <c r="V310">
        <v>9.1</v>
      </c>
      <c r="W310">
        <v>6.9</v>
      </c>
      <c r="X310" t="s">
        <v>116</v>
      </c>
    </row>
    <row r="311" spans="2:24" x14ac:dyDescent="0.3">
      <c r="B311" t="s">
        <v>404</v>
      </c>
      <c r="C311" t="s">
        <v>106</v>
      </c>
      <c r="D311" t="s">
        <v>4</v>
      </c>
      <c r="E311" t="s">
        <v>15</v>
      </c>
      <c r="F311" t="s">
        <v>10</v>
      </c>
      <c r="G311" t="s">
        <v>54</v>
      </c>
      <c r="H311">
        <v>2026</v>
      </c>
      <c r="I311">
        <v>1021</v>
      </c>
      <c r="J311">
        <v>7.1</v>
      </c>
      <c r="K311" t="s">
        <v>24</v>
      </c>
      <c r="L311">
        <v>8.1999999999999993</v>
      </c>
      <c r="M311">
        <v>5.4</v>
      </c>
      <c r="N311">
        <v>307</v>
      </c>
      <c r="O311" t="s">
        <v>64</v>
      </c>
      <c r="P311">
        <v>18.2</v>
      </c>
      <c r="Q311" t="s">
        <v>88</v>
      </c>
      <c r="R311">
        <v>-4.2</v>
      </c>
      <c r="S311">
        <v>50.6</v>
      </c>
      <c r="T311">
        <v>25.9</v>
      </c>
      <c r="U311">
        <v>5</v>
      </c>
      <c r="V311">
        <v>7.4</v>
      </c>
      <c r="W311">
        <v>7.1</v>
      </c>
      <c r="X311" t="s">
        <v>57</v>
      </c>
    </row>
    <row r="312" spans="2:24" x14ac:dyDescent="0.3">
      <c r="B312" t="s">
        <v>405</v>
      </c>
      <c r="C312" t="s">
        <v>83</v>
      </c>
      <c r="D312" t="s">
        <v>4</v>
      </c>
      <c r="E312" t="s">
        <v>16</v>
      </c>
      <c r="F312" t="s">
        <v>9</v>
      </c>
      <c r="G312" t="s">
        <v>63</v>
      </c>
      <c r="H312">
        <v>2025</v>
      </c>
      <c r="I312">
        <v>13614</v>
      </c>
      <c r="J312">
        <v>16.600000000000001</v>
      </c>
      <c r="K312" t="s">
        <v>21</v>
      </c>
      <c r="L312">
        <v>1.1000000000000001</v>
      </c>
      <c r="M312">
        <v>6.6</v>
      </c>
      <c r="N312">
        <v>1103</v>
      </c>
      <c r="O312" t="s">
        <v>75</v>
      </c>
      <c r="P312">
        <v>78.599999999999994</v>
      </c>
      <c r="Q312" t="s">
        <v>88</v>
      </c>
      <c r="R312">
        <v>-42.7</v>
      </c>
      <c r="S312">
        <v>8.1999999999999993</v>
      </c>
      <c r="T312">
        <v>2.1</v>
      </c>
      <c r="U312">
        <v>1.5</v>
      </c>
      <c r="V312">
        <v>4.9000000000000004</v>
      </c>
      <c r="W312">
        <v>5.0999999999999996</v>
      </c>
      <c r="X312" t="s">
        <v>66</v>
      </c>
    </row>
    <row r="313" spans="2:24" x14ac:dyDescent="0.3">
      <c r="B313" t="s">
        <v>406</v>
      </c>
      <c r="C313" t="s">
        <v>83</v>
      </c>
      <c r="D313" t="s">
        <v>4</v>
      </c>
      <c r="E313" t="s">
        <v>14</v>
      </c>
      <c r="F313" t="s">
        <v>11</v>
      </c>
      <c r="G313" t="s">
        <v>98</v>
      </c>
      <c r="H313">
        <v>2024</v>
      </c>
      <c r="I313">
        <v>8691</v>
      </c>
      <c r="J313">
        <v>15.8</v>
      </c>
      <c r="K313" t="s">
        <v>24</v>
      </c>
      <c r="L313">
        <v>7.5</v>
      </c>
      <c r="M313">
        <v>10</v>
      </c>
      <c r="N313">
        <v>1115</v>
      </c>
      <c r="O313" t="s">
        <v>64</v>
      </c>
      <c r="P313">
        <v>34.700000000000003</v>
      </c>
      <c r="Q313" t="s">
        <v>76</v>
      </c>
      <c r="R313">
        <v>-21.7</v>
      </c>
      <c r="S313">
        <v>10.1</v>
      </c>
      <c r="T313">
        <v>2.7</v>
      </c>
      <c r="U313">
        <v>7.6</v>
      </c>
      <c r="V313">
        <v>5.9</v>
      </c>
      <c r="W313">
        <v>5.7</v>
      </c>
      <c r="X313" t="s">
        <v>66</v>
      </c>
    </row>
    <row r="314" spans="2:24" x14ac:dyDescent="0.3">
      <c r="B314" t="s">
        <v>407</v>
      </c>
      <c r="C314" t="s">
        <v>94</v>
      </c>
      <c r="D314" t="s">
        <v>6</v>
      </c>
      <c r="E314" t="s">
        <v>18</v>
      </c>
      <c r="F314" t="s">
        <v>11</v>
      </c>
      <c r="G314" t="s">
        <v>60</v>
      </c>
      <c r="H314">
        <v>2026</v>
      </c>
      <c r="I314">
        <v>15602</v>
      </c>
      <c r="J314">
        <v>19.899999999999999</v>
      </c>
      <c r="K314" t="s">
        <v>25</v>
      </c>
      <c r="L314">
        <v>8</v>
      </c>
      <c r="M314">
        <v>10</v>
      </c>
      <c r="N314">
        <v>597</v>
      </c>
      <c r="O314" t="s">
        <v>64</v>
      </c>
      <c r="P314">
        <v>68.3</v>
      </c>
      <c r="Q314" t="s">
        <v>65</v>
      </c>
      <c r="R314">
        <v>45.4</v>
      </c>
      <c r="S314">
        <v>-3.1</v>
      </c>
      <c r="T314">
        <v>-8.9</v>
      </c>
      <c r="U314">
        <v>6.9</v>
      </c>
      <c r="V314">
        <v>6.2</v>
      </c>
      <c r="W314">
        <v>4</v>
      </c>
      <c r="X314" t="s">
        <v>66</v>
      </c>
    </row>
    <row r="315" spans="2:24" x14ac:dyDescent="0.3">
      <c r="B315" t="s">
        <v>408</v>
      </c>
      <c r="C315" t="s">
        <v>83</v>
      </c>
      <c r="D315" t="s">
        <v>4</v>
      </c>
      <c r="E315" t="s">
        <v>17</v>
      </c>
      <c r="F315" t="s">
        <v>11</v>
      </c>
      <c r="G315" t="s">
        <v>69</v>
      </c>
      <c r="H315">
        <v>2025</v>
      </c>
      <c r="I315">
        <v>4131</v>
      </c>
      <c r="J315">
        <v>14.3</v>
      </c>
      <c r="K315" t="s">
        <v>23</v>
      </c>
      <c r="L315">
        <v>4.4000000000000004</v>
      </c>
      <c r="M315">
        <v>10</v>
      </c>
      <c r="N315">
        <v>5471</v>
      </c>
      <c r="O315" t="s">
        <v>64</v>
      </c>
      <c r="P315">
        <v>31.7</v>
      </c>
      <c r="Q315" t="s">
        <v>56</v>
      </c>
      <c r="R315">
        <v>-24.8</v>
      </c>
      <c r="S315">
        <v>41.5</v>
      </c>
      <c r="T315">
        <v>17.3</v>
      </c>
      <c r="U315">
        <v>6.5</v>
      </c>
      <c r="V315">
        <v>6.6</v>
      </c>
      <c r="W315">
        <v>5.5</v>
      </c>
      <c r="X315" t="s">
        <v>116</v>
      </c>
    </row>
    <row r="316" spans="2:24" x14ac:dyDescent="0.3">
      <c r="B316" t="s">
        <v>409</v>
      </c>
      <c r="C316" t="s">
        <v>106</v>
      </c>
      <c r="D316" t="s">
        <v>4</v>
      </c>
      <c r="E316" t="s">
        <v>16</v>
      </c>
      <c r="F316" t="s">
        <v>12</v>
      </c>
      <c r="G316" t="s">
        <v>131</v>
      </c>
      <c r="H316">
        <v>2024</v>
      </c>
      <c r="I316">
        <v>4139</v>
      </c>
      <c r="J316">
        <v>9.1999999999999993</v>
      </c>
      <c r="K316" t="s">
        <v>22</v>
      </c>
      <c r="L316">
        <v>6.8</v>
      </c>
      <c r="M316">
        <v>10</v>
      </c>
      <c r="N316">
        <v>2275</v>
      </c>
      <c r="O316" t="s">
        <v>64</v>
      </c>
      <c r="P316">
        <v>42</v>
      </c>
      <c r="Q316" t="s">
        <v>76</v>
      </c>
      <c r="R316">
        <v>58.7</v>
      </c>
      <c r="S316">
        <v>-10.7</v>
      </c>
      <c r="T316">
        <v>-12.4</v>
      </c>
      <c r="U316">
        <v>8.6999999999999993</v>
      </c>
      <c r="V316">
        <v>7.3</v>
      </c>
      <c r="W316">
        <v>4.9000000000000004</v>
      </c>
      <c r="X316" t="s">
        <v>116</v>
      </c>
    </row>
    <row r="317" spans="2:24" x14ac:dyDescent="0.3">
      <c r="B317" t="s">
        <v>410</v>
      </c>
      <c r="C317" t="s">
        <v>90</v>
      </c>
      <c r="D317" t="s">
        <v>3</v>
      </c>
      <c r="E317" t="s">
        <v>14</v>
      </c>
      <c r="F317" t="s">
        <v>12</v>
      </c>
      <c r="G317" t="s">
        <v>131</v>
      </c>
      <c r="H317">
        <v>2025</v>
      </c>
      <c r="I317">
        <v>1532</v>
      </c>
      <c r="J317">
        <v>6.4</v>
      </c>
      <c r="K317" t="s">
        <v>21</v>
      </c>
      <c r="L317">
        <v>14.4</v>
      </c>
      <c r="M317">
        <v>10</v>
      </c>
      <c r="N317">
        <v>5799</v>
      </c>
      <c r="O317" t="s">
        <v>55</v>
      </c>
      <c r="P317">
        <v>28.6</v>
      </c>
      <c r="Q317" t="s">
        <v>84</v>
      </c>
      <c r="R317">
        <v>-16</v>
      </c>
      <c r="S317">
        <v>28.6</v>
      </c>
      <c r="T317">
        <v>8.6999999999999993</v>
      </c>
      <c r="U317">
        <v>9.9</v>
      </c>
      <c r="V317">
        <v>6.1</v>
      </c>
      <c r="W317">
        <v>6.2</v>
      </c>
      <c r="X317" t="s">
        <v>57</v>
      </c>
    </row>
    <row r="318" spans="2:24" x14ac:dyDescent="0.3">
      <c r="B318" t="s">
        <v>411</v>
      </c>
      <c r="C318" t="s">
        <v>81</v>
      </c>
      <c r="D318" t="s">
        <v>5</v>
      </c>
      <c r="E318" t="s">
        <v>15</v>
      </c>
      <c r="F318" t="s">
        <v>10</v>
      </c>
      <c r="G318" t="s">
        <v>74</v>
      </c>
      <c r="H318">
        <v>2024</v>
      </c>
      <c r="I318">
        <v>5465</v>
      </c>
      <c r="J318">
        <v>4.7</v>
      </c>
      <c r="K318" t="s">
        <v>22</v>
      </c>
      <c r="L318">
        <v>2.1</v>
      </c>
      <c r="M318">
        <v>1.8</v>
      </c>
      <c r="N318">
        <v>1538</v>
      </c>
      <c r="O318" t="s">
        <v>64</v>
      </c>
      <c r="P318">
        <v>24.6</v>
      </c>
      <c r="Q318" t="s">
        <v>125</v>
      </c>
      <c r="R318">
        <v>37.6</v>
      </c>
      <c r="S318">
        <v>-8.6</v>
      </c>
      <c r="T318">
        <v>-4.5</v>
      </c>
      <c r="U318">
        <v>1.8</v>
      </c>
      <c r="V318">
        <v>7.1</v>
      </c>
      <c r="W318">
        <v>7.2</v>
      </c>
      <c r="X318" t="s">
        <v>116</v>
      </c>
    </row>
    <row r="319" spans="2:24" x14ac:dyDescent="0.3">
      <c r="B319" t="s">
        <v>412</v>
      </c>
      <c r="C319" t="s">
        <v>137</v>
      </c>
      <c r="D319" t="s">
        <v>4</v>
      </c>
      <c r="E319" t="s">
        <v>17</v>
      </c>
      <c r="F319" t="s">
        <v>12</v>
      </c>
      <c r="G319" t="s">
        <v>112</v>
      </c>
      <c r="H319">
        <v>2025</v>
      </c>
      <c r="I319">
        <v>2970</v>
      </c>
      <c r="J319">
        <v>2.6</v>
      </c>
      <c r="K319" t="s">
        <v>23</v>
      </c>
      <c r="L319">
        <v>2.4</v>
      </c>
      <c r="M319">
        <v>3.8</v>
      </c>
      <c r="N319">
        <v>3900</v>
      </c>
      <c r="O319" t="s">
        <v>55</v>
      </c>
      <c r="P319">
        <v>78</v>
      </c>
      <c r="Q319" t="s">
        <v>86</v>
      </c>
      <c r="R319">
        <v>55.6</v>
      </c>
      <c r="S319">
        <v>28.8</v>
      </c>
      <c r="T319">
        <v>15.8</v>
      </c>
      <c r="U319">
        <v>2.9</v>
      </c>
      <c r="V319">
        <v>8.9</v>
      </c>
      <c r="W319">
        <v>8.1999999999999993</v>
      </c>
      <c r="X319" t="s">
        <v>116</v>
      </c>
    </row>
    <row r="320" spans="2:24" x14ac:dyDescent="0.3">
      <c r="B320" t="s">
        <v>413</v>
      </c>
      <c r="C320" t="s">
        <v>159</v>
      </c>
      <c r="D320" t="s">
        <v>2</v>
      </c>
      <c r="E320" t="s">
        <v>18</v>
      </c>
      <c r="F320" t="s">
        <v>11</v>
      </c>
      <c r="G320" t="s">
        <v>101</v>
      </c>
      <c r="H320">
        <v>2026</v>
      </c>
      <c r="I320">
        <v>1097</v>
      </c>
      <c r="J320">
        <v>6.1</v>
      </c>
      <c r="K320" t="s">
        <v>24</v>
      </c>
      <c r="L320">
        <v>10.3</v>
      </c>
      <c r="M320">
        <v>7</v>
      </c>
      <c r="N320">
        <v>8379</v>
      </c>
      <c r="O320" t="s">
        <v>118</v>
      </c>
      <c r="P320">
        <v>59.5</v>
      </c>
      <c r="Q320" t="s">
        <v>76</v>
      </c>
      <c r="R320">
        <v>36.9</v>
      </c>
      <c r="S320">
        <v>27.6</v>
      </c>
      <c r="T320">
        <v>20.6</v>
      </c>
      <c r="U320">
        <v>8.8000000000000007</v>
      </c>
      <c r="V320">
        <v>6</v>
      </c>
      <c r="W320">
        <v>6.6</v>
      </c>
      <c r="X320" t="s">
        <v>57</v>
      </c>
    </row>
    <row r="321" spans="2:24" x14ac:dyDescent="0.3">
      <c r="B321" t="s">
        <v>414</v>
      </c>
      <c r="C321" t="s">
        <v>27</v>
      </c>
      <c r="D321" t="s">
        <v>2</v>
      </c>
      <c r="E321" t="s">
        <v>19</v>
      </c>
      <c r="F321" t="s">
        <v>12</v>
      </c>
      <c r="G321" t="s">
        <v>69</v>
      </c>
      <c r="H321">
        <v>2025</v>
      </c>
      <c r="I321">
        <v>3910</v>
      </c>
      <c r="J321">
        <v>23.2</v>
      </c>
      <c r="K321" t="s">
        <v>25</v>
      </c>
      <c r="L321">
        <v>6.1</v>
      </c>
      <c r="M321">
        <v>10</v>
      </c>
      <c r="N321">
        <v>9762</v>
      </c>
      <c r="O321" t="s">
        <v>55</v>
      </c>
      <c r="P321">
        <v>13.2</v>
      </c>
      <c r="Q321" t="s">
        <v>56</v>
      </c>
      <c r="R321">
        <v>21.8</v>
      </c>
      <c r="S321">
        <v>4.5</v>
      </c>
      <c r="T321">
        <v>-5.5</v>
      </c>
      <c r="U321">
        <v>6.6</v>
      </c>
      <c r="V321">
        <v>6.7</v>
      </c>
      <c r="W321">
        <v>3.2</v>
      </c>
      <c r="X321" t="s">
        <v>66</v>
      </c>
    </row>
    <row r="322" spans="2:24" x14ac:dyDescent="0.3">
      <c r="B322" t="s">
        <v>415</v>
      </c>
      <c r="C322" t="s">
        <v>90</v>
      </c>
      <c r="D322" t="s">
        <v>2</v>
      </c>
      <c r="E322" t="s">
        <v>16</v>
      </c>
      <c r="F322" t="s">
        <v>12</v>
      </c>
      <c r="G322" t="s">
        <v>63</v>
      </c>
      <c r="H322">
        <v>2026</v>
      </c>
      <c r="I322">
        <v>2483</v>
      </c>
      <c r="J322">
        <v>2.1</v>
      </c>
      <c r="K322" t="s">
        <v>23</v>
      </c>
      <c r="L322">
        <v>8.5</v>
      </c>
      <c r="M322">
        <v>8</v>
      </c>
      <c r="N322">
        <v>6515</v>
      </c>
      <c r="O322" t="s">
        <v>55</v>
      </c>
      <c r="P322">
        <v>79.3</v>
      </c>
      <c r="Q322" t="s">
        <v>56</v>
      </c>
      <c r="R322">
        <v>6.5</v>
      </c>
      <c r="S322">
        <v>54.3</v>
      </c>
      <c r="T322">
        <v>28.9</v>
      </c>
      <c r="U322">
        <v>7</v>
      </c>
      <c r="V322">
        <v>10</v>
      </c>
      <c r="W322">
        <v>8.4</v>
      </c>
      <c r="X322" t="s">
        <v>57</v>
      </c>
    </row>
    <row r="323" spans="2:24" x14ac:dyDescent="0.3">
      <c r="B323" t="s">
        <v>416</v>
      </c>
      <c r="C323" t="s">
        <v>53</v>
      </c>
      <c r="D323" t="s">
        <v>2</v>
      </c>
      <c r="E323" t="s">
        <v>14</v>
      </c>
      <c r="F323" t="s">
        <v>10</v>
      </c>
      <c r="G323" t="s">
        <v>63</v>
      </c>
      <c r="H323">
        <v>2026</v>
      </c>
      <c r="I323">
        <v>1895</v>
      </c>
      <c r="J323">
        <v>9.6999999999999993</v>
      </c>
      <c r="K323" t="s">
        <v>24</v>
      </c>
      <c r="L323">
        <v>8.4</v>
      </c>
      <c r="M323">
        <v>9</v>
      </c>
      <c r="N323">
        <v>2027</v>
      </c>
      <c r="O323" t="s">
        <v>55</v>
      </c>
      <c r="P323">
        <v>66.599999999999994</v>
      </c>
      <c r="Q323" t="s">
        <v>76</v>
      </c>
      <c r="R323">
        <v>-6.5</v>
      </c>
      <c r="S323">
        <v>0.3</v>
      </c>
      <c r="T323">
        <v>-0.2</v>
      </c>
      <c r="U323">
        <v>6.5</v>
      </c>
      <c r="V323">
        <v>4.3</v>
      </c>
      <c r="W323">
        <v>5.8</v>
      </c>
      <c r="X323" t="s">
        <v>116</v>
      </c>
    </row>
    <row r="324" spans="2:24" x14ac:dyDescent="0.3">
      <c r="B324" t="s">
        <v>417</v>
      </c>
      <c r="C324" t="s">
        <v>62</v>
      </c>
      <c r="D324" t="s">
        <v>2</v>
      </c>
      <c r="E324" t="s">
        <v>16</v>
      </c>
      <c r="F324" t="s">
        <v>9</v>
      </c>
      <c r="G324" t="s">
        <v>131</v>
      </c>
      <c r="H324">
        <v>2025</v>
      </c>
      <c r="I324">
        <v>16803</v>
      </c>
      <c r="J324">
        <v>22</v>
      </c>
      <c r="K324" t="s">
        <v>23</v>
      </c>
      <c r="L324">
        <v>5.2</v>
      </c>
      <c r="M324">
        <v>10</v>
      </c>
      <c r="N324">
        <v>4005</v>
      </c>
      <c r="O324" t="s">
        <v>55</v>
      </c>
      <c r="P324">
        <v>64.099999999999994</v>
      </c>
      <c r="Q324" t="s">
        <v>76</v>
      </c>
      <c r="R324">
        <v>-42.7</v>
      </c>
      <c r="S324">
        <v>19.7</v>
      </c>
      <c r="T324">
        <v>11.6</v>
      </c>
      <c r="U324">
        <v>7.7</v>
      </c>
      <c r="V324">
        <v>4</v>
      </c>
      <c r="W324">
        <v>5.3</v>
      </c>
      <c r="X324" t="s">
        <v>66</v>
      </c>
    </row>
    <row r="325" spans="2:24" x14ac:dyDescent="0.3">
      <c r="B325" t="s">
        <v>418</v>
      </c>
      <c r="C325" t="s">
        <v>106</v>
      </c>
      <c r="D325" t="s">
        <v>7</v>
      </c>
      <c r="E325" t="s">
        <v>14</v>
      </c>
      <c r="F325" t="s">
        <v>9</v>
      </c>
      <c r="G325" t="s">
        <v>112</v>
      </c>
      <c r="H325">
        <v>2024</v>
      </c>
      <c r="I325">
        <v>12101</v>
      </c>
      <c r="J325">
        <v>31.2</v>
      </c>
      <c r="K325" t="s">
        <v>25</v>
      </c>
      <c r="L325">
        <v>10.4</v>
      </c>
      <c r="M325">
        <v>10</v>
      </c>
      <c r="N325">
        <v>517</v>
      </c>
      <c r="O325" t="s">
        <v>75</v>
      </c>
      <c r="P325">
        <v>10.5</v>
      </c>
      <c r="Q325" t="s">
        <v>84</v>
      </c>
      <c r="R325">
        <v>3.7</v>
      </c>
      <c r="S325">
        <v>22.2</v>
      </c>
      <c r="T325">
        <v>7.2</v>
      </c>
      <c r="U325">
        <v>6.5</v>
      </c>
      <c r="V325">
        <v>4.2</v>
      </c>
      <c r="W325">
        <v>2.9</v>
      </c>
      <c r="X325" t="s">
        <v>66</v>
      </c>
    </row>
    <row r="326" spans="2:24" x14ac:dyDescent="0.3">
      <c r="B326" t="s">
        <v>419</v>
      </c>
      <c r="C326" t="s">
        <v>142</v>
      </c>
      <c r="D326" t="s">
        <v>8</v>
      </c>
      <c r="E326" t="s">
        <v>16</v>
      </c>
      <c r="F326" t="s">
        <v>10</v>
      </c>
      <c r="G326" t="s">
        <v>101</v>
      </c>
      <c r="H326">
        <v>2026</v>
      </c>
      <c r="I326">
        <v>2040</v>
      </c>
      <c r="J326">
        <v>2.1</v>
      </c>
      <c r="K326" t="s">
        <v>24</v>
      </c>
      <c r="L326">
        <v>10.6</v>
      </c>
      <c r="M326">
        <v>6.4</v>
      </c>
      <c r="N326">
        <v>3265</v>
      </c>
      <c r="O326" t="s">
        <v>55</v>
      </c>
      <c r="P326">
        <v>74.099999999999994</v>
      </c>
      <c r="Q326" t="s">
        <v>84</v>
      </c>
      <c r="R326">
        <v>49.5</v>
      </c>
      <c r="S326">
        <v>56.5</v>
      </c>
      <c r="T326">
        <v>27.1</v>
      </c>
      <c r="U326">
        <v>6.5</v>
      </c>
      <c r="V326">
        <v>9.1</v>
      </c>
      <c r="W326">
        <v>8.9</v>
      </c>
      <c r="X326" t="s">
        <v>57</v>
      </c>
    </row>
    <row r="327" spans="2:24" x14ac:dyDescent="0.3">
      <c r="B327" t="s">
        <v>420</v>
      </c>
      <c r="C327" t="s">
        <v>137</v>
      </c>
      <c r="D327" t="s">
        <v>3</v>
      </c>
      <c r="E327" t="s">
        <v>15</v>
      </c>
      <c r="F327" t="s">
        <v>9</v>
      </c>
      <c r="G327" t="s">
        <v>78</v>
      </c>
      <c r="H327">
        <v>2024</v>
      </c>
      <c r="I327">
        <v>1631</v>
      </c>
      <c r="J327">
        <v>3.8</v>
      </c>
      <c r="K327" t="s">
        <v>22</v>
      </c>
      <c r="L327">
        <v>11</v>
      </c>
      <c r="M327">
        <v>10</v>
      </c>
      <c r="N327">
        <v>5073</v>
      </c>
      <c r="O327" t="s">
        <v>118</v>
      </c>
      <c r="P327">
        <v>40.9</v>
      </c>
      <c r="Q327" t="s">
        <v>56</v>
      </c>
      <c r="R327">
        <v>-21.1</v>
      </c>
      <c r="S327">
        <v>-0.2</v>
      </c>
      <c r="T327">
        <v>4.7</v>
      </c>
      <c r="U327">
        <v>9.6999999999999993</v>
      </c>
      <c r="V327">
        <v>6</v>
      </c>
      <c r="W327">
        <v>5.5</v>
      </c>
      <c r="X327" t="s">
        <v>57</v>
      </c>
    </row>
    <row r="328" spans="2:24" x14ac:dyDescent="0.3">
      <c r="B328" t="s">
        <v>421</v>
      </c>
      <c r="C328" t="s">
        <v>27</v>
      </c>
      <c r="D328" t="s">
        <v>3</v>
      </c>
      <c r="E328" t="s">
        <v>17</v>
      </c>
      <c r="F328" t="s">
        <v>9</v>
      </c>
      <c r="G328" t="s">
        <v>115</v>
      </c>
      <c r="H328">
        <v>2024</v>
      </c>
      <c r="I328">
        <v>12622</v>
      </c>
      <c r="J328">
        <v>31.1</v>
      </c>
      <c r="K328" t="s">
        <v>21</v>
      </c>
      <c r="L328">
        <v>7.1</v>
      </c>
      <c r="M328">
        <v>8.8000000000000007</v>
      </c>
      <c r="N328">
        <v>1463</v>
      </c>
      <c r="O328" t="s">
        <v>75</v>
      </c>
      <c r="P328">
        <v>32.4</v>
      </c>
      <c r="Q328" t="s">
        <v>76</v>
      </c>
      <c r="R328">
        <v>63.7</v>
      </c>
      <c r="S328">
        <v>29.2</v>
      </c>
      <c r="T328">
        <v>6.4</v>
      </c>
      <c r="U328">
        <v>5.4</v>
      </c>
      <c r="V328">
        <v>4.3</v>
      </c>
      <c r="W328">
        <v>4.8</v>
      </c>
      <c r="X328" t="s">
        <v>66</v>
      </c>
    </row>
    <row r="329" spans="2:24" x14ac:dyDescent="0.3">
      <c r="B329" t="s">
        <v>422</v>
      </c>
      <c r="C329" t="s">
        <v>100</v>
      </c>
      <c r="D329" t="s">
        <v>3</v>
      </c>
      <c r="E329" t="s">
        <v>15</v>
      </c>
      <c r="F329" t="s">
        <v>9</v>
      </c>
      <c r="G329" t="s">
        <v>60</v>
      </c>
      <c r="H329">
        <v>2024</v>
      </c>
      <c r="I329">
        <v>9027</v>
      </c>
      <c r="J329">
        <v>37.5</v>
      </c>
      <c r="K329" t="s">
        <v>22</v>
      </c>
      <c r="L329">
        <v>4.5999999999999996</v>
      </c>
      <c r="M329">
        <v>10</v>
      </c>
      <c r="N329">
        <v>274</v>
      </c>
      <c r="O329" t="s">
        <v>75</v>
      </c>
      <c r="P329">
        <v>35.4</v>
      </c>
      <c r="Q329" t="s">
        <v>86</v>
      </c>
      <c r="R329">
        <v>-26.7</v>
      </c>
      <c r="S329">
        <v>35.1</v>
      </c>
      <c r="T329">
        <v>-2.9</v>
      </c>
      <c r="U329">
        <v>5.8</v>
      </c>
      <c r="V329">
        <v>6.1</v>
      </c>
      <c r="W329">
        <v>3.4</v>
      </c>
      <c r="X329" t="s">
        <v>66</v>
      </c>
    </row>
    <row r="330" spans="2:24" x14ac:dyDescent="0.3">
      <c r="B330" t="s">
        <v>423</v>
      </c>
      <c r="C330" t="s">
        <v>92</v>
      </c>
      <c r="D330" t="s">
        <v>7</v>
      </c>
      <c r="E330" t="s">
        <v>17</v>
      </c>
      <c r="F330" t="s">
        <v>11</v>
      </c>
      <c r="G330" t="s">
        <v>131</v>
      </c>
      <c r="H330">
        <v>2025</v>
      </c>
      <c r="I330">
        <v>1581</v>
      </c>
      <c r="J330">
        <v>3.5</v>
      </c>
      <c r="K330" t="s">
        <v>22</v>
      </c>
      <c r="L330">
        <v>3.2</v>
      </c>
      <c r="M330">
        <v>3.1</v>
      </c>
      <c r="N330">
        <v>923</v>
      </c>
      <c r="O330" t="s">
        <v>64</v>
      </c>
      <c r="P330">
        <v>66.900000000000006</v>
      </c>
      <c r="Q330" t="s">
        <v>65</v>
      </c>
      <c r="R330">
        <v>84.8</v>
      </c>
      <c r="S330">
        <v>2.7</v>
      </c>
      <c r="T330">
        <v>11.6</v>
      </c>
      <c r="U330">
        <v>3.7</v>
      </c>
      <c r="V330">
        <v>5.6</v>
      </c>
      <c r="W330">
        <v>6.3</v>
      </c>
      <c r="X330" t="s">
        <v>116</v>
      </c>
    </row>
    <row r="331" spans="2:24" x14ac:dyDescent="0.3">
      <c r="B331" t="s">
        <v>424</v>
      </c>
      <c r="C331" t="s">
        <v>90</v>
      </c>
      <c r="D331" t="s">
        <v>5</v>
      </c>
      <c r="E331" t="s">
        <v>14</v>
      </c>
      <c r="F331" t="s">
        <v>11</v>
      </c>
      <c r="G331" t="s">
        <v>69</v>
      </c>
      <c r="H331">
        <v>2024</v>
      </c>
      <c r="I331">
        <v>1817</v>
      </c>
      <c r="J331">
        <v>0.4</v>
      </c>
      <c r="K331" t="s">
        <v>21</v>
      </c>
      <c r="L331">
        <v>5</v>
      </c>
      <c r="M331">
        <v>3.6</v>
      </c>
      <c r="N331">
        <v>1175</v>
      </c>
      <c r="O331" t="s">
        <v>64</v>
      </c>
      <c r="P331">
        <v>59.4</v>
      </c>
      <c r="Q331" t="s">
        <v>56</v>
      </c>
      <c r="R331">
        <v>-33.1</v>
      </c>
      <c r="S331">
        <v>37</v>
      </c>
      <c r="T331">
        <v>18.399999999999999</v>
      </c>
      <c r="U331">
        <v>3.3</v>
      </c>
      <c r="V331">
        <v>8.6999999999999993</v>
      </c>
      <c r="W331">
        <v>9.1</v>
      </c>
      <c r="X331" t="s">
        <v>57</v>
      </c>
    </row>
    <row r="332" spans="2:24" x14ac:dyDescent="0.3">
      <c r="B332" t="s">
        <v>425</v>
      </c>
      <c r="C332" t="s">
        <v>27</v>
      </c>
      <c r="D332" t="s">
        <v>2</v>
      </c>
      <c r="E332" t="s">
        <v>16</v>
      </c>
      <c r="F332" t="s">
        <v>12</v>
      </c>
      <c r="G332" t="s">
        <v>104</v>
      </c>
      <c r="H332">
        <v>2024</v>
      </c>
      <c r="I332">
        <v>19447</v>
      </c>
      <c r="J332">
        <v>34.1</v>
      </c>
      <c r="K332" t="s">
        <v>22</v>
      </c>
      <c r="L332">
        <v>3.9</v>
      </c>
      <c r="M332">
        <v>9</v>
      </c>
      <c r="N332">
        <v>9209</v>
      </c>
      <c r="O332" t="s">
        <v>64</v>
      </c>
      <c r="P332">
        <v>72.8</v>
      </c>
      <c r="Q332" t="s">
        <v>56</v>
      </c>
      <c r="R332">
        <v>54.6</v>
      </c>
      <c r="S332">
        <v>13.7</v>
      </c>
      <c r="T332">
        <v>6.3</v>
      </c>
      <c r="U332">
        <v>2.6</v>
      </c>
      <c r="V332">
        <v>5</v>
      </c>
      <c r="W332">
        <v>3.5</v>
      </c>
      <c r="X332" t="s">
        <v>66</v>
      </c>
    </row>
    <row r="333" spans="2:24" x14ac:dyDescent="0.3">
      <c r="B333" t="s">
        <v>426</v>
      </c>
      <c r="C333" t="s">
        <v>59</v>
      </c>
      <c r="D333" t="s">
        <v>4</v>
      </c>
      <c r="E333" t="s">
        <v>19</v>
      </c>
      <c r="F333" t="s">
        <v>9</v>
      </c>
      <c r="G333" t="s">
        <v>98</v>
      </c>
      <c r="H333">
        <v>2026</v>
      </c>
      <c r="I333">
        <v>5843</v>
      </c>
      <c r="J333">
        <v>13.3</v>
      </c>
      <c r="K333" t="s">
        <v>23</v>
      </c>
      <c r="L333">
        <v>2.8</v>
      </c>
      <c r="M333">
        <v>5.7</v>
      </c>
      <c r="N333">
        <v>621</v>
      </c>
      <c r="O333" t="s">
        <v>75</v>
      </c>
      <c r="P333">
        <v>83.5</v>
      </c>
      <c r="Q333" t="s">
        <v>125</v>
      </c>
      <c r="R333">
        <v>78.400000000000006</v>
      </c>
      <c r="S333">
        <v>16.7</v>
      </c>
      <c r="T333">
        <v>3.5</v>
      </c>
      <c r="U333">
        <v>3.7</v>
      </c>
      <c r="V333">
        <v>8.3000000000000007</v>
      </c>
      <c r="W333">
        <v>7</v>
      </c>
      <c r="X333" t="s">
        <v>116</v>
      </c>
    </row>
    <row r="334" spans="2:24" x14ac:dyDescent="0.3">
      <c r="B334" t="s">
        <v>427</v>
      </c>
      <c r="C334" t="s">
        <v>53</v>
      </c>
      <c r="D334" t="s">
        <v>2</v>
      </c>
      <c r="E334" t="s">
        <v>18</v>
      </c>
      <c r="F334" t="s">
        <v>10</v>
      </c>
      <c r="G334" t="s">
        <v>112</v>
      </c>
      <c r="H334">
        <v>2024</v>
      </c>
      <c r="I334">
        <v>697</v>
      </c>
      <c r="J334">
        <v>4.7</v>
      </c>
      <c r="K334" t="s">
        <v>22</v>
      </c>
      <c r="L334">
        <v>4.7</v>
      </c>
      <c r="M334">
        <v>7.1</v>
      </c>
      <c r="N334">
        <v>2363</v>
      </c>
      <c r="O334" t="s">
        <v>55</v>
      </c>
      <c r="P334">
        <v>86</v>
      </c>
      <c r="Q334" t="s">
        <v>56</v>
      </c>
      <c r="R334">
        <v>23.8</v>
      </c>
      <c r="S334">
        <v>-9.5</v>
      </c>
      <c r="T334">
        <v>-10</v>
      </c>
      <c r="U334">
        <v>5.4</v>
      </c>
      <c r="V334">
        <v>4.5999999999999996</v>
      </c>
      <c r="W334">
        <v>4.9000000000000004</v>
      </c>
      <c r="X334" t="s">
        <v>57</v>
      </c>
    </row>
    <row r="335" spans="2:24" x14ac:dyDescent="0.3">
      <c r="B335" t="s">
        <v>428</v>
      </c>
      <c r="C335" t="s">
        <v>53</v>
      </c>
      <c r="D335" t="s">
        <v>2</v>
      </c>
      <c r="E335" t="s">
        <v>16</v>
      </c>
      <c r="F335" t="s">
        <v>12</v>
      </c>
      <c r="G335" t="s">
        <v>131</v>
      </c>
      <c r="H335">
        <v>2024</v>
      </c>
      <c r="I335">
        <v>2121</v>
      </c>
      <c r="J335">
        <v>2.1</v>
      </c>
      <c r="K335" t="s">
        <v>21</v>
      </c>
      <c r="L335">
        <v>11.2</v>
      </c>
      <c r="M335">
        <v>7.2</v>
      </c>
      <c r="N335">
        <v>8127</v>
      </c>
      <c r="O335" t="s">
        <v>118</v>
      </c>
      <c r="P335">
        <v>80</v>
      </c>
      <c r="Q335" t="s">
        <v>56</v>
      </c>
      <c r="R335">
        <v>-29.9</v>
      </c>
      <c r="S335">
        <v>7.4</v>
      </c>
      <c r="T335">
        <v>12.3</v>
      </c>
      <c r="U335">
        <v>8.9</v>
      </c>
      <c r="V335">
        <v>6.7</v>
      </c>
      <c r="W335">
        <v>7.5</v>
      </c>
      <c r="X335" t="s">
        <v>116</v>
      </c>
    </row>
    <row r="336" spans="2:24" x14ac:dyDescent="0.3">
      <c r="B336" t="s">
        <v>429</v>
      </c>
      <c r="C336" t="s">
        <v>90</v>
      </c>
      <c r="D336" t="s">
        <v>6</v>
      </c>
      <c r="E336" t="s">
        <v>19</v>
      </c>
      <c r="F336" t="s">
        <v>10</v>
      </c>
      <c r="G336" t="s">
        <v>131</v>
      </c>
      <c r="H336">
        <v>2024</v>
      </c>
      <c r="I336">
        <v>2387</v>
      </c>
      <c r="J336">
        <v>6.2</v>
      </c>
      <c r="K336" t="s">
        <v>25</v>
      </c>
      <c r="L336">
        <v>1.5</v>
      </c>
      <c r="M336">
        <v>4.8</v>
      </c>
      <c r="N336">
        <v>5806</v>
      </c>
      <c r="O336" t="s">
        <v>55</v>
      </c>
      <c r="P336">
        <v>51.1</v>
      </c>
      <c r="Q336" t="s">
        <v>65</v>
      </c>
      <c r="R336">
        <v>41.6</v>
      </c>
      <c r="S336">
        <v>-10</v>
      </c>
      <c r="T336">
        <v>-11.7</v>
      </c>
      <c r="U336">
        <v>1.9</v>
      </c>
      <c r="V336">
        <v>5.9</v>
      </c>
      <c r="W336">
        <v>5.3</v>
      </c>
      <c r="X336" t="s">
        <v>116</v>
      </c>
    </row>
    <row r="337" spans="2:24" x14ac:dyDescent="0.3">
      <c r="B337" t="s">
        <v>430</v>
      </c>
      <c r="C337" t="s">
        <v>53</v>
      </c>
      <c r="D337" t="s">
        <v>4</v>
      </c>
      <c r="E337" t="s">
        <v>16</v>
      </c>
      <c r="F337" t="s">
        <v>12</v>
      </c>
      <c r="G337" t="s">
        <v>115</v>
      </c>
      <c r="H337">
        <v>2026</v>
      </c>
      <c r="I337">
        <v>16405</v>
      </c>
      <c r="J337">
        <v>16.399999999999999</v>
      </c>
      <c r="K337" t="s">
        <v>21</v>
      </c>
      <c r="L337">
        <v>7</v>
      </c>
      <c r="M337">
        <v>10</v>
      </c>
      <c r="N337">
        <v>1645</v>
      </c>
      <c r="O337" t="s">
        <v>64</v>
      </c>
      <c r="P337">
        <v>78.5</v>
      </c>
      <c r="Q337" t="s">
        <v>65</v>
      </c>
      <c r="R337">
        <v>-4.4000000000000004</v>
      </c>
      <c r="S337">
        <v>16.100000000000001</v>
      </c>
      <c r="T337">
        <v>4.4000000000000004</v>
      </c>
      <c r="U337">
        <v>9.5</v>
      </c>
      <c r="V337">
        <v>5.7</v>
      </c>
      <c r="W337">
        <v>5.0999999999999996</v>
      </c>
      <c r="X337" t="s">
        <v>66</v>
      </c>
    </row>
    <row r="338" spans="2:24" x14ac:dyDescent="0.3">
      <c r="B338" t="s">
        <v>431</v>
      </c>
      <c r="C338" t="s">
        <v>27</v>
      </c>
      <c r="D338" t="s">
        <v>3</v>
      </c>
      <c r="E338" t="s">
        <v>16</v>
      </c>
      <c r="F338" t="s">
        <v>9</v>
      </c>
      <c r="G338" t="s">
        <v>78</v>
      </c>
      <c r="H338">
        <v>2024</v>
      </c>
      <c r="I338">
        <v>2386</v>
      </c>
      <c r="J338">
        <v>3.5</v>
      </c>
      <c r="K338" t="s">
        <v>24</v>
      </c>
      <c r="L338">
        <v>1.4</v>
      </c>
      <c r="M338">
        <v>1</v>
      </c>
      <c r="N338">
        <v>3661</v>
      </c>
      <c r="O338" t="s">
        <v>64</v>
      </c>
      <c r="P338">
        <v>86.1</v>
      </c>
      <c r="Q338" t="s">
        <v>76</v>
      </c>
      <c r="R338">
        <v>78.599999999999994</v>
      </c>
      <c r="S338">
        <v>-3</v>
      </c>
      <c r="T338">
        <v>-9.6</v>
      </c>
      <c r="U338">
        <v>1.1000000000000001</v>
      </c>
      <c r="V338">
        <v>6.4</v>
      </c>
      <c r="W338">
        <v>7.6</v>
      </c>
      <c r="X338" t="s">
        <v>57</v>
      </c>
    </row>
    <row r="339" spans="2:24" x14ac:dyDescent="0.3">
      <c r="B339" t="s">
        <v>432</v>
      </c>
      <c r="C339" t="s">
        <v>92</v>
      </c>
      <c r="D339" t="s">
        <v>7</v>
      </c>
      <c r="E339" t="s">
        <v>17</v>
      </c>
      <c r="F339" t="s">
        <v>11</v>
      </c>
      <c r="G339" t="s">
        <v>115</v>
      </c>
      <c r="H339">
        <v>2024</v>
      </c>
      <c r="I339">
        <v>11640</v>
      </c>
      <c r="J339">
        <v>31</v>
      </c>
      <c r="K339" t="s">
        <v>25</v>
      </c>
      <c r="L339">
        <v>4.7</v>
      </c>
      <c r="M339">
        <v>7.2</v>
      </c>
      <c r="N339">
        <v>1086</v>
      </c>
      <c r="O339" t="s">
        <v>75</v>
      </c>
      <c r="P339">
        <v>52.4</v>
      </c>
      <c r="Q339" t="s">
        <v>125</v>
      </c>
      <c r="R339">
        <v>2.2999999999999998</v>
      </c>
      <c r="S339">
        <v>59.5</v>
      </c>
      <c r="T339">
        <v>17.3</v>
      </c>
      <c r="U339">
        <v>3.1</v>
      </c>
      <c r="V339">
        <v>7.6</v>
      </c>
      <c r="W339">
        <v>5.7</v>
      </c>
      <c r="X339" t="s">
        <v>66</v>
      </c>
    </row>
    <row r="340" spans="2:24" x14ac:dyDescent="0.3">
      <c r="B340" t="s">
        <v>433</v>
      </c>
      <c r="C340" t="s">
        <v>73</v>
      </c>
      <c r="D340" t="s">
        <v>2</v>
      </c>
      <c r="E340" t="s">
        <v>16</v>
      </c>
      <c r="F340" t="s">
        <v>9</v>
      </c>
      <c r="G340" t="s">
        <v>54</v>
      </c>
      <c r="H340">
        <v>2025</v>
      </c>
      <c r="I340">
        <v>1193</v>
      </c>
      <c r="J340">
        <v>6.3</v>
      </c>
      <c r="K340" t="s">
        <v>22</v>
      </c>
      <c r="L340">
        <v>4.4000000000000004</v>
      </c>
      <c r="M340">
        <v>7.8</v>
      </c>
      <c r="N340">
        <v>5685</v>
      </c>
      <c r="O340" t="s">
        <v>55</v>
      </c>
      <c r="P340">
        <v>66.599999999999994</v>
      </c>
      <c r="Q340" t="s">
        <v>56</v>
      </c>
      <c r="R340">
        <v>-8.9</v>
      </c>
      <c r="S340">
        <v>49.7</v>
      </c>
      <c r="T340">
        <v>14.2</v>
      </c>
      <c r="U340">
        <v>6</v>
      </c>
      <c r="V340">
        <v>6.2</v>
      </c>
      <c r="W340">
        <v>6.8</v>
      </c>
      <c r="X340" t="s">
        <v>57</v>
      </c>
    </row>
    <row r="341" spans="2:24" x14ac:dyDescent="0.3">
      <c r="B341" t="s">
        <v>434</v>
      </c>
      <c r="C341" t="s">
        <v>90</v>
      </c>
      <c r="D341" t="s">
        <v>5</v>
      </c>
      <c r="E341" t="s">
        <v>19</v>
      </c>
      <c r="F341" t="s">
        <v>9</v>
      </c>
      <c r="G341" t="s">
        <v>112</v>
      </c>
      <c r="H341">
        <v>2024</v>
      </c>
      <c r="I341">
        <v>4099</v>
      </c>
      <c r="J341">
        <v>1.5</v>
      </c>
      <c r="K341" t="s">
        <v>21</v>
      </c>
      <c r="L341">
        <v>7.1</v>
      </c>
      <c r="M341">
        <v>9</v>
      </c>
      <c r="N341">
        <v>5488</v>
      </c>
      <c r="O341" t="s">
        <v>55</v>
      </c>
      <c r="P341">
        <v>75.400000000000006</v>
      </c>
      <c r="Q341" t="s">
        <v>56</v>
      </c>
      <c r="R341">
        <v>46.4</v>
      </c>
      <c r="S341">
        <v>11.6</v>
      </c>
      <c r="T341">
        <v>-0.3</v>
      </c>
      <c r="U341">
        <v>6.5</v>
      </c>
      <c r="V341">
        <v>8.1</v>
      </c>
      <c r="W341">
        <v>5.8</v>
      </c>
      <c r="X341" t="s">
        <v>116</v>
      </c>
    </row>
    <row r="342" spans="2:24" x14ac:dyDescent="0.3">
      <c r="B342" t="s">
        <v>435</v>
      </c>
      <c r="C342" t="s">
        <v>92</v>
      </c>
      <c r="D342" t="s">
        <v>7</v>
      </c>
      <c r="E342" t="s">
        <v>19</v>
      </c>
      <c r="F342" t="s">
        <v>10</v>
      </c>
      <c r="G342" t="s">
        <v>104</v>
      </c>
      <c r="H342">
        <v>2025</v>
      </c>
      <c r="I342">
        <v>2962</v>
      </c>
      <c r="J342">
        <v>12.6</v>
      </c>
      <c r="K342" t="s">
        <v>21</v>
      </c>
      <c r="L342">
        <v>6.8</v>
      </c>
      <c r="M342">
        <v>10</v>
      </c>
      <c r="N342">
        <v>5649</v>
      </c>
      <c r="O342" t="s">
        <v>55</v>
      </c>
      <c r="P342">
        <v>57</v>
      </c>
      <c r="Q342" t="s">
        <v>56</v>
      </c>
      <c r="R342">
        <v>51.7</v>
      </c>
      <c r="S342">
        <v>50</v>
      </c>
      <c r="T342">
        <v>12.7</v>
      </c>
      <c r="U342">
        <v>9.5</v>
      </c>
      <c r="V342">
        <v>6.8</v>
      </c>
      <c r="W342">
        <v>6</v>
      </c>
      <c r="X342" t="s">
        <v>116</v>
      </c>
    </row>
    <row r="343" spans="2:24" x14ac:dyDescent="0.3">
      <c r="B343" t="s">
        <v>436</v>
      </c>
      <c r="C343" t="s">
        <v>81</v>
      </c>
      <c r="D343" t="s">
        <v>5</v>
      </c>
      <c r="E343" t="s">
        <v>15</v>
      </c>
      <c r="F343" t="s">
        <v>12</v>
      </c>
      <c r="G343" t="s">
        <v>115</v>
      </c>
      <c r="H343">
        <v>2026</v>
      </c>
      <c r="I343">
        <v>4061</v>
      </c>
      <c r="J343">
        <v>10.8</v>
      </c>
      <c r="K343" t="s">
        <v>22</v>
      </c>
      <c r="L343">
        <v>10.199999999999999</v>
      </c>
      <c r="M343">
        <v>6.4</v>
      </c>
      <c r="N343">
        <v>3451</v>
      </c>
      <c r="O343" t="s">
        <v>64</v>
      </c>
      <c r="P343">
        <v>83.7</v>
      </c>
      <c r="Q343" t="s">
        <v>86</v>
      </c>
      <c r="R343">
        <v>-16.5</v>
      </c>
      <c r="S343">
        <v>6.5</v>
      </c>
      <c r="T343">
        <v>10.1</v>
      </c>
      <c r="U343">
        <v>9.1999999999999993</v>
      </c>
      <c r="V343">
        <v>5.4</v>
      </c>
      <c r="W343">
        <v>6.6</v>
      </c>
      <c r="X343" t="s">
        <v>116</v>
      </c>
    </row>
    <row r="344" spans="2:24" x14ac:dyDescent="0.3">
      <c r="B344" t="s">
        <v>437</v>
      </c>
      <c r="C344" t="s">
        <v>27</v>
      </c>
      <c r="D344" t="s">
        <v>3</v>
      </c>
      <c r="E344" t="s">
        <v>16</v>
      </c>
      <c r="F344" t="s">
        <v>10</v>
      </c>
      <c r="G344" t="s">
        <v>115</v>
      </c>
      <c r="H344">
        <v>2026</v>
      </c>
      <c r="I344">
        <v>4462</v>
      </c>
      <c r="J344">
        <v>2.1</v>
      </c>
      <c r="K344" t="s">
        <v>24</v>
      </c>
      <c r="L344">
        <v>4.2</v>
      </c>
      <c r="M344">
        <v>4.0999999999999996</v>
      </c>
      <c r="N344">
        <v>4132</v>
      </c>
      <c r="O344" t="s">
        <v>55</v>
      </c>
      <c r="P344">
        <v>88.3</v>
      </c>
      <c r="Q344" t="s">
        <v>86</v>
      </c>
      <c r="R344">
        <v>80.8</v>
      </c>
      <c r="S344">
        <v>46</v>
      </c>
      <c r="T344">
        <v>21.2</v>
      </c>
      <c r="U344">
        <v>3.7</v>
      </c>
      <c r="V344">
        <v>8.9</v>
      </c>
      <c r="W344">
        <v>8.6</v>
      </c>
      <c r="X344" t="s">
        <v>116</v>
      </c>
    </row>
    <row r="345" spans="2:24" x14ac:dyDescent="0.3">
      <c r="B345" t="s">
        <v>438</v>
      </c>
      <c r="C345" t="s">
        <v>73</v>
      </c>
      <c r="D345" t="s">
        <v>3</v>
      </c>
      <c r="E345" t="s">
        <v>18</v>
      </c>
      <c r="F345" t="s">
        <v>10</v>
      </c>
      <c r="G345" t="s">
        <v>115</v>
      </c>
      <c r="H345">
        <v>2024</v>
      </c>
      <c r="I345">
        <v>761</v>
      </c>
      <c r="J345">
        <v>6.7</v>
      </c>
      <c r="K345" t="s">
        <v>23</v>
      </c>
      <c r="L345">
        <v>15.2</v>
      </c>
      <c r="M345">
        <v>5.8</v>
      </c>
      <c r="N345">
        <v>3133</v>
      </c>
      <c r="O345" t="s">
        <v>55</v>
      </c>
      <c r="P345">
        <v>82.9</v>
      </c>
      <c r="Q345" t="s">
        <v>56</v>
      </c>
      <c r="R345">
        <v>19.899999999999999</v>
      </c>
      <c r="S345">
        <v>-15.9</v>
      </c>
      <c r="T345">
        <v>3.4</v>
      </c>
      <c r="U345">
        <v>9.9</v>
      </c>
      <c r="V345">
        <v>7</v>
      </c>
      <c r="W345">
        <v>4.8</v>
      </c>
      <c r="X345" t="s">
        <v>57</v>
      </c>
    </row>
    <row r="346" spans="2:24" x14ac:dyDescent="0.3">
      <c r="B346" t="s">
        <v>439</v>
      </c>
      <c r="C346" t="s">
        <v>106</v>
      </c>
      <c r="D346" t="s">
        <v>4</v>
      </c>
      <c r="E346" t="s">
        <v>17</v>
      </c>
      <c r="F346" t="s">
        <v>12</v>
      </c>
      <c r="G346" t="s">
        <v>101</v>
      </c>
      <c r="H346">
        <v>2026</v>
      </c>
      <c r="I346">
        <v>3706</v>
      </c>
      <c r="J346">
        <v>25.6</v>
      </c>
      <c r="K346" t="s">
        <v>24</v>
      </c>
      <c r="L346">
        <v>3.4</v>
      </c>
      <c r="M346">
        <v>6.9</v>
      </c>
      <c r="N346">
        <v>1019</v>
      </c>
      <c r="O346" t="s">
        <v>75</v>
      </c>
      <c r="P346">
        <v>43.6</v>
      </c>
      <c r="Q346" t="s">
        <v>65</v>
      </c>
      <c r="R346">
        <v>23</v>
      </c>
      <c r="S346">
        <v>36.799999999999997</v>
      </c>
      <c r="T346">
        <v>7.8</v>
      </c>
      <c r="U346">
        <v>2.2999999999999998</v>
      </c>
      <c r="V346">
        <v>5.2</v>
      </c>
      <c r="W346">
        <v>4.9000000000000004</v>
      </c>
      <c r="X346" t="s">
        <v>66</v>
      </c>
    </row>
    <row r="347" spans="2:24" x14ac:dyDescent="0.3">
      <c r="B347" t="s">
        <v>440</v>
      </c>
      <c r="C347" t="s">
        <v>106</v>
      </c>
      <c r="D347" t="s">
        <v>8</v>
      </c>
      <c r="E347" t="s">
        <v>14</v>
      </c>
      <c r="F347" t="s">
        <v>12</v>
      </c>
      <c r="G347" t="s">
        <v>104</v>
      </c>
      <c r="H347">
        <v>2024</v>
      </c>
      <c r="I347">
        <v>1623</v>
      </c>
      <c r="J347">
        <v>8.1</v>
      </c>
      <c r="K347" t="s">
        <v>21</v>
      </c>
      <c r="L347">
        <v>6.4</v>
      </c>
      <c r="M347">
        <v>9.4</v>
      </c>
      <c r="N347">
        <v>2069</v>
      </c>
      <c r="O347" t="s">
        <v>55</v>
      </c>
      <c r="P347">
        <v>34</v>
      </c>
      <c r="Q347" t="s">
        <v>86</v>
      </c>
      <c r="R347">
        <v>45.9</v>
      </c>
      <c r="S347">
        <v>12.1</v>
      </c>
      <c r="T347">
        <v>0.8</v>
      </c>
      <c r="U347">
        <v>6.5</v>
      </c>
      <c r="V347">
        <v>5</v>
      </c>
      <c r="W347">
        <v>5.3</v>
      </c>
      <c r="X347" t="s">
        <v>57</v>
      </c>
    </row>
    <row r="348" spans="2:24" x14ac:dyDescent="0.3">
      <c r="B348" t="s">
        <v>441</v>
      </c>
      <c r="C348" t="s">
        <v>159</v>
      </c>
      <c r="D348" t="s">
        <v>2</v>
      </c>
      <c r="E348" t="s">
        <v>15</v>
      </c>
      <c r="F348" t="s">
        <v>12</v>
      </c>
      <c r="G348" t="s">
        <v>115</v>
      </c>
      <c r="H348">
        <v>2026</v>
      </c>
      <c r="I348">
        <v>6877</v>
      </c>
      <c r="J348">
        <v>3.6</v>
      </c>
      <c r="K348" t="s">
        <v>21</v>
      </c>
      <c r="L348">
        <v>2.6</v>
      </c>
      <c r="M348">
        <v>5.5</v>
      </c>
      <c r="N348">
        <v>8595</v>
      </c>
      <c r="O348" t="s">
        <v>118</v>
      </c>
      <c r="P348">
        <v>26.6</v>
      </c>
      <c r="Q348" t="s">
        <v>56</v>
      </c>
      <c r="R348">
        <v>67.2</v>
      </c>
      <c r="S348">
        <v>25.1</v>
      </c>
      <c r="T348">
        <v>14.2</v>
      </c>
      <c r="U348">
        <v>3.9</v>
      </c>
      <c r="V348">
        <v>8.1</v>
      </c>
      <c r="W348">
        <v>6.4</v>
      </c>
      <c r="X348" t="s">
        <v>116</v>
      </c>
    </row>
    <row r="349" spans="2:24" x14ac:dyDescent="0.3">
      <c r="B349" t="s">
        <v>442</v>
      </c>
      <c r="C349" t="s">
        <v>106</v>
      </c>
      <c r="D349" t="s">
        <v>3</v>
      </c>
      <c r="E349" t="s">
        <v>17</v>
      </c>
      <c r="F349" t="s">
        <v>12</v>
      </c>
      <c r="G349" t="s">
        <v>69</v>
      </c>
      <c r="H349">
        <v>2025</v>
      </c>
      <c r="I349">
        <v>1490</v>
      </c>
      <c r="J349">
        <v>2.6</v>
      </c>
      <c r="K349" t="s">
        <v>22</v>
      </c>
      <c r="L349">
        <v>1.9</v>
      </c>
      <c r="M349">
        <v>3.2</v>
      </c>
      <c r="N349">
        <v>5039</v>
      </c>
      <c r="O349" t="s">
        <v>55</v>
      </c>
      <c r="P349">
        <v>73.8</v>
      </c>
      <c r="Q349" t="s">
        <v>125</v>
      </c>
      <c r="R349">
        <v>88.1</v>
      </c>
      <c r="S349">
        <v>25.1</v>
      </c>
      <c r="T349">
        <v>1.4</v>
      </c>
      <c r="U349">
        <v>2</v>
      </c>
      <c r="V349">
        <v>5.7</v>
      </c>
      <c r="W349">
        <v>8.6</v>
      </c>
      <c r="X349" t="s">
        <v>57</v>
      </c>
    </row>
    <row r="350" spans="2:24" x14ac:dyDescent="0.3">
      <c r="B350" t="s">
        <v>443</v>
      </c>
      <c r="C350" t="s">
        <v>106</v>
      </c>
      <c r="D350" t="s">
        <v>4</v>
      </c>
      <c r="E350" t="s">
        <v>19</v>
      </c>
      <c r="F350" t="s">
        <v>11</v>
      </c>
      <c r="G350" t="s">
        <v>60</v>
      </c>
      <c r="H350">
        <v>2024</v>
      </c>
      <c r="I350">
        <v>1013</v>
      </c>
      <c r="J350">
        <v>6.2</v>
      </c>
      <c r="K350" t="s">
        <v>21</v>
      </c>
      <c r="L350">
        <v>9.6</v>
      </c>
      <c r="M350">
        <v>7.4</v>
      </c>
      <c r="N350">
        <v>1508</v>
      </c>
      <c r="O350" t="s">
        <v>64</v>
      </c>
      <c r="P350">
        <v>44.7</v>
      </c>
      <c r="Q350" t="s">
        <v>125</v>
      </c>
      <c r="R350">
        <v>53.1</v>
      </c>
      <c r="S350">
        <v>3.6</v>
      </c>
      <c r="T350">
        <v>8.5</v>
      </c>
      <c r="U350">
        <v>6.1</v>
      </c>
      <c r="V350">
        <v>5.3</v>
      </c>
      <c r="W350">
        <v>6.1</v>
      </c>
      <c r="X350" t="s">
        <v>57</v>
      </c>
    </row>
    <row r="351" spans="2:24" x14ac:dyDescent="0.3">
      <c r="B351" t="s">
        <v>444</v>
      </c>
      <c r="C351" t="s">
        <v>100</v>
      </c>
      <c r="D351" t="s">
        <v>3</v>
      </c>
      <c r="E351" t="s">
        <v>16</v>
      </c>
      <c r="F351" t="s">
        <v>12</v>
      </c>
      <c r="G351" t="s">
        <v>112</v>
      </c>
      <c r="H351">
        <v>2025</v>
      </c>
      <c r="I351">
        <v>14806</v>
      </c>
      <c r="J351">
        <v>8.3000000000000007</v>
      </c>
      <c r="K351" t="s">
        <v>23</v>
      </c>
      <c r="L351">
        <v>5.6</v>
      </c>
      <c r="M351">
        <v>7.7</v>
      </c>
      <c r="N351">
        <v>364</v>
      </c>
      <c r="O351" t="s">
        <v>64</v>
      </c>
      <c r="P351">
        <v>31.6</v>
      </c>
      <c r="Q351" t="s">
        <v>56</v>
      </c>
      <c r="R351">
        <v>-20.2</v>
      </c>
      <c r="S351">
        <v>32.299999999999997</v>
      </c>
      <c r="T351">
        <v>21.5</v>
      </c>
      <c r="U351">
        <v>5.6</v>
      </c>
      <c r="V351">
        <v>6.6</v>
      </c>
      <c r="W351">
        <v>7.4</v>
      </c>
      <c r="X351" t="s">
        <v>66</v>
      </c>
    </row>
    <row r="352" spans="2:24" x14ac:dyDescent="0.3">
      <c r="B352" t="s">
        <v>445</v>
      </c>
      <c r="C352" t="s">
        <v>71</v>
      </c>
      <c r="D352" t="s">
        <v>6</v>
      </c>
      <c r="E352" t="s">
        <v>16</v>
      </c>
      <c r="F352" t="s">
        <v>11</v>
      </c>
      <c r="G352" t="s">
        <v>74</v>
      </c>
      <c r="H352">
        <v>2024</v>
      </c>
      <c r="I352">
        <v>14291</v>
      </c>
      <c r="J352">
        <v>20.2</v>
      </c>
      <c r="K352" t="s">
        <v>22</v>
      </c>
      <c r="L352">
        <v>12</v>
      </c>
      <c r="M352">
        <v>8.8000000000000007</v>
      </c>
      <c r="N352">
        <v>1926</v>
      </c>
      <c r="O352" t="s">
        <v>64</v>
      </c>
      <c r="P352">
        <v>55.5</v>
      </c>
      <c r="Q352" t="s">
        <v>84</v>
      </c>
      <c r="R352">
        <v>5.3</v>
      </c>
      <c r="S352">
        <v>-4.4000000000000004</v>
      </c>
      <c r="T352">
        <v>-3.9</v>
      </c>
      <c r="U352">
        <v>7.2</v>
      </c>
      <c r="V352">
        <v>6.6</v>
      </c>
      <c r="W352">
        <v>4</v>
      </c>
      <c r="X352" t="s">
        <v>66</v>
      </c>
    </row>
    <row r="353" spans="2:24" x14ac:dyDescent="0.3">
      <c r="B353" t="s">
        <v>446</v>
      </c>
      <c r="C353" t="s">
        <v>94</v>
      </c>
      <c r="D353" t="s">
        <v>6</v>
      </c>
      <c r="E353" t="s">
        <v>16</v>
      </c>
      <c r="F353" t="s">
        <v>11</v>
      </c>
      <c r="G353" t="s">
        <v>74</v>
      </c>
      <c r="H353">
        <v>2025</v>
      </c>
      <c r="I353">
        <v>6025</v>
      </c>
      <c r="J353">
        <v>12.9</v>
      </c>
      <c r="K353" t="s">
        <v>23</v>
      </c>
      <c r="L353">
        <v>8.1999999999999993</v>
      </c>
      <c r="M353">
        <v>7.3</v>
      </c>
      <c r="N353">
        <v>101</v>
      </c>
      <c r="O353" t="s">
        <v>64</v>
      </c>
      <c r="P353">
        <v>56.1</v>
      </c>
      <c r="Q353" t="s">
        <v>86</v>
      </c>
      <c r="R353">
        <v>88.7</v>
      </c>
      <c r="S353">
        <v>50</v>
      </c>
      <c r="T353">
        <v>23.6</v>
      </c>
      <c r="U353">
        <v>4.9000000000000004</v>
      </c>
      <c r="V353">
        <v>7.6</v>
      </c>
      <c r="W353">
        <v>6.7</v>
      </c>
      <c r="X353" t="s">
        <v>66</v>
      </c>
    </row>
    <row r="354" spans="2:24" x14ac:dyDescent="0.3">
      <c r="B354" t="s">
        <v>447</v>
      </c>
      <c r="C354" t="s">
        <v>100</v>
      </c>
      <c r="D354" t="s">
        <v>3</v>
      </c>
      <c r="E354" t="s">
        <v>15</v>
      </c>
      <c r="F354" t="s">
        <v>10</v>
      </c>
      <c r="G354" t="s">
        <v>74</v>
      </c>
      <c r="H354">
        <v>2025</v>
      </c>
      <c r="I354">
        <v>661</v>
      </c>
      <c r="J354">
        <v>3.6</v>
      </c>
      <c r="K354" t="s">
        <v>22</v>
      </c>
      <c r="L354">
        <v>3</v>
      </c>
      <c r="M354">
        <v>2.2000000000000002</v>
      </c>
      <c r="N354">
        <v>4134</v>
      </c>
      <c r="O354" t="s">
        <v>55</v>
      </c>
      <c r="P354">
        <v>29.5</v>
      </c>
      <c r="Q354" t="s">
        <v>76</v>
      </c>
      <c r="R354">
        <v>53</v>
      </c>
      <c r="S354">
        <v>37.9</v>
      </c>
      <c r="T354">
        <v>20.3</v>
      </c>
      <c r="U354">
        <v>1.8</v>
      </c>
      <c r="V354">
        <v>7.9</v>
      </c>
      <c r="W354">
        <v>9</v>
      </c>
      <c r="X354" t="s">
        <v>57</v>
      </c>
    </row>
    <row r="355" spans="2:24" x14ac:dyDescent="0.3">
      <c r="B355" t="s">
        <v>448</v>
      </c>
      <c r="C355" t="s">
        <v>106</v>
      </c>
      <c r="D355" t="s">
        <v>3</v>
      </c>
      <c r="E355" t="s">
        <v>19</v>
      </c>
      <c r="F355" t="s">
        <v>12</v>
      </c>
      <c r="G355" t="s">
        <v>69</v>
      </c>
      <c r="H355">
        <v>2026</v>
      </c>
      <c r="I355">
        <v>2042</v>
      </c>
      <c r="J355">
        <v>5.0999999999999996</v>
      </c>
      <c r="K355" t="s">
        <v>23</v>
      </c>
      <c r="L355">
        <v>5.8</v>
      </c>
      <c r="M355">
        <v>6.8</v>
      </c>
      <c r="N355">
        <v>4084</v>
      </c>
      <c r="O355" t="s">
        <v>55</v>
      </c>
      <c r="P355">
        <v>69.099999999999994</v>
      </c>
      <c r="Q355" t="s">
        <v>76</v>
      </c>
      <c r="R355">
        <v>77</v>
      </c>
      <c r="S355">
        <v>-0.9</v>
      </c>
      <c r="T355">
        <v>9.1999999999999993</v>
      </c>
      <c r="U355">
        <v>3.5</v>
      </c>
      <c r="V355">
        <v>7.6</v>
      </c>
      <c r="W355">
        <v>7.1</v>
      </c>
      <c r="X355" t="s">
        <v>57</v>
      </c>
    </row>
    <row r="356" spans="2:24" x14ac:dyDescent="0.3">
      <c r="B356" t="s">
        <v>449</v>
      </c>
      <c r="C356" t="s">
        <v>53</v>
      </c>
      <c r="D356" t="s">
        <v>3</v>
      </c>
      <c r="E356" t="s">
        <v>18</v>
      </c>
      <c r="F356" t="s">
        <v>11</v>
      </c>
      <c r="G356" t="s">
        <v>98</v>
      </c>
      <c r="H356">
        <v>2025</v>
      </c>
      <c r="I356">
        <v>8556</v>
      </c>
      <c r="J356">
        <v>15</v>
      </c>
      <c r="K356" t="s">
        <v>21</v>
      </c>
      <c r="L356">
        <v>1.5</v>
      </c>
      <c r="M356">
        <v>6.2</v>
      </c>
      <c r="N356">
        <v>101</v>
      </c>
      <c r="O356" t="s">
        <v>75</v>
      </c>
      <c r="P356">
        <v>68.099999999999994</v>
      </c>
      <c r="Q356" t="s">
        <v>65</v>
      </c>
      <c r="R356">
        <v>83.7</v>
      </c>
      <c r="S356">
        <v>-19.2</v>
      </c>
      <c r="T356">
        <v>-8.6999999999999993</v>
      </c>
      <c r="U356">
        <v>1.3</v>
      </c>
      <c r="V356">
        <v>6.3</v>
      </c>
      <c r="W356">
        <v>4.5999999999999996</v>
      </c>
      <c r="X356" t="s">
        <v>66</v>
      </c>
    </row>
    <row r="357" spans="2:24" x14ac:dyDescent="0.3">
      <c r="B357" t="s">
        <v>450</v>
      </c>
      <c r="C357" t="s">
        <v>53</v>
      </c>
      <c r="D357" t="s">
        <v>3</v>
      </c>
      <c r="E357" t="s">
        <v>16</v>
      </c>
      <c r="F357" t="s">
        <v>10</v>
      </c>
      <c r="G357" t="s">
        <v>104</v>
      </c>
      <c r="H357">
        <v>2026</v>
      </c>
      <c r="I357">
        <v>3055</v>
      </c>
      <c r="J357">
        <v>17.3</v>
      </c>
      <c r="K357" t="s">
        <v>24</v>
      </c>
      <c r="L357">
        <v>1.1000000000000001</v>
      </c>
      <c r="M357">
        <v>4.2</v>
      </c>
      <c r="N357">
        <v>3138</v>
      </c>
      <c r="O357" t="s">
        <v>64</v>
      </c>
      <c r="P357">
        <v>22.9</v>
      </c>
      <c r="Q357" t="s">
        <v>86</v>
      </c>
      <c r="R357">
        <v>80</v>
      </c>
      <c r="S357">
        <v>-13</v>
      </c>
      <c r="T357">
        <v>-0.4</v>
      </c>
      <c r="U357">
        <v>1.3</v>
      </c>
      <c r="V357">
        <v>5.2</v>
      </c>
      <c r="W357">
        <v>5</v>
      </c>
      <c r="X357" t="s">
        <v>116</v>
      </c>
    </row>
    <row r="358" spans="2:24" x14ac:dyDescent="0.3">
      <c r="B358" t="s">
        <v>451</v>
      </c>
      <c r="C358" t="s">
        <v>53</v>
      </c>
      <c r="D358" t="s">
        <v>3</v>
      </c>
      <c r="E358" t="s">
        <v>15</v>
      </c>
      <c r="F358" t="s">
        <v>12</v>
      </c>
      <c r="G358" t="s">
        <v>63</v>
      </c>
      <c r="H358">
        <v>2024</v>
      </c>
      <c r="I358">
        <v>9623</v>
      </c>
      <c r="J358">
        <v>38.299999999999997</v>
      </c>
      <c r="K358" t="s">
        <v>23</v>
      </c>
      <c r="L358">
        <v>6.6</v>
      </c>
      <c r="M358">
        <v>10</v>
      </c>
      <c r="N358">
        <v>1118</v>
      </c>
      <c r="O358" t="s">
        <v>75</v>
      </c>
      <c r="P358">
        <v>25</v>
      </c>
      <c r="Q358" t="s">
        <v>76</v>
      </c>
      <c r="R358">
        <v>-43.8</v>
      </c>
      <c r="S358">
        <v>39.799999999999997</v>
      </c>
      <c r="T358">
        <v>9.4</v>
      </c>
      <c r="U358">
        <v>7.5</v>
      </c>
      <c r="V358">
        <v>6.7</v>
      </c>
      <c r="W358">
        <v>2.4</v>
      </c>
      <c r="X358" t="s">
        <v>66</v>
      </c>
    </row>
    <row r="359" spans="2:24" x14ac:dyDescent="0.3">
      <c r="B359" t="s">
        <v>452</v>
      </c>
      <c r="C359" t="s">
        <v>137</v>
      </c>
      <c r="D359" t="s">
        <v>3</v>
      </c>
      <c r="E359" t="s">
        <v>18</v>
      </c>
      <c r="F359" t="s">
        <v>11</v>
      </c>
      <c r="G359" t="s">
        <v>104</v>
      </c>
      <c r="H359">
        <v>2025</v>
      </c>
      <c r="I359">
        <v>1970</v>
      </c>
      <c r="J359">
        <v>15.8</v>
      </c>
      <c r="K359" t="s">
        <v>22</v>
      </c>
      <c r="L359">
        <v>4.4000000000000004</v>
      </c>
      <c r="M359">
        <v>6.8</v>
      </c>
      <c r="N359">
        <v>4902</v>
      </c>
      <c r="O359" t="s">
        <v>64</v>
      </c>
      <c r="P359">
        <v>61.6</v>
      </c>
      <c r="Q359" t="s">
        <v>56</v>
      </c>
      <c r="R359">
        <v>-29.6</v>
      </c>
      <c r="S359">
        <v>15.5</v>
      </c>
      <c r="T359">
        <v>0.5</v>
      </c>
      <c r="U359">
        <v>3.8</v>
      </c>
      <c r="V359">
        <v>6.2</v>
      </c>
      <c r="W359">
        <v>6.4</v>
      </c>
      <c r="X359" t="s">
        <v>116</v>
      </c>
    </row>
    <row r="360" spans="2:24" x14ac:dyDescent="0.3">
      <c r="B360" t="s">
        <v>453</v>
      </c>
      <c r="C360" t="s">
        <v>106</v>
      </c>
      <c r="D360" t="s">
        <v>2</v>
      </c>
      <c r="E360" t="s">
        <v>16</v>
      </c>
      <c r="F360" t="s">
        <v>9</v>
      </c>
      <c r="G360" t="s">
        <v>78</v>
      </c>
      <c r="H360">
        <v>2024</v>
      </c>
      <c r="I360">
        <v>7734</v>
      </c>
      <c r="J360">
        <v>19</v>
      </c>
      <c r="K360" t="s">
        <v>24</v>
      </c>
      <c r="L360">
        <v>6.9</v>
      </c>
      <c r="M360">
        <v>10</v>
      </c>
      <c r="N360">
        <v>1741</v>
      </c>
      <c r="O360" t="s">
        <v>64</v>
      </c>
      <c r="P360">
        <v>28.2</v>
      </c>
      <c r="Q360" t="s">
        <v>76</v>
      </c>
      <c r="R360">
        <v>-41.7</v>
      </c>
      <c r="S360">
        <v>53.1</v>
      </c>
      <c r="T360">
        <v>15.5</v>
      </c>
      <c r="U360">
        <v>4.5</v>
      </c>
      <c r="V360">
        <v>9</v>
      </c>
      <c r="W360">
        <v>6.2</v>
      </c>
      <c r="X360" t="s">
        <v>66</v>
      </c>
    </row>
    <row r="361" spans="2:24" x14ac:dyDescent="0.3">
      <c r="B361" t="s">
        <v>454</v>
      </c>
      <c r="C361" t="s">
        <v>106</v>
      </c>
      <c r="D361" t="s">
        <v>4</v>
      </c>
      <c r="E361" t="s">
        <v>17</v>
      </c>
      <c r="F361" t="s">
        <v>10</v>
      </c>
      <c r="G361" t="s">
        <v>54</v>
      </c>
      <c r="H361">
        <v>2024</v>
      </c>
      <c r="I361">
        <v>1729</v>
      </c>
      <c r="J361">
        <v>2.9</v>
      </c>
      <c r="K361" t="s">
        <v>21</v>
      </c>
      <c r="L361">
        <v>1</v>
      </c>
      <c r="M361">
        <v>1.5</v>
      </c>
      <c r="N361">
        <v>1858</v>
      </c>
      <c r="O361" t="s">
        <v>55</v>
      </c>
      <c r="P361">
        <v>18.3</v>
      </c>
      <c r="Q361" t="s">
        <v>56</v>
      </c>
      <c r="R361">
        <v>34</v>
      </c>
      <c r="S361">
        <v>54.4</v>
      </c>
      <c r="T361">
        <v>18.7</v>
      </c>
      <c r="U361">
        <v>1.7</v>
      </c>
      <c r="V361">
        <v>9.1</v>
      </c>
      <c r="W361">
        <v>8.5</v>
      </c>
      <c r="X361" t="s">
        <v>57</v>
      </c>
    </row>
    <row r="362" spans="2:24" x14ac:dyDescent="0.3">
      <c r="B362" t="s">
        <v>455</v>
      </c>
      <c r="C362" t="s">
        <v>68</v>
      </c>
      <c r="D362" t="s">
        <v>8</v>
      </c>
      <c r="E362" t="s">
        <v>15</v>
      </c>
      <c r="F362" t="s">
        <v>10</v>
      </c>
      <c r="G362" t="s">
        <v>101</v>
      </c>
      <c r="H362">
        <v>2025</v>
      </c>
      <c r="I362">
        <v>6984</v>
      </c>
      <c r="J362">
        <v>17.399999999999999</v>
      </c>
      <c r="K362" t="s">
        <v>25</v>
      </c>
      <c r="L362">
        <v>6.5</v>
      </c>
      <c r="M362">
        <v>10</v>
      </c>
      <c r="N362">
        <v>5176</v>
      </c>
      <c r="O362" t="s">
        <v>55</v>
      </c>
      <c r="P362">
        <v>26.2</v>
      </c>
      <c r="Q362" t="s">
        <v>86</v>
      </c>
      <c r="R362">
        <v>10.199999999999999</v>
      </c>
      <c r="S362">
        <v>2</v>
      </c>
      <c r="T362">
        <v>-7.7</v>
      </c>
      <c r="U362">
        <v>7.4</v>
      </c>
      <c r="V362">
        <v>3.7</v>
      </c>
      <c r="W362">
        <v>5.3</v>
      </c>
      <c r="X362" t="s">
        <v>116</v>
      </c>
    </row>
    <row r="363" spans="2:24" x14ac:dyDescent="0.3">
      <c r="B363" t="s">
        <v>456</v>
      </c>
      <c r="C363" t="s">
        <v>53</v>
      </c>
      <c r="D363" t="s">
        <v>2</v>
      </c>
      <c r="E363" t="s">
        <v>15</v>
      </c>
      <c r="F363" t="s">
        <v>10</v>
      </c>
      <c r="G363" t="s">
        <v>69</v>
      </c>
      <c r="H363">
        <v>2026</v>
      </c>
      <c r="I363">
        <v>336</v>
      </c>
      <c r="J363">
        <v>2.2000000000000002</v>
      </c>
      <c r="K363" t="s">
        <v>21</v>
      </c>
      <c r="L363">
        <v>6.4</v>
      </c>
      <c r="M363">
        <v>3.7</v>
      </c>
      <c r="N363">
        <v>3962</v>
      </c>
      <c r="O363" t="s">
        <v>118</v>
      </c>
      <c r="P363">
        <v>61.1</v>
      </c>
      <c r="Q363" t="s">
        <v>76</v>
      </c>
      <c r="R363">
        <v>-38.4</v>
      </c>
      <c r="S363">
        <v>42.4</v>
      </c>
      <c r="T363">
        <v>23.7</v>
      </c>
      <c r="U363">
        <v>6.8</v>
      </c>
      <c r="V363">
        <v>7.1</v>
      </c>
      <c r="W363">
        <v>8.8000000000000007</v>
      </c>
      <c r="X363" t="s">
        <v>57</v>
      </c>
    </row>
    <row r="364" spans="2:24" x14ac:dyDescent="0.3">
      <c r="B364" t="s">
        <v>457</v>
      </c>
      <c r="C364" t="s">
        <v>137</v>
      </c>
      <c r="D364" t="s">
        <v>3</v>
      </c>
      <c r="E364" t="s">
        <v>17</v>
      </c>
      <c r="F364" t="s">
        <v>12</v>
      </c>
      <c r="G364" t="s">
        <v>78</v>
      </c>
      <c r="H364">
        <v>2026</v>
      </c>
      <c r="I364">
        <v>948</v>
      </c>
      <c r="J364">
        <v>7.1</v>
      </c>
      <c r="K364" t="s">
        <v>24</v>
      </c>
      <c r="L364">
        <v>8</v>
      </c>
      <c r="M364">
        <v>4.3</v>
      </c>
      <c r="N364">
        <v>3722</v>
      </c>
      <c r="O364" t="s">
        <v>55</v>
      </c>
      <c r="P364">
        <v>52.1</v>
      </c>
      <c r="Q364" t="s">
        <v>56</v>
      </c>
      <c r="R364">
        <v>-9.6</v>
      </c>
      <c r="S364">
        <v>-10.4</v>
      </c>
      <c r="T364">
        <v>-13.2</v>
      </c>
      <c r="U364">
        <v>5.5</v>
      </c>
      <c r="V364">
        <v>4.5</v>
      </c>
      <c r="W364">
        <v>5.4</v>
      </c>
      <c r="X364" t="s">
        <v>57</v>
      </c>
    </row>
    <row r="365" spans="2:24" x14ac:dyDescent="0.3">
      <c r="B365" t="s">
        <v>458</v>
      </c>
      <c r="C365" t="s">
        <v>159</v>
      </c>
      <c r="D365" t="s">
        <v>2</v>
      </c>
      <c r="E365" t="s">
        <v>14</v>
      </c>
      <c r="F365" t="s">
        <v>10</v>
      </c>
      <c r="G365" t="s">
        <v>101</v>
      </c>
      <c r="H365">
        <v>2025</v>
      </c>
      <c r="I365">
        <v>288</v>
      </c>
      <c r="J365">
        <v>9.8000000000000007</v>
      </c>
      <c r="K365" t="s">
        <v>24</v>
      </c>
      <c r="L365">
        <v>11</v>
      </c>
      <c r="M365">
        <v>6.8</v>
      </c>
      <c r="N365">
        <v>1039</v>
      </c>
      <c r="O365" t="s">
        <v>55</v>
      </c>
      <c r="P365">
        <v>71.8</v>
      </c>
      <c r="Q365" t="s">
        <v>76</v>
      </c>
      <c r="R365">
        <v>37.5</v>
      </c>
      <c r="S365">
        <v>47.5</v>
      </c>
      <c r="T365">
        <v>15.3</v>
      </c>
      <c r="U365">
        <v>7.1</v>
      </c>
      <c r="V365">
        <v>9.1999999999999993</v>
      </c>
      <c r="W365">
        <v>6.9</v>
      </c>
      <c r="X365" t="s">
        <v>57</v>
      </c>
    </row>
    <row r="366" spans="2:24" x14ac:dyDescent="0.3">
      <c r="B366" t="s">
        <v>459</v>
      </c>
      <c r="C366" t="s">
        <v>71</v>
      </c>
      <c r="D366" t="s">
        <v>6</v>
      </c>
      <c r="E366" t="s">
        <v>17</v>
      </c>
      <c r="F366" t="s">
        <v>9</v>
      </c>
      <c r="G366" t="s">
        <v>54</v>
      </c>
      <c r="H366">
        <v>2026</v>
      </c>
      <c r="I366">
        <v>18843</v>
      </c>
      <c r="J366">
        <v>39.9</v>
      </c>
      <c r="K366" t="s">
        <v>24</v>
      </c>
      <c r="L366">
        <v>6.1</v>
      </c>
      <c r="M366">
        <v>10</v>
      </c>
      <c r="N366">
        <v>158</v>
      </c>
      <c r="O366" t="s">
        <v>75</v>
      </c>
      <c r="P366">
        <v>20.8</v>
      </c>
      <c r="Q366" t="s">
        <v>76</v>
      </c>
      <c r="R366">
        <v>63.5</v>
      </c>
      <c r="S366">
        <v>11.8</v>
      </c>
      <c r="T366">
        <v>-2.5</v>
      </c>
      <c r="U366">
        <v>7.1</v>
      </c>
      <c r="V366">
        <v>5.8</v>
      </c>
      <c r="W366">
        <v>2.5</v>
      </c>
      <c r="X366" t="s">
        <v>66</v>
      </c>
    </row>
    <row r="367" spans="2:24" x14ac:dyDescent="0.3">
      <c r="B367" t="s">
        <v>460</v>
      </c>
      <c r="C367" t="s">
        <v>159</v>
      </c>
      <c r="D367" t="s">
        <v>2</v>
      </c>
      <c r="E367" t="s">
        <v>17</v>
      </c>
      <c r="F367" t="s">
        <v>9</v>
      </c>
      <c r="G367" t="s">
        <v>104</v>
      </c>
      <c r="H367">
        <v>2026</v>
      </c>
      <c r="I367">
        <v>3020</v>
      </c>
      <c r="J367">
        <v>3</v>
      </c>
      <c r="K367" t="s">
        <v>24</v>
      </c>
      <c r="L367">
        <v>7</v>
      </c>
      <c r="M367">
        <v>6.5</v>
      </c>
      <c r="N367">
        <v>7817</v>
      </c>
      <c r="O367" t="s">
        <v>118</v>
      </c>
      <c r="P367">
        <v>64.5</v>
      </c>
      <c r="Q367" t="s">
        <v>76</v>
      </c>
      <c r="R367">
        <v>69.099999999999994</v>
      </c>
      <c r="S367">
        <v>-24.2</v>
      </c>
      <c r="T367">
        <v>-12.5</v>
      </c>
      <c r="U367">
        <v>7.4</v>
      </c>
      <c r="V367">
        <v>6.7</v>
      </c>
      <c r="W367">
        <v>6.5</v>
      </c>
      <c r="X367" t="s">
        <v>116</v>
      </c>
    </row>
    <row r="368" spans="2:24" x14ac:dyDescent="0.3">
      <c r="B368" t="s">
        <v>461</v>
      </c>
      <c r="C368" t="s">
        <v>53</v>
      </c>
      <c r="D368" t="s">
        <v>3</v>
      </c>
      <c r="E368" t="s">
        <v>17</v>
      </c>
      <c r="F368" t="s">
        <v>9</v>
      </c>
      <c r="G368" t="s">
        <v>101</v>
      </c>
      <c r="H368">
        <v>2026</v>
      </c>
      <c r="I368">
        <v>6917</v>
      </c>
      <c r="J368">
        <v>16.100000000000001</v>
      </c>
      <c r="K368" t="s">
        <v>25</v>
      </c>
      <c r="L368">
        <v>6.4</v>
      </c>
      <c r="M368">
        <v>6.4</v>
      </c>
      <c r="N368">
        <v>3659</v>
      </c>
      <c r="O368" t="s">
        <v>64</v>
      </c>
      <c r="P368">
        <v>49</v>
      </c>
      <c r="Q368" t="s">
        <v>76</v>
      </c>
      <c r="R368">
        <v>85.9</v>
      </c>
      <c r="S368">
        <v>48.3</v>
      </c>
      <c r="T368">
        <v>10.7</v>
      </c>
      <c r="U368">
        <v>4.2</v>
      </c>
      <c r="V368">
        <v>8</v>
      </c>
      <c r="W368">
        <v>6.1</v>
      </c>
      <c r="X368" t="s">
        <v>116</v>
      </c>
    </row>
    <row r="369" spans="2:24" x14ac:dyDescent="0.3">
      <c r="B369" t="s">
        <v>462</v>
      </c>
      <c r="C369" t="s">
        <v>53</v>
      </c>
      <c r="D369" t="s">
        <v>2</v>
      </c>
      <c r="E369" t="s">
        <v>17</v>
      </c>
      <c r="F369" t="s">
        <v>12</v>
      </c>
      <c r="G369" t="s">
        <v>104</v>
      </c>
      <c r="H369">
        <v>2026</v>
      </c>
      <c r="I369">
        <v>6775</v>
      </c>
      <c r="J369">
        <v>4.3</v>
      </c>
      <c r="K369" t="s">
        <v>21</v>
      </c>
      <c r="L369">
        <v>8.8000000000000007</v>
      </c>
      <c r="M369">
        <v>4.4000000000000004</v>
      </c>
      <c r="N369">
        <v>7795</v>
      </c>
      <c r="O369" t="s">
        <v>55</v>
      </c>
      <c r="P369">
        <v>78.7</v>
      </c>
      <c r="Q369" t="s">
        <v>76</v>
      </c>
      <c r="R369">
        <v>-33</v>
      </c>
      <c r="S369">
        <v>-4.7</v>
      </c>
      <c r="T369">
        <v>8.1999999999999993</v>
      </c>
      <c r="U369">
        <v>7.2</v>
      </c>
      <c r="V369">
        <v>5.8</v>
      </c>
      <c r="W369">
        <v>5.9</v>
      </c>
      <c r="X369" t="s">
        <v>116</v>
      </c>
    </row>
    <row r="370" spans="2:24" x14ac:dyDescent="0.3">
      <c r="B370" t="s">
        <v>463</v>
      </c>
      <c r="C370" t="s">
        <v>100</v>
      </c>
      <c r="D370" t="s">
        <v>3</v>
      </c>
      <c r="E370" t="s">
        <v>17</v>
      </c>
      <c r="F370" t="s">
        <v>9</v>
      </c>
      <c r="G370" t="s">
        <v>104</v>
      </c>
      <c r="H370">
        <v>2025</v>
      </c>
      <c r="I370">
        <v>524</v>
      </c>
      <c r="J370">
        <v>1</v>
      </c>
      <c r="K370" t="s">
        <v>22</v>
      </c>
      <c r="L370">
        <v>4.7</v>
      </c>
      <c r="M370">
        <v>3.1</v>
      </c>
      <c r="N370">
        <v>2162</v>
      </c>
      <c r="O370" t="s">
        <v>55</v>
      </c>
      <c r="P370">
        <v>19</v>
      </c>
      <c r="Q370" t="s">
        <v>79</v>
      </c>
      <c r="R370">
        <v>33.799999999999997</v>
      </c>
      <c r="S370">
        <v>-12.6</v>
      </c>
      <c r="T370">
        <v>-7.9</v>
      </c>
      <c r="U370">
        <v>3</v>
      </c>
      <c r="V370">
        <v>6.5</v>
      </c>
      <c r="W370">
        <v>7.3</v>
      </c>
      <c r="X370" t="s">
        <v>57</v>
      </c>
    </row>
    <row r="371" spans="2:24" x14ac:dyDescent="0.3">
      <c r="B371" t="s">
        <v>464</v>
      </c>
      <c r="C371" t="s">
        <v>106</v>
      </c>
      <c r="D371" t="s">
        <v>2</v>
      </c>
      <c r="E371" t="s">
        <v>18</v>
      </c>
      <c r="F371" t="s">
        <v>9</v>
      </c>
      <c r="G371" t="s">
        <v>69</v>
      </c>
      <c r="H371">
        <v>2024</v>
      </c>
      <c r="I371">
        <v>5077</v>
      </c>
      <c r="J371">
        <v>12.7</v>
      </c>
      <c r="K371" t="s">
        <v>24</v>
      </c>
      <c r="L371">
        <v>2.8</v>
      </c>
      <c r="M371">
        <v>6.6</v>
      </c>
      <c r="N371">
        <v>5969</v>
      </c>
      <c r="O371" t="s">
        <v>64</v>
      </c>
      <c r="P371">
        <v>20.100000000000001</v>
      </c>
      <c r="Q371" t="s">
        <v>56</v>
      </c>
      <c r="R371">
        <v>58.6</v>
      </c>
      <c r="S371">
        <v>31.6</v>
      </c>
      <c r="T371">
        <v>10.3</v>
      </c>
      <c r="U371">
        <v>2.9</v>
      </c>
      <c r="V371">
        <v>6.8</v>
      </c>
      <c r="W371">
        <v>6.4</v>
      </c>
      <c r="X371" t="s">
        <v>116</v>
      </c>
    </row>
    <row r="372" spans="2:24" x14ac:dyDescent="0.3">
      <c r="B372" t="s">
        <v>465</v>
      </c>
      <c r="C372" t="s">
        <v>142</v>
      </c>
      <c r="D372" t="s">
        <v>2</v>
      </c>
      <c r="E372" t="s">
        <v>16</v>
      </c>
      <c r="F372" t="s">
        <v>9</v>
      </c>
      <c r="G372" t="s">
        <v>131</v>
      </c>
      <c r="H372">
        <v>2025</v>
      </c>
      <c r="I372">
        <v>9127</v>
      </c>
      <c r="J372">
        <v>22.4</v>
      </c>
      <c r="K372" t="s">
        <v>21</v>
      </c>
      <c r="L372">
        <v>2.5</v>
      </c>
      <c r="M372">
        <v>4.2</v>
      </c>
      <c r="N372">
        <v>3513</v>
      </c>
      <c r="O372" t="s">
        <v>64</v>
      </c>
      <c r="P372">
        <v>58.5</v>
      </c>
      <c r="Q372" t="s">
        <v>56</v>
      </c>
      <c r="R372">
        <v>56.1</v>
      </c>
      <c r="S372">
        <v>-7.7</v>
      </c>
      <c r="T372">
        <v>-1.7</v>
      </c>
      <c r="U372">
        <v>1.7</v>
      </c>
      <c r="V372">
        <v>4.3</v>
      </c>
      <c r="W372">
        <v>5.6</v>
      </c>
      <c r="X372" t="s">
        <v>66</v>
      </c>
    </row>
    <row r="373" spans="2:24" x14ac:dyDescent="0.3">
      <c r="B373" t="s">
        <v>466</v>
      </c>
      <c r="C373" t="s">
        <v>159</v>
      </c>
      <c r="D373" t="s">
        <v>7</v>
      </c>
      <c r="E373" t="s">
        <v>15</v>
      </c>
      <c r="F373" t="s">
        <v>11</v>
      </c>
      <c r="G373" t="s">
        <v>131</v>
      </c>
      <c r="H373">
        <v>2024</v>
      </c>
      <c r="I373">
        <v>3233</v>
      </c>
      <c r="J373">
        <v>9.6</v>
      </c>
      <c r="K373" t="s">
        <v>21</v>
      </c>
      <c r="L373">
        <v>1.4</v>
      </c>
      <c r="M373">
        <v>3</v>
      </c>
      <c r="N373">
        <v>1104</v>
      </c>
      <c r="O373" t="s">
        <v>64</v>
      </c>
      <c r="P373">
        <v>11.4</v>
      </c>
      <c r="Q373" t="s">
        <v>65</v>
      </c>
      <c r="R373">
        <v>21.3</v>
      </c>
      <c r="S373">
        <v>-8.3000000000000007</v>
      </c>
      <c r="T373">
        <v>4.5</v>
      </c>
      <c r="U373">
        <v>1.6</v>
      </c>
      <c r="V373">
        <v>7.6</v>
      </c>
      <c r="W373">
        <v>5.8</v>
      </c>
      <c r="X373" t="s">
        <v>116</v>
      </c>
    </row>
    <row r="374" spans="2:24" x14ac:dyDescent="0.3">
      <c r="B374" t="s">
        <v>467</v>
      </c>
      <c r="C374" t="s">
        <v>71</v>
      </c>
      <c r="D374" t="s">
        <v>5</v>
      </c>
      <c r="E374" t="s">
        <v>17</v>
      </c>
      <c r="F374" t="s">
        <v>10</v>
      </c>
      <c r="G374" t="s">
        <v>78</v>
      </c>
      <c r="H374">
        <v>2025</v>
      </c>
      <c r="I374">
        <v>2397</v>
      </c>
      <c r="J374">
        <v>9.8000000000000007</v>
      </c>
      <c r="K374" t="s">
        <v>25</v>
      </c>
      <c r="L374">
        <v>9.1</v>
      </c>
      <c r="M374">
        <v>10</v>
      </c>
      <c r="N374">
        <v>724</v>
      </c>
      <c r="O374" t="s">
        <v>64</v>
      </c>
      <c r="P374">
        <v>62.9</v>
      </c>
      <c r="Q374" t="s">
        <v>86</v>
      </c>
      <c r="R374">
        <v>63.1</v>
      </c>
      <c r="S374">
        <v>45.5</v>
      </c>
      <c r="T374">
        <v>26.3</v>
      </c>
      <c r="U374">
        <v>6.4</v>
      </c>
      <c r="V374">
        <v>6.3</v>
      </c>
      <c r="W374">
        <v>5.6</v>
      </c>
      <c r="X374" t="s">
        <v>57</v>
      </c>
    </row>
    <row r="375" spans="2:24" x14ac:dyDescent="0.3">
      <c r="B375" t="s">
        <v>468</v>
      </c>
      <c r="C375" t="s">
        <v>62</v>
      </c>
      <c r="D375" t="s">
        <v>2</v>
      </c>
      <c r="E375" t="s">
        <v>19</v>
      </c>
      <c r="F375" t="s">
        <v>10</v>
      </c>
      <c r="G375" t="s">
        <v>112</v>
      </c>
      <c r="H375">
        <v>2024</v>
      </c>
      <c r="I375">
        <v>1056</v>
      </c>
      <c r="J375">
        <v>13.1</v>
      </c>
      <c r="K375" t="s">
        <v>24</v>
      </c>
      <c r="L375">
        <v>9.8000000000000007</v>
      </c>
      <c r="M375">
        <v>9.6999999999999993</v>
      </c>
      <c r="N375">
        <v>8041</v>
      </c>
      <c r="O375" t="s">
        <v>118</v>
      </c>
      <c r="P375">
        <v>50.7</v>
      </c>
      <c r="Q375" t="s">
        <v>76</v>
      </c>
      <c r="R375">
        <v>-21.5</v>
      </c>
      <c r="S375">
        <v>-10.1</v>
      </c>
      <c r="T375">
        <v>-0.5</v>
      </c>
      <c r="U375">
        <v>9.8000000000000007</v>
      </c>
      <c r="V375">
        <v>5.2</v>
      </c>
      <c r="W375">
        <v>3.6</v>
      </c>
      <c r="X375" t="s">
        <v>116</v>
      </c>
    </row>
    <row r="376" spans="2:24" x14ac:dyDescent="0.3">
      <c r="B376" t="s">
        <v>469</v>
      </c>
      <c r="C376" t="s">
        <v>92</v>
      </c>
      <c r="D376" t="s">
        <v>7</v>
      </c>
      <c r="E376" t="s">
        <v>14</v>
      </c>
      <c r="F376" t="s">
        <v>11</v>
      </c>
      <c r="G376" t="s">
        <v>60</v>
      </c>
      <c r="H376">
        <v>2025</v>
      </c>
      <c r="I376">
        <v>6080</v>
      </c>
      <c r="J376">
        <v>11.1</v>
      </c>
      <c r="K376" t="s">
        <v>24</v>
      </c>
      <c r="L376">
        <v>15.3</v>
      </c>
      <c r="M376">
        <v>10</v>
      </c>
      <c r="N376">
        <v>5252</v>
      </c>
      <c r="O376" t="s">
        <v>55</v>
      </c>
      <c r="P376">
        <v>31.5</v>
      </c>
      <c r="Q376" t="s">
        <v>79</v>
      </c>
      <c r="R376">
        <v>-12.8</v>
      </c>
      <c r="S376">
        <v>37.700000000000003</v>
      </c>
      <c r="T376">
        <v>22.3</v>
      </c>
      <c r="U376">
        <v>9.3000000000000007</v>
      </c>
      <c r="V376">
        <v>6.2</v>
      </c>
      <c r="W376">
        <v>6.5</v>
      </c>
      <c r="X376" t="s">
        <v>116</v>
      </c>
    </row>
    <row r="377" spans="2:24" x14ac:dyDescent="0.3">
      <c r="B377" t="s">
        <v>470</v>
      </c>
      <c r="C377" t="s">
        <v>73</v>
      </c>
      <c r="D377" t="s">
        <v>2</v>
      </c>
      <c r="E377" t="s">
        <v>19</v>
      </c>
      <c r="F377" t="s">
        <v>10</v>
      </c>
      <c r="G377" t="s">
        <v>112</v>
      </c>
      <c r="H377">
        <v>2024</v>
      </c>
      <c r="I377">
        <v>8731</v>
      </c>
      <c r="J377">
        <v>32.799999999999997</v>
      </c>
      <c r="K377" t="s">
        <v>23</v>
      </c>
      <c r="L377">
        <v>1.9</v>
      </c>
      <c r="M377">
        <v>7.6</v>
      </c>
      <c r="N377">
        <v>2198</v>
      </c>
      <c r="O377" t="s">
        <v>75</v>
      </c>
      <c r="P377">
        <v>71.8</v>
      </c>
      <c r="Q377" t="s">
        <v>76</v>
      </c>
      <c r="R377">
        <v>12.6</v>
      </c>
      <c r="S377">
        <v>-0.1</v>
      </c>
      <c r="T377">
        <v>-5.9</v>
      </c>
      <c r="U377">
        <v>2.2999999999999998</v>
      </c>
      <c r="V377">
        <v>4</v>
      </c>
      <c r="W377">
        <v>3.4</v>
      </c>
      <c r="X377" t="s">
        <v>66</v>
      </c>
    </row>
    <row r="378" spans="2:24" x14ac:dyDescent="0.3">
      <c r="B378" t="s">
        <v>471</v>
      </c>
      <c r="C378" t="s">
        <v>71</v>
      </c>
      <c r="D378" t="s">
        <v>5</v>
      </c>
      <c r="E378" t="s">
        <v>19</v>
      </c>
      <c r="F378" t="s">
        <v>12</v>
      </c>
      <c r="G378" t="s">
        <v>60</v>
      </c>
      <c r="H378">
        <v>2025</v>
      </c>
      <c r="I378">
        <v>5643</v>
      </c>
      <c r="J378">
        <v>4.4000000000000004</v>
      </c>
      <c r="K378" t="s">
        <v>24</v>
      </c>
      <c r="L378">
        <v>1.1000000000000001</v>
      </c>
      <c r="M378">
        <v>1.8</v>
      </c>
      <c r="N378">
        <v>5579</v>
      </c>
      <c r="O378" t="s">
        <v>55</v>
      </c>
      <c r="P378">
        <v>85.5</v>
      </c>
      <c r="Q378" t="s">
        <v>125</v>
      </c>
      <c r="R378">
        <v>-35.5</v>
      </c>
      <c r="S378">
        <v>27.2</v>
      </c>
      <c r="T378">
        <v>1.3</v>
      </c>
      <c r="U378">
        <v>1.8</v>
      </c>
      <c r="V378">
        <v>8.1</v>
      </c>
      <c r="W378">
        <v>7.3</v>
      </c>
      <c r="X378" t="s">
        <v>116</v>
      </c>
    </row>
    <row r="379" spans="2:24" x14ac:dyDescent="0.3">
      <c r="B379" t="s">
        <v>472</v>
      </c>
      <c r="C379" t="s">
        <v>92</v>
      </c>
      <c r="D379" t="s">
        <v>7</v>
      </c>
      <c r="E379" t="s">
        <v>14</v>
      </c>
      <c r="F379" t="s">
        <v>12</v>
      </c>
      <c r="G379" t="s">
        <v>98</v>
      </c>
      <c r="H379">
        <v>2024</v>
      </c>
      <c r="I379">
        <v>391</v>
      </c>
      <c r="J379">
        <v>5</v>
      </c>
      <c r="K379" t="s">
        <v>24</v>
      </c>
      <c r="L379">
        <v>5.0999999999999996</v>
      </c>
      <c r="M379">
        <v>5.3</v>
      </c>
      <c r="N379">
        <v>1663</v>
      </c>
      <c r="O379" t="s">
        <v>64</v>
      </c>
      <c r="P379">
        <v>47</v>
      </c>
      <c r="Q379" t="s">
        <v>76</v>
      </c>
      <c r="R379">
        <v>3.2</v>
      </c>
      <c r="S379">
        <v>34.1</v>
      </c>
      <c r="T379">
        <v>23.1</v>
      </c>
      <c r="U379">
        <v>3.7</v>
      </c>
      <c r="V379">
        <v>9.5</v>
      </c>
      <c r="W379">
        <v>7.6</v>
      </c>
      <c r="X379" t="s">
        <v>57</v>
      </c>
    </row>
    <row r="380" spans="2:24" x14ac:dyDescent="0.3">
      <c r="B380" t="s">
        <v>473</v>
      </c>
      <c r="C380" t="s">
        <v>53</v>
      </c>
      <c r="D380" t="s">
        <v>2</v>
      </c>
      <c r="E380" t="s">
        <v>14</v>
      </c>
      <c r="F380" t="s">
        <v>9</v>
      </c>
      <c r="G380" t="s">
        <v>63</v>
      </c>
      <c r="H380">
        <v>2024</v>
      </c>
      <c r="I380">
        <v>1746</v>
      </c>
      <c r="J380">
        <v>6.3</v>
      </c>
      <c r="K380" t="s">
        <v>25</v>
      </c>
      <c r="L380">
        <v>4</v>
      </c>
      <c r="M380">
        <v>4.2</v>
      </c>
      <c r="N380">
        <v>1852</v>
      </c>
      <c r="O380" t="s">
        <v>55</v>
      </c>
      <c r="P380">
        <v>65.599999999999994</v>
      </c>
      <c r="Q380" t="s">
        <v>56</v>
      </c>
      <c r="R380">
        <v>78.099999999999994</v>
      </c>
      <c r="S380">
        <v>50.2</v>
      </c>
      <c r="T380">
        <v>16.100000000000001</v>
      </c>
      <c r="U380">
        <v>4.5</v>
      </c>
      <c r="V380">
        <v>8.6</v>
      </c>
      <c r="W380">
        <v>7.8</v>
      </c>
      <c r="X380" t="s">
        <v>57</v>
      </c>
    </row>
    <row r="381" spans="2:24" x14ac:dyDescent="0.3">
      <c r="B381" t="s">
        <v>474</v>
      </c>
      <c r="C381" t="s">
        <v>94</v>
      </c>
      <c r="D381" t="s">
        <v>6</v>
      </c>
      <c r="E381" t="s">
        <v>17</v>
      </c>
      <c r="F381" t="s">
        <v>9</v>
      </c>
      <c r="G381" t="s">
        <v>112</v>
      </c>
      <c r="H381">
        <v>2024</v>
      </c>
      <c r="I381">
        <v>2426</v>
      </c>
      <c r="J381">
        <v>4.5</v>
      </c>
      <c r="K381" t="s">
        <v>21</v>
      </c>
      <c r="L381">
        <v>8.5</v>
      </c>
      <c r="M381">
        <v>7.7</v>
      </c>
      <c r="N381">
        <v>2526</v>
      </c>
      <c r="O381" t="s">
        <v>55</v>
      </c>
      <c r="P381">
        <v>70.7</v>
      </c>
      <c r="Q381" t="s">
        <v>65</v>
      </c>
      <c r="R381">
        <v>87</v>
      </c>
      <c r="S381">
        <v>-20.100000000000001</v>
      </c>
      <c r="T381">
        <v>-4.8</v>
      </c>
      <c r="U381">
        <v>5.7</v>
      </c>
      <c r="V381">
        <v>6.4</v>
      </c>
      <c r="W381">
        <v>4.5</v>
      </c>
      <c r="X381" t="s">
        <v>57</v>
      </c>
    </row>
    <row r="382" spans="2:24" x14ac:dyDescent="0.3">
      <c r="B382" t="s">
        <v>475</v>
      </c>
      <c r="C382" t="s">
        <v>106</v>
      </c>
      <c r="D382" t="s">
        <v>3</v>
      </c>
      <c r="E382" t="s">
        <v>18</v>
      </c>
      <c r="F382" t="s">
        <v>12</v>
      </c>
      <c r="G382" t="s">
        <v>104</v>
      </c>
      <c r="H382">
        <v>2024</v>
      </c>
      <c r="I382">
        <v>6207</v>
      </c>
      <c r="J382">
        <v>11.9</v>
      </c>
      <c r="K382" t="s">
        <v>21</v>
      </c>
      <c r="L382">
        <v>7.7</v>
      </c>
      <c r="M382">
        <v>8.6999999999999993</v>
      </c>
      <c r="N382">
        <v>3193</v>
      </c>
      <c r="O382" t="s">
        <v>55</v>
      </c>
      <c r="P382">
        <v>29.4</v>
      </c>
      <c r="Q382" t="s">
        <v>56</v>
      </c>
      <c r="R382">
        <v>76.900000000000006</v>
      </c>
      <c r="S382">
        <v>19.899999999999999</v>
      </c>
      <c r="T382">
        <v>7.9</v>
      </c>
      <c r="U382">
        <v>5.8</v>
      </c>
      <c r="V382">
        <v>8.3000000000000007</v>
      </c>
      <c r="W382">
        <v>5.9</v>
      </c>
      <c r="X382" t="s">
        <v>116</v>
      </c>
    </row>
    <row r="383" spans="2:24" x14ac:dyDescent="0.3">
      <c r="B383" t="s">
        <v>476</v>
      </c>
      <c r="C383" t="s">
        <v>73</v>
      </c>
      <c r="D383" t="s">
        <v>3</v>
      </c>
      <c r="E383" t="s">
        <v>18</v>
      </c>
      <c r="F383" t="s">
        <v>10</v>
      </c>
      <c r="G383" t="s">
        <v>104</v>
      </c>
      <c r="H383">
        <v>2024</v>
      </c>
      <c r="I383">
        <v>664</v>
      </c>
      <c r="J383">
        <v>7.8</v>
      </c>
      <c r="K383" t="s">
        <v>24</v>
      </c>
      <c r="L383">
        <v>7.8</v>
      </c>
      <c r="M383">
        <v>6.7</v>
      </c>
      <c r="N383">
        <v>1922</v>
      </c>
      <c r="O383" t="s">
        <v>64</v>
      </c>
      <c r="P383">
        <v>17.2</v>
      </c>
      <c r="Q383" t="s">
        <v>65</v>
      </c>
      <c r="R383">
        <v>12.6</v>
      </c>
      <c r="S383">
        <v>10.199999999999999</v>
      </c>
      <c r="T383">
        <v>10.199999999999999</v>
      </c>
      <c r="U383">
        <v>5.8</v>
      </c>
      <c r="V383">
        <v>5.8</v>
      </c>
      <c r="W383">
        <v>5.6</v>
      </c>
      <c r="X383" t="s">
        <v>57</v>
      </c>
    </row>
    <row r="384" spans="2:24" x14ac:dyDescent="0.3">
      <c r="B384" t="s">
        <v>477</v>
      </c>
      <c r="C384" t="s">
        <v>159</v>
      </c>
      <c r="D384" t="s">
        <v>7</v>
      </c>
      <c r="E384" t="s">
        <v>17</v>
      </c>
      <c r="F384" t="s">
        <v>12</v>
      </c>
      <c r="G384" t="s">
        <v>104</v>
      </c>
      <c r="H384">
        <v>2026</v>
      </c>
      <c r="I384">
        <v>1396</v>
      </c>
      <c r="J384">
        <v>2.4</v>
      </c>
      <c r="K384" t="s">
        <v>22</v>
      </c>
      <c r="L384">
        <v>9.6</v>
      </c>
      <c r="M384">
        <v>8.6999999999999993</v>
      </c>
      <c r="N384">
        <v>5679</v>
      </c>
      <c r="O384" t="s">
        <v>55</v>
      </c>
      <c r="P384">
        <v>41.9</v>
      </c>
      <c r="Q384" t="s">
        <v>79</v>
      </c>
      <c r="R384">
        <v>-19.899999999999999</v>
      </c>
      <c r="S384">
        <v>45</v>
      </c>
      <c r="T384">
        <v>14</v>
      </c>
      <c r="U384">
        <v>6.2</v>
      </c>
      <c r="V384">
        <v>7.7</v>
      </c>
      <c r="W384">
        <v>6.8</v>
      </c>
      <c r="X384" t="s">
        <v>57</v>
      </c>
    </row>
    <row r="385" spans="2:24" x14ac:dyDescent="0.3">
      <c r="B385" t="s">
        <v>478</v>
      </c>
      <c r="C385" t="s">
        <v>73</v>
      </c>
      <c r="D385" t="s">
        <v>3</v>
      </c>
      <c r="E385" t="s">
        <v>15</v>
      </c>
      <c r="F385" t="s">
        <v>9</v>
      </c>
      <c r="G385" t="s">
        <v>131</v>
      </c>
      <c r="H385">
        <v>2024</v>
      </c>
      <c r="I385">
        <v>660</v>
      </c>
      <c r="J385">
        <v>4.2</v>
      </c>
      <c r="K385" t="s">
        <v>23</v>
      </c>
      <c r="L385">
        <v>3.5</v>
      </c>
      <c r="M385">
        <v>5</v>
      </c>
      <c r="N385">
        <v>3721</v>
      </c>
      <c r="O385" t="s">
        <v>64</v>
      </c>
      <c r="P385">
        <v>82.9</v>
      </c>
      <c r="Q385" t="s">
        <v>56</v>
      </c>
      <c r="R385">
        <v>-23.8</v>
      </c>
      <c r="S385">
        <v>35.200000000000003</v>
      </c>
      <c r="T385">
        <v>14.8</v>
      </c>
      <c r="U385">
        <v>2.2999999999999998</v>
      </c>
      <c r="V385">
        <v>9.1</v>
      </c>
      <c r="W385">
        <v>6.8</v>
      </c>
      <c r="X385" t="s">
        <v>57</v>
      </c>
    </row>
    <row r="386" spans="2:24" x14ac:dyDescent="0.3">
      <c r="B386" t="s">
        <v>479</v>
      </c>
      <c r="C386" t="s">
        <v>53</v>
      </c>
      <c r="D386" t="s">
        <v>3</v>
      </c>
      <c r="E386" t="s">
        <v>19</v>
      </c>
      <c r="F386" t="s">
        <v>9</v>
      </c>
      <c r="G386" t="s">
        <v>60</v>
      </c>
      <c r="H386">
        <v>2024</v>
      </c>
      <c r="I386">
        <v>1847</v>
      </c>
      <c r="J386">
        <v>2.8</v>
      </c>
      <c r="K386" t="s">
        <v>22</v>
      </c>
      <c r="L386">
        <v>3</v>
      </c>
      <c r="M386">
        <v>3.6</v>
      </c>
      <c r="N386">
        <v>4766</v>
      </c>
      <c r="O386" t="s">
        <v>64</v>
      </c>
      <c r="P386">
        <v>57.9</v>
      </c>
      <c r="Q386" t="s">
        <v>56</v>
      </c>
      <c r="R386">
        <v>-25.3</v>
      </c>
      <c r="S386">
        <v>-24.6</v>
      </c>
      <c r="T386">
        <v>-0.5</v>
      </c>
      <c r="U386">
        <v>2.8</v>
      </c>
      <c r="V386">
        <v>7.4</v>
      </c>
      <c r="W386">
        <v>5.4</v>
      </c>
      <c r="X386" t="s">
        <v>57</v>
      </c>
    </row>
    <row r="387" spans="2:24" x14ac:dyDescent="0.3">
      <c r="B387" t="s">
        <v>480</v>
      </c>
      <c r="C387" t="s">
        <v>27</v>
      </c>
      <c r="D387" t="s">
        <v>2</v>
      </c>
      <c r="E387" t="s">
        <v>18</v>
      </c>
      <c r="F387" t="s">
        <v>10</v>
      </c>
      <c r="G387" t="s">
        <v>78</v>
      </c>
      <c r="H387">
        <v>2024</v>
      </c>
      <c r="I387">
        <v>9601</v>
      </c>
      <c r="J387">
        <v>24.4</v>
      </c>
      <c r="K387" t="s">
        <v>21</v>
      </c>
      <c r="L387">
        <v>5.7</v>
      </c>
      <c r="M387">
        <v>10</v>
      </c>
      <c r="N387">
        <v>2600</v>
      </c>
      <c r="O387" t="s">
        <v>64</v>
      </c>
      <c r="P387">
        <v>31.8</v>
      </c>
      <c r="Q387" t="s">
        <v>56</v>
      </c>
      <c r="R387">
        <v>0.7</v>
      </c>
      <c r="S387">
        <v>13.5</v>
      </c>
      <c r="T387">
        <v>4.0999999999999996</v>
      </c>
      <c r="U387">
        <v>9.4</v>
      </c>
      <c r="V387">
        <v>6.2</v>
      </c>
      <c r="W387">
        <v>3.1</v>
      </c>
      <c r="X387" t="s">
        <v>66</v>
      </c>
    </row>
    <row r="388" spans="2:24" x14ac:dyDescent="0.3">
      <c r="B388" t="s">
        <v>481</v>
      </c>
      <c r="C388" t="s">
        <v>139</v>
      </c>
      <c r="D388" t="s">
        <v>8</v>
      </c>
      <c r="E388" t="s">
        <v>14</v>
      </c>
      <c r="F388" t="s">
        <v>12</v>
      </c>
      <c r="G388" t="s">
        <v>104</v>
      </c>
      <c r="H388">
        <v>2026</v>
      </c>
      <c r="I388">
        <v>1235</v>
      </c>
      <c r="J388">
        <v>2.2999999999999998</v>
      </c>
      <c r="K388" t="s">
        <v>25</v>
      </c>
      <c r="L388">
        <v>5.5</v>
      </c>
      <c r="M388">
        <v>3.4</v>
      </c>
      <c r="N388">
        <v>5335</v>
      </c>
      <c r="O388" t="s">
        <v>55</v>
      </c>
      <c r="P388">
        <v>77.099999999999994</v>
      </c>
      <c r="Q388" t="s">
        <v>88</v>
      </c>
      <c r="R388">
        <v>54.5</v>
      </c>
      <c r="S388">
        <v>4.7</v>
      </c>
      <c r="T388">
        <v>11.8</v>
      </c>
      <c r="U388">
        <v>3.5</v>
      </c>
      <c r="V388">
        <v>7.8</v>
      </c>
      <c r="W388">
        <v>7.1</v>
      </c>
      <c r="X388" t="s">
        <v>57</v>
      </c>
    </row>
    <row r="389" spans="2:24" x14ac:dyDescent="0.3">
      <c r="B389" t="s">
        <v>482</v>
      </c>
      <c r="C389" t="s">
        <v>90</v>
      </c>
      <c r="D389" t="s">
        <v>6</v>
      </c>
      <c r="E389" t="s">
        <v>16</v>
      </c>
      <c r="F389" t="s">
        <v>10</v>
      </c>
      <c r="G389" t="s">
        <v>98</v>
      </c>
      <c r="H389">
        <v>2026</v>
      </c>
      <c r="I389">
        <v>4451</v>
      </c>
      <c r="J389">
        <v>8.1</v>
      </c>
      <c r="K389" t="s">
        <v>22</v>
      </c>
      <c r="L389">
        <v>3.1</v>
      </c>
      <c r="M389">
        <v>5.7</v>
      </c>
      <c r="N389">
        <v>5014</v>
      </c>
      <c r="O389" t="s">
        <v>64</v>
      </c>
      <c r="P389">
        <v>36.700000000000003</v>
      </c>
      <c r="Q389" t="s">
        <v>86</v>
      </c>
      <c r="R389">
        <v>56.2</v>
      </c>
      <c r="S389">
        <v>29.5</v>
      </c>
      <c r="T389">
        <v>2.5</v>
      </c>
      <c r="U389">
        <v>3.7</v>
      </c>
      <c r="V389">
        <v>9.1</v>
      </c>
      <c r="W389">
        <v>6</v>
      </c>
      <c r="X389" t="s">
        <v>116</v>
      </c>
    </row>
    <row r="390" spans="2:24" x14ac:dyDescent="0.3">
      <c r="B390" t="s">
        <v>483</v>
      </c>
      <c r="C390" t="s">
        <v>100</v>
      </c>
      <c r="D390" t="s">
        <v>3</v>
      </c>
      <c r="E390" t="s">
        <v>14</v>
      </c>
      <c r="F390" t="s">
        <v>12</v>
      </c>
      <c r="G390" t="s">
        <v>63</v>
      </c>
      <c r="H390">
        <v>2024</v>
      </c>
      <c r="I390">
        <v>11472</v>
      </c>
      <c r="J390">
        <v>30.9</v>
      </c>
      <c r="K390" t="s">
        <v>22</v>
      </c>
      <c r="L390">
        <v>7.2</v>
      </c>
      <c r="M390">
        <v>10</v>
      </c>
      <c r="N390">
        <v>1988</v>
      </c>
      <c r="O390" t="s">
        <v>64</v>
      </c>
      <c r="P390">
        <v>58.8</v>
      </c>
      <c r="Q390" t="s">
        <v>88</v>
      </c>
      <c r="R390">
        <v>46.9</v>
      </c>
      <c r="S390">
        <v>3.9</v>
      </c>
      <c r="T390">
        <v>-6.9</v>
      </c>
      <c r="U390">
        <v>7.2</v>
      </c>
      <c r="V390">
        <v>3.9</v>
      </c>
      <c r="W390">
        <v>3.5</v>
      </c>
      <c r="X390" t="s">
        <v>66</v>
      </c>
    </row>
    <row r="391" spans="2:24" x14ac:dyDescent="0.3">
      <c r="B391" t="s">
        <v>484</v>
      </c>
      <c r="C391" t="s">
        <v>159</v>
      </c>
      <c r="D391" t="s">
        <v>7</v>
      </c>
      <c r="E391" t="s">
        <v>16</v>
      </c>
      <c r="F391" t="s">
        <v>11</v>
      </c>
      <c r="G391" t="s">
        <v>54</v>
      </c>
      <c r="H391">
        <v>2025</v>
      </c>
      <c r="I391">
        <v>4518</v>
      </c>
      <c r="J391">
        <v>11.1</v>
      </c>
      <c r="K391" t="s">
        <v>24</v>
      </c>
      <c r="L391">
        <v>4.0999999999999996</v>
      </c>
      <c r="M391">
        <v>6.1</v>
      </c>
      <c r="N391">
        <v>989</v>
      </c>
      <c r="O391" t="s">
        <v>64</v>
      </c>
      <c r="P391">
        <v>45.5</v>
      </c>
      <c r="Q391" t="s">
        <v>86</v>
      </c>
      <c r="R391">
        <v>87.3</v>
      </c>
      <c r="S391">
        <v>-13.2</v>
      </c>
      <c r="T391">
        <v>-3.6</v>
      </c>
      <c r="U391">
        <v>2.5</v>
      </c>
      <c r="V391">
        <v>5.3</v>
      </c>
      <c r="W391">
        <v>5.3</v>
      </c>
      <c r="X391" t="s">
        <v>116</v>
      </c>
    </row>
    <row r="392" spans="2:24" x14ac:dyDescent="0.3">
      <c r="B392" t="s">
        <v>485</v>
      </c>
      <c r="C392" t="s">
        <v>71</v>
      </c>
      <c r="D392" t="s">
        <v>6</v>
      </c>
      <c r="E392" t="s">
        <v>14</v>
      </c>
      <c r="F392" t="s">
        <v>11</v>
      </c>
      <c r="G392" t="s">
        <v>78</v>
      </c>
      <c r="H392">
        <v>2024</v>
      </c>
      <c r="I392">
        <v>1625</v>
      </c>
      <c r="J392">
        <v>4.7</v>
      </c>
      <c r="K392" t="s">
        <v>25</v>
      </c>
      <c r="L392">
        <v>6.3</v>
      </c>
      <c r="M392">
        <v>3.7</v>
      </c>
      <c r="N392">
        <v>1919</v>
      </c>
      <c r="O392" t="s">
        <v>64</v>
      </c>
      <c r="P392">
        <v>76.099999999999994</v>
      </c>
      <c r="Q392" t="s">
        <v>65</v>
      </c>
      <c r="R392">
        <v>19.3</v>
      </c>
      <c r="S392">
        <v>30.2</v>
      </c>
      <c r="T392">
        <v>9.4</v>
      </c>
      <c r="U392">
        <v>4.4000000000000004</v>
      </c>
      <c r="V392">
        <v>5.7</v>
      </c>
      <c r="W392">
        <v>7.5</v>
      </c>
      <c r="X392" t="s">
        <v>57</v>
      </c>
    </row>
    <row r="393" spans="2:24" x14ac:dyDescent="0.3">
      <c r="B393" t="s">
        <v>486</v>
      </c>
      <c r="C393" t="s">
        <v>62</v>
      </c>
      <c r="D393" t="s">
        <v>2</v>
      </c>
      <c r="E393" t="s">
        <v>14</v>
      </c>
      <c r="F393" t="s">
        <v>9</v>
      </c>
      <c r="G393" t="s">
        <v>54</v>
      </c>
      <c r="H393">
        <v>2025</v>
      </c>
      <c r="I393">
        <v>2246</v>
      </c>
      <c r="J393">
        <v>4.7</v>
      </c>
      <c r="K393" t="s">
        <v>25</v>
      </c>
      <c r="L393">
        <v>8.6</v>
      </c>
      <c r="M393">
        <v>5.0999999999999996</v>
      </c>
      <c r="N393">
        <v>4768</v>
      </c>
      <c r="O393" t="s">
        <v>55</v>
      </c>
      <c r="P393">
        <v>57.1</v>
      </c>
      <c r="Q393" t="s">
        <v>56</v>
      </c>
      <c r="R393">
        <v>46.8</v>
      </c>
      <c r="S393">
        <v>16.7</v>
      </c>
      <c r="T393">
        <v>0.2</v>
      </c>
      <c r="U393">
        <v>5.5</v>
      </c>
      <c r="V393">
        <v>8.8000000000000007</v>
      </c>
      <c r="W393">
        <v>7.4</v>
      </c>
      <c r="X393" t="s">
        <v>116</v>
      </c>
    </row>
    <row r="394" spans="2:24" x14ac:dyDescent="0.3">
      <c r="B394" t="s">
        <v>487</v>
      </c>
      <c r="C394" t="s">
        <v>106</v>
      </c>
      <c r="D394" t="s">
        <v>3</v>
      </c>
      <c r="E394" t="s">
        <v>17</v>
      </c>
      <c r="F394" t="s">
        <v>11</v>
      </c>
      <c r="G394" t="s">
        <v>78</v>
      </c>
      <c r="H394">
        <v>2024</v>
      </c>
      <c r="I394">
        <v>2390</v>
      </c>
      <c r="J394">
        <v>8.9</v>
      </c>
      <c r="K394" t="s">
        <v>23</v>
      </c>
      <c r="L394">
        <v>3.6</v>
      </c>
      <c r="M394">
        <v>6.5</v>
      </c>
      <c r="N394">
        <v>340</v>
      </c>
      <c r="O394" t="s">
        <v>64</v>
      </c>
      <c r="P394">
        <v>49.6</v>
      </c>
      <c r="Q394" t="s">
        <v>84</v>
      </c>
      <c r="R394">
        <v>2.2000000000000002</v>
      </c>
      <c r="S394">
        <v>42.1</v>
      </c>
      <c r="T394">
        <v>9.1</v>
      </c>
      <c r="U394">
        <v>5.9</v>
      </c>
      <c r="V394">
        <v>6.4</v>
      </c>
      <c r="W394">
        <v>6.1</v>
      </c>
      <c r="X394" t="s">
        <v>57</v>
      </c>
    </row>
    <row r="395" spans="2:24" x14ac:dyDescent="0.3">
      <c r="B395" t="s">
        <v>488</v>
      </c>
      <c r="C395" t="s">
        <v>106</v>
      </c>
      <c r="D395" t="s">
        <v>2</v>
      </c>
      <c r="E395" t="s">
        <v>17</v>
      </c>
      <c r="F395" t="s">
        <v>11</v>
      </c>
      <c r="G395" t="s">
        <v>63</v>
      </c>
      <c r="H395">
        <v>2026</v>
      </c>
      <c r="I395">
        <v>628</v>
      </c>
      <c r="J395">
        <v>2.9</v>
      </c>
      <c r="K395" t="s">
        <v>25</v>
      </c>
      <c r="L395">
        <v>14.8</v>
      </c>
      <c r="M395">
        <v>4.7</v>
      </c>
      <c r="N395">
        <v>9240</v>
      </c>
      <c r="O395" t="s">
        <v>118</v>
      </c>
      <c r="P395">
        <v>42.4</v>
      </c>
      <c r="Q395" t="s">
        <v>76</v>
      </c>
      <c r="R395">
        <v>1.4</v>
      </c>
      <c r="S395">
        <v>39.6</v>
      </c>
      <c r="T395">
        <v>21.5</v>
      </c>
      <c r="U395">
        <v>9.6999999999999993</v>
      </c>
      <c r="V395">
        <v>6.1</v>
      </c>
      <c r="W395">
        <v>8.6999999999999993</v>
      </c>
      <c r="X395" t="s">
        <v>57</v>
      </c>
    </row>
    <row r="396" spans="2:24" x14ac:dyDescent="0.3">
      <c r="B396" t="s">
        <v>489</v>
      </c>
      <c r="C396" t="s">
        <v>68</v>
      </c>
      <c r="D396" t="s">
        <v>8</v>
      </c>
      <c r="E396" t="s">
        <v>14</v>
      </c>
      <c r="F396" t="s">
        <v>9</v>
      </c>
      <c r="G396" t="s">
        <v>74</v>
      </c>
      <c r="H396">
        <v>2024</v>
      </c>
      <c r="I396">
        <v>6683</v>
      </c>
      <c r="J396">
        <v>16.8</v>
      </c>
      <c r="K396" t="s">
        <v>24</v>
      </c>
      <c r="L396">
        <v>4.7</v>
      </c>
      <c r="M396">
        <v>9</v>
      </c>
      <c r="N396">
        <v>4803</v>
      </c>
      <c r="O396" t="s">
        <v>64</v>
      </c>
      <c r="P396">
        <v>45.7</v>
      </c>
      <c r="Q396" t="s">
        <v>84</v>
      </c>
      <c r="R396">
        <v>84.5</v>
      </c>
      <c r="S396">
        <v>-10.1</v>
      </c>
      <c r="T396">
        <v>-15.1</v>
      </c>
      <c r="U396">
        <v>4.4000000000000004</v>
      </c>
      <c r="V396">
        <v>6.9</v>
      </c>
      <c r="W396">
        <v>5</v>
      </c>
      <c r="X396" t="s">
        <v>116</v>
      </c>
    </row>
    <row r="397" spans="2:24" x14ac:dyDescent="0.3">
      <c r="B397" t="s">
        <v>490</v>
      </c>
      <c r="C397" t="s">
        <v>137</v>
      </c>
      <c r="D397" t="s">
        <v>4</v>
      </c>
      <c r="E397" t="s">
        <v>18</v>
      </c>
      <c r="F397" t="s">
        <v>9</v>
      </c>
      <c r="G397" t="s">
        <v>74</v>
      </c>
      <c r="H397">
        <v>2024</v>
      </c>
      <c r="I397">
        <v>638</v>
      </c>
      <c r="J397">
        <v>12.5</v>
      </c>
      <c r="K397" t="s">
        <v>23</v>
      </c>
      <c r="L397">
        <v>7.4</v>
      </c>
      <c r="M397">
        <v>9.1</v>
      </c>
      <c r="N397">
        <v>5210</v>
      </c>
      <c r="O397" t="s">
        <v>55</v>
      </c>
      <c r="P397">
        <v>36</v>
      </c>
      <c r="Q397" t="s">
        <v>79</v>
      </c>
      <c r="R397">
        <v>-4</v>
      </c>
      <c r="S397">
        <v>54.9</v>
      </c>
      <c r="T397">
        <v>17.600000000000001</v>
      </c>
      <c r="U397">
        <v>8.8000000000000007</v>
      </c>
      <c r="V397">
        <v>6.9</v>
      </c>
      <c r="W397">
        <v>6.8</v>
      </c>
      <c r="X397" t="s">
        <v>116</v>
      </c>
    </row>
    <row r="398" spans="2:24" x14ac:dyDescent="0.3">
      <c r="B398" t="s">
        <v>491</v>
      </c>
      <c r="C398" t="s">
        <v>81</v>
      </c>
      <c r="D398" t="s">
        <v>5</v>
      </c>
      <c r="E398" t="s">
        <v>18</v>
      </c>
      <c r="F398" t="s">
        <v>9</v>
      </c>
      <c r="G398" t="s">
        <v>98</v>
      </c>
      <c r="H398">
        <v>2025</v>
      </c>
      <c r="I398">
        <v>2835</v>
      </c>
      <c r="J398">
        <v>30.2</v>
      </c>
      <c r="K398" t="s">
        <v>25</v>
      </c>
      <c r="L398">
        <v>4.8</v>
      </c>
      <c r="M398">
        <v>10</v>
      </c>
      <c r="N398">
        <v>824</v>
      </c>
      <c r="O398" t="s">
        <v>75</v>
      </c>
      <c r="P398">
        <v>21.8</v>
      </c>
      <c r="Q398" t="s">
        <v>76</v>
      </c>
      <c r="R398">
        <v>51</v>
      </c>
      <c r="S398">
        <v>48.2</v>
      </c>
      <c r="T398">
        <v>20.5</v>
      </c>
      <c r="U398">
        <v>3.2</v>
      </c>
      <c r="V398">
        <v>7.2</v>
      </c>
      <c r="W398">
        <v>4.7</v>
      </c>
      <c r="X398" t="s">
        <v>66</v>
      </c>
    </row>
    <row r="399" spans="2:24" x14ac:dyDescent="0.3">
      <c r="B399" t="s">
        <v>492</v>
      </c>
      <c r="C399" t="s">
        <v>92</v>
      </c>
      <c r="D399" t="s">
        <v>7</v>
      </c>
      <c r="E399" t="s">
        <v>17</v>
      </c>
      <c r="F399" t="s">
        <v>12</v>
      </c>
      <c r="G399" t="s">
        <v>63</v>
      </c>
      <c r="H399">
        <v>2025</v>
      </c>
      <c r="I399">
        <v>66</v>
      </c>
      <c r="J399">
        <v>1.8</v>
      </c>
      <c r="K399" t="s">
        <v>22</v>
      </c>
      <c r="L399">
        <v>5.4</v>
      </c>
      <c r="M399">
        <v>3.7</v>
      </c>
      <c r="N399">
        <v>433</v>
      </c>
      <c r="O399" t="s">
        <v>64</v>
      </c>
      <c r="P399">
        <v>49.7</v>
      </c>
      <c r="Q399" t="s">
        <v>56</v>
      </c>
      <c r="R399">
        <v>48.1</v>
      </c>
      <c r="S399">
        <v>36.200000000000003</v>
      </c>
      <c r="T399">
        <v>17.600000000000001</v>
      </c>
      <c r="U399">
        <v>4.9000000000000004</v>
      </c>
      <c r="V399">
        <v>6.8</v>
      </c>
      <c r="W399">
        <v>9.1</v>
      </c>
      <c r="X399" t="s">
        <v>57</v>
      </c>
    </row>
    <row r="400" spans="2:24" x14ac:dyDescent="0.3">
      <c r="B400" t="s">
        <v>493</v>
      </c>
      <c r="C400" t="s">
        <v>92</v>
      </c>
      <c r="D400" t="s">
        <v>7</v>
      </c>
      <c r="E400" t="s">
        <v>19</v>
      </c>
      <c r="F400" t="s">
        <v>11</v>
      </c>
      <c r="G400" t="s">
        <v>54</v>
      </c>
      <c r="H400">
        <v>2024</v>
      </c>
      <c r="I400">
        <v>14232</v>
      </c>
      <c r="J400">
        <v>27.3</v>
      </c>
      <c r="K400" t="s">
        <v>23</v>
      </c>
      <c r="L400">
        <v>9.1999999999999993</v>
      </c>
      <c r="M400">
        <v>10</v>
      </c>
      <c r="N400">
        <v>1054</v>
      </c>
      <c r="O400" t="s">
        <v>75</v>
      </c>
      <c r="P400">
        <v>46.4</v>
      </c>
      <c r="Q400" t="s">
        <v>76</v>
      </c>
      <c r="R400">
        <v>66.2</v>
      </c>
      <c r="S400">
        <v>1.7</v>
      </c>
      <c r="T400">
        <v>-4.9000000000000004</v>
      </c>
      <c r="U400">
        <v>7</v>
      </c>
      <c r="V400">
        <v>4.5999999999999996</v>
      </c>
      <c r="W400">
        <v>3.9</v>
      </c>
      <c r="X400" t="s">
        <v>66</v>
      </c>
    </row>
    <row r="401" spans="2:24" x14ac:dyDescent="0.3">
      <c r="B401" t="s">
        <v>494</v>
      </c>
      <c r="C401" t="s">
        <v>53</v>
      </c>
      <c r="D401" t="s">
        <v>2</v>
      </c>
      <c r="E401" t="s">
        <v>15</v>
      </c>
      <c r="F401" t="s">
        <v>9</v>
      </c>
      <c r="G401" t="s">
        <v>54</v>
      </c>
      <c r="H401">
        <v>2026</v>
      </c>
      <c r="I401">
        <v>2291</v>
      </c>
      <c r="J401">
        <v>0.7</v>
      </c>
      <c r="K401" t="s">
        <v>22</v>
      </c>
      <c r="L401">
        <v>4.3</v>
      </c>
      <c r="M401">
        <v>7.5</v>
      </c>
      <c r="N401">
        <v>6255</v>
      </c>
      <c r="O401" t="s">
        <v>55</v>
      </c>
      <c r="P401">
        <v>37</v>
      </c>
      <c r="Q401" t="s">
        <v>76</v>
      </c>
      <c r="R401">
        <v>77.3</v>
      </c>
      <c r="S401">
        <v>-3.3</v>
      </c>
      <c r="T401">
        <v>6.4</v>
      </c>
      <c r="U401">
        <v>5.3</v>
      </c>
      <c r="V401">
        <v>7.7</v>
      </c>
      <c r="W401">
        <v>5.7</v>
      </c>
      <c r="X401" t="s">
        <v>57</v>
      </c>
    </row>
    <row r="402" spans="2:24" x14ac:dyDescent="0.3">
      <c r="B402" t="s">
        <v>495</v>
      </c>
      <c r="C402" t="s">
        <v>53</v>
      </c>
      <c r="D402" t="s">
        <v>4</v>
      </c>
      <c r="E402" t="s">
        <v>15</v>
      </c>
      <c r="F402" t="s">
        <v>10</v>
      </c>
      <c r="G402" t="s">
        <v>104</v>
      </c>
      <c r="H402">
        <v>2025</v>
      </c>
      <c r="I402">
        <v>34</v>
      </c>
      <c r="J402">
        <v>1.6</v>
      </c>
      <c r="K402" t="s">
        <v>22</v>
      </c>
      <c r="L402">
        <v>2.5</v>
      </c>
      <c r="M402">
        <v>6.3</v>
      </c>
      <c r="N402">
        <v>1828</v>
      </c>
      <c r="O402" t="s">
        <v>64</v>
      </c>
      <c r="P402">
        <v>63.7</v>
      </c>
      <c r="Q402" t="s">
        <v>88</v>
      </c>
      <c r="R402">
        <v>-18</v>
      </c>
      <c r="S402">
        <v>14.9</v>
      </c>
      <c r="T402">
        <v>15.7</v>
      </c>
      <c r="U402">
        <v>4</v>
      </c>
      <c r="V402">
        <v>5.4</v>
      </c>
      <c r="W402">
        <v>7.6</v>
      </c>
      <c r="X402" t="s">
        <v>57</v>
      </c>
    </row>
    <row r="403" spans="2:24" x14ac:dyDescent="0.3">
      <c r="B403" t="s">
        <v>496</v>
      </c>
      <c r="C403" t="s">
        <v>137</v>
      </c>
      <c r="D403" t="s">
        <v>4</v>
      </c>
      <c r="E403" t="s">
        <v>17</v>
      </c>
      <c r="F403" t="s">
        <v>10</v>
      </c>
      <c r="G403" t="s">
        <v>112</v>
      </c>
      <c r="H403">
        <v>2026</v>
      </c>
      <c r="I403">
        <v>2051</v>
      </c>
      <c r="J403">
        <v>11.9</v>
      </c>
      <c r="K403" t="s">
        <v>22</v>
      </c>
      <c r="L403">
        <v>5.0999999999999996</v>
      </c>
      <c r="M403">
        <v>4.8</v>
      </c>
      <c r="N403">
        <v>2914</v>
      </c>
      <c r="O403" t="s">
        <v>64</v>
      </c>
      <c r="P403">
        <v>59.4</v>
      </c>
      <c r="Q403" t="s">
        <v>65</v>
      </c>
      <c r="R403">
        <v>-40</v>
      </c>
      <c r="S403">
        <v>42.9</v>
      </c>
      <c r="T403">
        <v>21.7</v>
      </c>
      <c r="U403">
        <v>7.5</v>
      </c>
      <c r="V403">
        <v>6.6</v>
      </c>
      <c r="W403">
        <v>6.3</v>
      </c>
      <c r="X403" t="s">
        <v>116</v>
      </c>
    </row>
    <row r="404" spans="2:24" x14ac:dyDescent="0.3">
      <c r="B404" t="s">
        <v>497</v>
      </c>
      <c r="C404" t="s">
        <v>159</v>
      </c>
      <c r="D404" t="s">
        <v>7</v>
      </c>
      <c r="E404" t="s">
        <v>15</v>
      </c>
      <c r="F404" t="s">
        <v>9</v>
      </c>
      <c r="G404" t="s">
        <v>131</v>
      </c>
      <c r="H404">
        <v>2025</v>
      </c>
      <c r="I404">
        <v>889</v>
      </c>
      <c r="J404">
        <v>11.3</v>
      </c>
      <c r="K404" t="s">
        <v>22</v>
      </c>
      <c r="L404">
        <v>8.6</v>
      </c>
      <c r="M404">
        <v>4.3</v>
      </c>
      <c r="N404">
        <v>1650</v>
      </c>
      <c r="O404" t="s">
        <v>64</v>
      </c>
      <c r="P404">
        <v>67.8</v>
      </c>
      <c r="Q404" t="s">
        <v>84</v>
      </c>
      <c r="R404">
        <v>-42.1</v>
      </c>
      <c r="S404">
        <v>25.5</v>
      </c>
      <c r="T404">
        <v>16.7</v>
      </c>
      <c r="U404">
        <v>5.3</v>
      </c>
      <c r="V404">
        <v>7.2</v>
      </c>
      <c r="W404">
        <v>6.2</v>
      </c>
      <c r="X404" t="s">
        <v>116</v>
      </c>
    </row>
    <row r="405" spans="2:24" x14ac:dyDescent="0.3">
      <c r="B405" t="s">
        <v>498</v>
      </c>
      <c r="C405" t="s">
        <v>142</v>
      </c>
      <c r="D405" t="s">
        <v>8</v>
      </c>
      <c r="E405" t="s">
        <v>17</v>
      </c>
      <c r="F405" t="s">
        <v>10</v>
      </c>
      <c r="G405" t="s">
        <v>104</v>
      </c>
      <c r="H405">
        <v>2024</v>
      </c>
      <c r="I405">
        <v>2875</v>
      </c>
      <c r="J405">
        <v>14.3</v>
      </c>
      <c r="K405" t="s">
        <v>23</v>
      </c>
      <c r="L405">
        <v>3.7</v>
      </c>
      <c r="M405">
        <v>6</v>
      </c>
      <c r="N405">
        <v>982</v>
      </c>
      <c r="O405" t="s">
        <v>75</v>
      </c>
      <c r="P405">
        <v>37</v>
      </c>
      <c r="Q405" t="s">
        <v>88</v>
      </c>
      <c r="R405">
        <v>0.4</v>
      </c>
      <c r="S405">
        <v>24.8</v>
      </c>
      <c r="T405">
        <v>7.9</v>
      </c>
      <c r="U405">
        <v>3.7</v>
      </c>
      <c r="V405">
        <v>5.9</v>
      </c>
      <c r="W405">
        <v>6.6</v>
      </c>
      <c r="X405" t="s">
        <v>116</v>
      </c>
    </row>
    <row r="406" spans="2:24" x14ac:dyDescent="0.3">
      <c r="B406" t="s">
        <v>499</v>
      </c>
      <c r="C406" t="s">
        <v>53</v>
      </c>
      <c r="D406" t="s">
        <v>2</v>
      </c>
      <c r="E406" t="s">
        <v>18</v>
      </c>
      <c r="F406" t="s">
        <v>12</v>
      </c>
      <c r="G406" t="s">
        <v>78</v>
      </c>
      <c r="H406">
        <v>2026</v>
      </c>
      <c r="I406">
        <v>1073</v>
      </c>
      <c r="J406">
        <v>23.6</v>
      </c>
      <c r="K406" t="s">
        <v>24</v>
      </c>
      <c r="L406">
        <v>13.2</v>
      </c>
      <c r="M406">
        <v>10</v>
      </c>
      <c r="N406">
        <v>9493</v>
      </c>
      <c r="O406" t="s">
        <v>118</v>
      </c>
      <c r="P406">
        <v>23.4</v>
      </c>
      <c r="Q406" t="s">
        <v>56</v>
      </c>
      <c r="R406">
        <v>1.6</v>
      </c>
      <c r="S406">
        <v>-13.5</v>
      </c>
      <c r="T406">
        <v>-11.7</v>
      </c>
      <c r="U406">
        <v>8.9</v>
      </c>
      <c r="V406">
        <v>4.0999999999999996</v>
      </c>
      <c r="W406">
        <v>4.2</v>
      </c>
      <c r="X406" t="s">
        <v>66</v>
      </c>
    </row>
    <row r="407" spans="2:24" x14ac:dyDescent="0.3">
      <c r="B407" t="s">
        <v>500</v>
      </c>
      <c r="C407" t="s">
        <v>142</v>
      </c>
      <c r="D407" t="s">
        <v>2</v>
      </c>
      <c r="E407" t="s">
        <v>16</v>
      </c>
      <c r="F407" t="s">
        <v>11</v>
      </c>
      <c r="G407" t="s">
        <v>60</v>
      </c>
      <c r="H407">
        <v>2024</v>
      </c>
      <c r="I407">
        <v>19001</v>
      </c>
      <c r="J407">
        <v>25.5</v>
      </c>
      <c r="K407" t="s">
        <v>23</v>
      </c>
      <c r="L407">
        <v>7.4</v>
      </c>
      <c r="M407">
        <v>10</v>
      </c>
      <c r="N407">
        <v>5648</v>
      </c>
      <c r="O407" t="s">
        <v>64</v>
      </c>
      <c r="P407">
        <v>31.5</v>
      </c>
      <c r="Q407" t="s">
        <v>76</v>
      </c>
      <c r="R407">
        <v>71.5</v>
      </c>
      <c r="S407">
        <v>-0.9</v>
      </c>
      <c r="T407">
        <v>2.8</v>
      </c>
      <c r="U407">
        <v>5.0999999999999996</v>
      </c>
      <c r="V407">
        <v>4.8</v>
      </c>
      <c r="W407">
        <v>3.7</v>
      </c>
      <c r="X407" t="s">
        <v>66</v>
      </c>
    </row>
    <row r="408" spans="2:24" x14ac:dyDescent="0.3">
      <c r="B408" t="s">
        <v>501</v>
      </c>
      <c r="C408" t="s">
        <v>27</v>
      </c>
      <c r="D408" t="s">
        <v>2</v>
      </c>
      <c r="E408" t="s">
        <v>15</v>
      </c>
      <c r="F408" t="s">
        <v>10</v>
      </c>
      <c r="G408" t="s">
        <v>54</v>
      </c>
      <c r="H408">
        <v>2026</v>
      </c>
      <c r="I408">
        <v>1610</v>
      </c>
      <c r="J408">
        <v>9</v>
      </c>
      <c r="K408" t="s">
        <v>25</v>
      </c>
      <c r="L408">
        <v>6.8</v>
      </c>
      <c r="M408">
        <v>10</v>
      </c>
      <c r="N408">
        <v>3796</v>
      </c>
      <c r="O408" t="s">
        <v>55</v>
      </c>
      <c r="P408">
        <v>53</v>
      </c>
      <c r="Q408" t="s">
        <v>76</v>
      </c>
      <c r="R408">
        <v>-10.3</v>
      </c>
      <c r="S408">
        <v>-14.4</v>
      </c>
      <c r="T408">
        <v>0.7</v>
      </c>
      <c r="U408">
        <v>9.6999999999999993</v>
      </c>
      <c r="V408">
        <v>5.3</v>
      </c>
      <c r="W408">
        <v>4.0999999999999996</v>
      </c>
      <c r="X408" t="s">
        <v>57</v>
      </c>
    </row>
    <row r="409" spans="2:24" x14ac:dyDescent="0.3">
      <c r="B409" t="s">
        <v>502</v>
      </c>
      <c r="C409" t="s">
        <v>137</v>
      </c>
      <c r="D409" t="s">
        <v>3</v>
      </c>
      <c r="E409" t="s">
        <v>16</v>
      </c>
      <c r="F409" t="s">
        <v>10</v>
      </c>
      <c r="G409" t="s">
        <v>112</v>
      </c>
      <c r="H409">
        <v>2025</v>
      </c>
      <c r="I409">
        <v>2392</v>
      </c>
      <c r="J409">
        <v>7.5</v>
      </c>
      <c r="K409" t="s">
        <v>23</v>
      </c>
      <c r="L409">
        <v>7.8</v>
      </c>
      <c r="M409">
        <v>9.1</v>
      </c>
      <c r="N409">
        <v>4568</v>
      </c>
      <c r="O409" t="s">
        <v>55</v>
      </c>
      <c r="P409">
        <v>78</v>
      </c>
      <c r="Q409" t="s">
        <v>56</v>
      </c>
      <c r="R409">
        <v>-21.3</v>
      </c>
      <c r="S409">
        <v>47.2</v>
      </c>
      <c r="T409">
        <v>13.7</v>
      </c>
      <c r="U409">
        <v>5.6</v>
      </c>
      <c r="V409">
        <v>8.8000000000000007</v>
      </c>
      <c r="W409">
        <v>6.5</v>
      </c>
      <c r="X409" t="s">
        <v>57</v>
      </c>
    </row>
    <row r="410" spans="2:24" x14ac:dyDescent="0.3">
      <c r="B410" t="s">
        <v>503</v>
      </c>
      <c r="C410" t="s">
        <v>83</v>
      </c>
      <c r="D410" t="s">
        <v>4</v>
      </c>
      <c r="E410" t="s">
        <v>15</v>
      </c>
      <c r="F410" t="s">
        <v>12</v>
      </c>
      <c r="G410" t="s">
        <v>98</v>
      </c>
      <c r="H410">
        <v>2025</v>
      </c>
      <c r="I410">
        <v>2303</v>
      </c>
      <c r="J410">
        <v>17.8</v>
      </c>
      <c r="K410" t="s">
        <v>21</v>
      </c>
      <c r="L410">
        <v>1.7</v>
      </c>
      <c r="M410">
        <v>4.9000000000000004</v>
      </c>
      <c r="N410">
        <v>3974</v>
      </c>
      <c r="O410" t="s">
        <v>64</v>
      </c>
      <c r="P410">
        <v>82.8</v>
      </c>
      <c r="Q410" t="s">
        <v>76</v>
      </c>
      <c r="R410">
        <v>50.6</v>
      </c>
      <c r="S410">
        <v>44.5</v>
      </c>
      <c r="T410">
        <v>14</v>
      </c>
      <c r="U410">
        <v>1.4</v>
      </c>
      <c r="V410">
        <v>7.6</v>
      </c>
      <c r="W410">
        <v>6.7</v>
      </c>
      <c r="X410" t="s">
        <v>116</v>
      </c>
    </row>
    <row r="411" spans="2:24" x14ac:dyDescent="0.3">
      <c r="B411" t="s">
        <v>504</v>
      </c>
      <c r="C411" t="s">
        <v>142</v>
      </c>
      <c r="D411" t="s">
        <v>2</v>
      </c>
      <c r="E411" t="s">
        <v>18</v>
      </c>
      <c r="F411" t="s">
        <v>11</v>
      </c>
      <c r="G411" t="s">
        <v>74</v>
      </c>
      <c r="H411">
        <v>2024</v>
      </c>
      <c r="I411">
        <v>1673</v>
      </c>
      <c r="J411">
        <v>10.9</v>
      </c>
      <c r="K411" t="s">
        <v>23</v>
      </c>
      <c r="L411">
        <v>9.6999999999999993</v>
      </c>
      <c r="M411">
        <v>10</v>
      </c>
      <c r="N411">
        <v>8320</v>
      </c>
      <c r="O411" t="s">
        <v>118</v>
      </c>
      <c r="P411">
        <v>22.7</v>
      </c>
      <c r="Q411" t="s">
        <v>76</v>
      </c>
      <c r="R411">
        <v>-12.6</v>
      </c>
      <c r="S411">
        <v>57.5</v>
      </c>
      <c r="T411">
        <v>25.5</v>
      </c>
      <c r="U411">
        <v>7.6</v>
      </c>
      <c r="V411">
        <v>6.8</v>
      </c>
      <c r="W411">
        <v>6.6</v>
      </c>
      <c r="X411" t="s">
        <v>116</v>
      </c>
    </row>
    <row r="412" spans="2:24" x14ac:dyDescent="0.3">
      <c r="B412" t="s">
        <v>505</v>
      </c>
      <c r="C412" t="s">
        <v>106</v>
      </c>
      <c r="D412" t="s">
        <v>8</v>
      </c>
      <c r="E412" t="s">
        <v>16</v>
      </c>
      <c r="F412" t="s">
        <v>11</v>
      </c>
      <c r="G412" t="s">
        <v>112</v>
      </c>
      <c r="H412">
        <v>2024</v>
      </c>
      <c r="I412">
        <v>229</v>
      </c>
      <c r="J412">
        <v>3.9</v>
      </c>
      <c r="K412" t="s">
        <v>24</v>
      </c>
      <c r="L412">
        <v>2.2999999999999998</v>
      </c>
      <c r="M412">
        <v>4.5</v>
      </c>
      <c r="N412">
        <v>4297</v>
      </c>
      <c r="O412" t="s">
        <v>55</v>
      </c>
      <c r="P412">
        <v>48.1</v>
      </c>
      <c r="Q412" t="s">
        <v>84</v>
      </c>
      <c r="R412">
        <v>33.799999999999997</v>
      </c>
      <c r="S412">
        <v>6.8</v>
      </c>
      <c r="T412">
        <v>10.7</v>
      </c>
      <c r="U412">
        <v>3</v>
      </c>
      <c r="V412">
        <v>7.6</v>
      </c>
      <c r="W412">
        <v>6.3</v>
      </c>
      <c r="X412" t="s">
        <v>57</v>
      </c>
    </row>
    <row r="413" spans="2:24" x14ac:dyDescent="0.3">
      <c r="B413" t="s">
        <v>506</v>
      </c>
      <c r="C413" t="s">
        <v>71</v>
      </c>
      <c r="D413" t="s">
        <v>5</v>
      </c>
      <c r="E413" t="s">
        <v>17</v>
      </c>
      <c r="F413" t="s">
        <v>9</v>
      </c>
      <c r="G413" t="s">
        <v>60</v>
      </c>
      <c r="H413">
        <v>2025</v>
      </c>
      <c r="I413">
        <v>1277</v>
      </c>
      <c r="J413">
        <v>6.8</v>
      </c>
      <c r="K413" t="s">
        <v>24</v>
      </c>
      <c r="L413">
        <v>3.1</v>
      </c>
      <c r="M413">
        <v>7.2</v>
      </c>
      <c r="N413">
        <v>2736</v>
      </c>
      <c r="O413" t="s">
        <v>55</v>
      </c>
      <c r="P413">
        <v>24.2</v>
      </c>
      <c r="Q413" t="s">
        <v>79</v>
      </c>
      <c r="R413">
        <v>66.2</v>
      </c>
      <c r="S413">
        <v>4.2</v>
      </c>
      <c r="T413">
        <v>0</v>
      </c>
      <c r="U413">
        <v>3.6</v>
      </c>
      <c r="V413">
        <v>5.6</v>
      </c>
      <c r="W413">
        <v>6.5</v>
      </c>
      <c r="X413" t="s">
        <v>116</v>
      </c>
    </row>
    <row r="414" spans="2:24" x14ac:dyDescent="0.3">
      <c r="B414" t="s">
        <v>507</v>
      </c>
      <c r="C414" t="s">
        <v>106</v>
      </c>
      <c r="D414" t="s">
        <v>3</v>
      </c>
      <c r="E414" t="s">
        <v>14</v>
      </c>
      <c r="F414" t="s">
        <v>11</v>
      </c>
      <c r="G414" t="s">
        <v>69</v>
      </c>
      <c r="H414">
        <v>2025</v>
      </c>
      <c r="I414">
        <v>2428</v>
      </c>
      <c r="J414">
        <v>2.9</v>
      </c>
      <c r="K414" t="s">
        <v>22</v>
      </c>
      <c r="L414">
        <v>6.7</v>
      </c>
      <c r="M414">
        <v>3.7</v>
      </c>
      <c r="N414">
        <v>4189</v>
      </c>
      <c r="O414" t="s">
        <v>55</v>
      </c>
      <c r="P414">
        <v>77.099999999999994</v>
      </c>
      <c r="Q414" t="s">
        <v>125</v>
      </c>
      <c r="R414">
        <v>18.8</v>
      </c>
      <c r="S414">
        <v>57.4</v>
      </c>
      <c r="T414">
        <v>25.3</v>
      </c>
      <c r="U414">
        <v>4.5999999999999996</v>
      </c>
      <c r="V414">
        <v>8.3000000000000007</v>
      </c>
      <c r="W414">
        <v>8.4</v>
      </c>
      <c r="X414" t="s">
        <v>57</v>
      </c>
    </row>
    <row r="415" spans="2:24" x14ac:dyDescent="0.3">
      <c r="B415" t="s">
        <v>508</v>
      </c>
      <c r="C415" t="s">
        <v>106</v>
      </c>
      <c r="D415" t="s">
        <v>4</v>
      </c>
      <c r="E415" t="s">
        <v>14</v>
      </c>
      <c r="F415" t="s">
        <v>9</v>
      </c>
      <c r="G415" t="s">
        <v>54</v>
      </c>
      <c r="H415">
        <v>2025</v>
      </c>
      <c r="I415">
        <v>727</v>
      </c>
      <c r="J415">
        <v>6.9</v>
      </c>
      <c r="K415" t="s">
        <v>24</v>
      </c>
      <c r="L415">
        <v>7.2</v>
      </c>
      <c r="M415">
        <v>4.8</v>
      </c>
      <c r="N415">
        <v>4381</v>
      </c>
      <c r="O415" t="s">
        <v>55</v>
      </c>
      <c r="P415">
        <v>54.2</v>
      </c>
      <c r="Q415" t="s">
        <v>79</v>
      </c>
      <c r="R415">
        <v>87.8</v>
      </c>
      <c r="S415">
        <v>-0.2</v>
      </c>
      <c r="T415">
        <v>0.1</v>
      </c>
      <c r="U415">
        <v>6.9</v>
      </c>
      <c r="V415">
        <v>4.9000000000000004</v>
      </c>
      <c r="W415">
        <v>5.9</v>
      </c>
      <c r="X415" t="s">
        <v>57</v>
      </c>
    </row>
    <row r="416" spans="2:24" x14ac:dyDescent="0.3">
      <c r="B416" t="s">
        <v>509</v>
      </c>
      <c r="C416" t="s">
        <v>137</v>
      </c>
      <c r="D416" t="s">
        <v>3</v>
      </c>
      <c r="E416" t="s">
        <v>18</v>
      </c>
      <c r="F416" t="s">
        <v>10</v>
      </c>
      <c r="G416" t="s">
        <v>101</v>
      </c>
      <c r="H416">
        <v>2025</v>
      </c>
      <c r="I416">
        <v>4458</v>
      </c>
      <c r="J416">
        <v>9.6</v>
      </c>
      <c r="K416" t="s">
        <v>23</v>
      </c>
      <c r="L416">
        <v>4.7</v>
      </c>
      <c r="M416">
        <v>5.7</v>
      </c>
      <c r="N416">
        <v>4051</v>
      </c>
      <c r="O416" t="s">
        <v>55</v>
      </c>
      <c r="P416">
        <v>38.5</v>
      </c>
      <c r="Q416" t="s">
        <v>86</v>
      </c>
      <c r="R416">
        <v>50.5</v>
      </c>
      <c r="S416">
        <v>13.2</v>
      </c>
      <c r="T416">
        <v>-5.3</v>
      </c>
      <c r="U416">
        <v>4.2</v>
      </c>
      <c r="V416">
        <v>6.7</v>
      </c>
      <c r="W416">
        <v>7.3</v>
      </c>
      <c r="X416" t="s">
        <v>116</v>
      </c>
    </row>
    <row r="417" spans="2:24" x14ac:dyDescent="0.3">
      <c r="B417" t="s">
        <v>510</v>
      </c>
      <c r="C417" t="s">
        <v>159</v>
      </c>
      <c r="D417" t="s">
        <v>7</v>
      </c>
      <c r="E417" t="s">
        <v>19</v>
      </c>
      <c r="F417" t="s">
        <v>11</v>
      </c>
      <c r="G417" t="s">
        <v>104</v>
      </c>
      <c r="H417">
        <v>2026</v>
      </c>
      <c r="I417">
        <v>6430</v>
      </c>
      <c r="J417">
        <v>14</v>
      </c>
      <c r="K417" t="s">
        <v>23</v>
      </c>
      <c r="L417">
        <v>7.2</v>
      </c>
      <c r="M417">
        <v>8.3000000000000007</v>
      </c>
      <c r="N417">
        <v>2460</v>
      </c>
      <c r="O417" t="s">
        <v>55</v>
      </c>
      <c r="P417">
        <v>12.5</v>
      </c>
      <c r="Q417" t="s">
        <v>56</v>
      </c>
      <c r="R417">
        <v>49.8</v>
      </c>
      <c r="S417">
        <v>10.199999999999999</v>
      </c>
      <c r="T417">
        <v>5.3</v>
      </c>
      <c r="U417">
        <v>7</v>
      </c>
      <c r="V417">
        <v>5.9</v>
      </c>
      <c r="W417">
        <v>5.2</v>
      </c>
      <c r="X417" t="s">
        <v>116</v>
      </c>
    </row>
    <row r="418" spans="2:24" x14ac:dyDescent="0.3">
      <c r="B418" t="s">
        <v>511</v>
      </c>
      <c r="C418" t="s">
        <v>53</v>
      </c>
      <c r="D418" t="s">
        <v>4</v>
      </c>
      <c r="E418" t="s">
        <v>15</v>
      </c>
      <c r="F418" t="s">
        <v>10</v>
      </c>
      <c r="G418" t="s">
        <v>131</v>
      </c>
      <c r="H418">
        <v>2025</v>
      </c>
      <c r="I418">
        <v>4091</v>
      </c>
      <c r="J418">
        <v>9.1</v>
      </c>
      <c r="K418" t="s">
        <v>21</v>
      </c>
      <c r="L418">
        <v>1.2</v>
      </c>
      <c r="M418">
        <v>3.4</v>
      </c>
      <c r="N418">
        <v>4103</v>
      </c>
      <c r="O418" t="s">
        <v>64</v>
      </c>
      <c r="P418">
        <v>38.299999999999997</v>
      </c>
      <c r="Q418" t="s">
        <v>125</v>
      </c>
      <c r="R418">
        <v>-5</v>
      </c>
      <c r="S418">
        <v>2.2999999999999998</v>
      </c>
      <c r="T418">
        <v>-0.4</v>
      </c>
      <c r="U418">
        <v>1.9</v>
      </c>
      <c r="V418">
        <v>7</v>
      </c>
      <c r="W418">
        <v>7</v>
      </c>
      <c r="X418" t="s">
        <v>116</v>
      </c>
    </row>
    <row r="419" spans="2:24" x14ac:dyDescent="0.3">
      <c r="B419" t="s">
        <v>512</v>
      </c>
      <c r="C419" t="s">
        <v>94</v>
      </c>
      <c r="D419" t="s">
        <v>6</v>
      </c>
      <c r="E419" t="s">
        <v>16</v>
      </c>
      <c r="F419" t="s">
        <v>9</v>
      </c>
      <c r="G419" t="s">
        <v>115</v>
      </c>
      <c r="H419">
        <v>2025</v>
      </c>
      <c r="I419">
        <v>592</v>
      </c>
      <c r="J419">
        <v>14.5</v>
      </c>
      <c r="K419" t="s">
        <v>21</v>
      </c>
      <c r="L419">
        <v>7.6</v>
      </c>
      <c r="M419">
        <v>5.2</v>
      </c>
      <c r="N419">
        <v>4435</v>
      </c>
      <c r="O419" t="s">
        <v>55</v>
      </c>
      <c r="P419">
        <v>14.7</v>
      </c>
      <c r="Q419" t="s">
        <v>88</v>
      </c>
      <c r="R419">
        <v>-38.9</v>
      </c>
      <c r="S419">
        <v>-22.5</v>
      </c>
      <c r="T419">
        <v>-8.5</v>
      </c>
      <c r="U419">
        <v>5.2</v>
      </c>
      <c r="V419">
        <v>4.4000000000000004</v>
      </c>
      <c r="W419">
        <v>5.3</v>
      </c>
      <c r="X419" t="s">
        <v>116</v>
      </c>
    </row>
    <row r="420" spans="2:24" x14ac:dyDescent="0.3">
      <c r="B420" t="s">
        <v>513</v>
      </c>
      <c r="C420" t="s">
        <v>53</v>
      </c>
      <c r="D420" t="s">
        <v>7</v>
      </c>
      <c r="E420" t="s">
        <v>15</v>
      </c>
      <c r="F420" t="s">
        <v>9</v>
      </c>
      <c r="G420" t="s">
        <v>104</v>
      </c>
      <c r="H420">
        <v>2026</v>
      </c>
      <c r="I420">
        <v>1062</v>
      </c>
      <c r="J420">
        <v>11.9</v>
      </c>
      <c r="K420" t="s">
        <v>25</v>
      </c>
      <c r="L420">
        <v>8.1999999999999993</v>
      </c>
      <c r="M420">
        <v>6.7</v>
      </c>
      <c r="N420">
        <v>3551</v>
      </c>
      <c r="O420" t="s">
        <v>55</v>
      </c>
      <c r="P420">
        <v>58.8</v>
      </c>
      <c r="Q420" t="s">
        <v>88</v>
      </c>
      <c r="R420">
        <v>80.099999999999994</v>
      </c>
      <c r="S420">
        <v>19.3</v>
      </c>
      <c r="T420">
        <v>18.5</v>
      </c>
      <c r="U420">
        <v>9.1</v>
      </c>
      <c r="V420">
        <v>6.7</v>
      </c>
      <c r="W420">
        <v>5.3</v>
      </c>
      <c r="X420" t="s">
        <v>116</v>
      </c>
    </row>
    <row r="421" spans="2:24" x14ac:dyDescent="0.3">
      <c r="B421" t="s">
        <v>514</v>
      </c>
      <c r="C421" t="s">
        <v>53</v>
      </c>
      <c r="D421" t="s">
        <v>3</v>
      </c>
      <c r="E421" t="s">
        <v>16</v>
      </c>
      <c r="F421" t="s">
        <v>12</v>
      </c>
      <c r="G421" t="s">
        <v>63</v>
      </c>
      <c r="H421">
        <v>2024</v>
      </c>
      <c r="I421">
        <v>4313</v>
      </c>
      <c r="J421">
        <v>33.5</v>
      </c>
      <c r="K421" t="s">
        <v>22</v>
      </c>
      <c r="L421">
        <v>7.5</v>
      </c>
      <c r="M421">
        <v>10</v>
      </c>
      <c r="N421">
        <v>1248</v>
      </c>
      <c r="O421" t="s">
        <v>64</v>
      </c>
      <c r="P421">
        <v>32.799999999999997</v>
      </c>
      <c r="Q421" t="s">
        <v>125</v>
      </c>
      <c r="R421">
        <v>32.6</v>
      </c>
      <c r="S421">
        <v>34.6</v>
      </c>
      <c r="T421">
        <v>5.6</v>
      </c>
      <c r="U421">
        <v>6.9</v>
      </c>
      <c r="V421">
        <v>4.5</v>
      </c>
      <c r="W421">
        <v>3.8</v>
      </c>
      <c r="X421" t="s">
        <v>66</v>
      </c>
    </row>
    <row r="422" spans="2:24" x14ac:dyDescent="0.3">
      <c r="B422" t="s">
        <v>515</v>
      </c>
      <c r="C422" t="s">
        <v>159</v>
      </c>
      <c r="D422" t="s">
        <v>2</v>
      </c>
      <c r="E422" t="s">
        <v>17</v>
      </c>
      <c r="F422" t="s">
        <v>12</v>
      </c>
      <c r="G422" t="s">
        <v>131</v>
      </c>
      <c r="H422">
        <v>2025</v>
      </c>
      <c r="I422">
        <v>7063</v>
      </c>
      <c r="J422">
        <v>13.2</v>
      </c>
      <c r="K422" t="s">
        <v>21</v>
      </c>
      <c r="L422">
        <v>8.1</v>
      </c>
      <c r="M422">
        <v>10</v>
      </c>
      <c r="N422">
        <v>4856</v>
      </c>
      <c r="O422" t="s">
        <v>55</v>
      </c>
      <c r="P422">
        <v>67.5</v>
      </c>
      <c r="Q422" t="s">
        <v>76</v>
      </c>
      <c r="R422">
        <v>6.1</v>
      </c>
      <c r="S422">
        <v>-17.7</v>
      </c>
      <c r="T422">
        <v>0.5</v>
      </c>
      <c r="U422">
        <v>8.6999999999999993</v>
      </c>
      <c r="V422">
        <v>5.9</v>
      </c>
      <c r="W422">
        <v>5.0999999999999996</v>
      </c>
      <c r="X422" t="s">
        <v>66</v>
      </c>
    </row>
    <row r="423" spans="2:24" x14ac:dyDescent="0.3">
      <c r="B423" t="s">
        <v>516</v>
      </c>
      <c r="C423" t="s">
        <v>106</v>
      </c>
      <c r="D423" t="s">
        <v>3</v>
      </c>
      <c r="E423" t="s">
        <v>14</v>
      </c>
      <c r="F423" t="s">
        <v>11</v>
      </c>
      <c r="G423" t="s">
        <v>104</v>
      </c>
      <c r="H423">
        <v>2025</v>
      </c>
      <c r="I423">
        <v>1227</v>
      </c>
      <c r="J423">
        <v>27.1</v>
      </c>
      <c r="K423" t="s">
        <v>23</v>
      </c>
      <c r="L423">
        <v>4.3</v>
      </c>
      <c r="M423">
        <v>10</v>
      </c>
      <c r="N423">
        <v>389</v>
      </c>
      <c r="O423" t="s">
        <v>75</v>
      </c>
      <c r="P423">
        <v>28.8</v>
      </c>
      <c r="Q423" t="s">
        <v>125</v>
      </c>
      <c r="R423">
        <v>7</v>
      </c>
      <c r="S423">
        <v>14.1</v>
      </c>
      <c r="T423">
        <v>-7.7</v>
      </c>
      <c r="U423">
        <v>3.4</v>
      </c>
      <c r="V423">
        <v>4.5</v>
      </c>
      <c r="W423">
        <v>4.4000000000000004</v>
      </c>
      <c r="X423" t="s">
        <v>66</v>
      </c>
    </row>
    <row r="424" spans="2:24" x14ac:dyDescent="0.3">
      <c r="B424" t="s">
        <v>517</v>
      </c>
      <c r="C424" t="s">
        <v>106</v>
      </c>
      <c r="D424" t="s">
        <v>7</v>
      </c>
      <c r="E424" t="s">
        <v>18</v>
      </c>
      <c r="F424" t="s">
        <v>9</v>
      </c>
      <c r="G424" t="s">
        <v>131</v>
      </c>
      <c r="H424">
        <v>2024</v>
      </c>
      <c r="I424">
        <v>2032</v>
      </c>
      <c r="J424">
        <v>5</v>
      </c>
      <c r="K424" t="s">
        <v>23</v>
      </c>
      <c r="L424">
        <v>12.6</v>
      </c>
      <c r="M424">
        <v>10</v>
      </c>
      <c r="N424">
        <v>2419</v>
      </c>
      <c r="O424" t="s">
        <v>55</v>
      </c>
      <c r="P424">
        <v>74.2</v>
      </c>
      <c r="Q424" t="s">
        <v>65</v>
      </c>
      <c r="R424">
        <v>86.5</v>
      </c>
      <c r="S424">
        <v>51.4</v>
      </c>
      <c r="T424">
        <v>20</v>
      </c>
      <c r="U424">
        <v>9.1</v>
      </c>
      <c r="V424">
        <v>10</v>
      </c>
      <c r="W424">
        <v>7.7</v>
      </c>
      <c r="X424" t="s">
        <v>57</v>
      </c>
    </row>
    <row r="425" spans="2:24" x14ac:dyDescent="0.3">
      <c r="B425" t="s">
        <v>518</v>
      </c>
      <c r="C425" t="s">
        <v>27</v>
      </c>
      <c r="D425" t="s">
        <v>3</v>
      </c>
      <c r="E425" t="s">
        <v>16</v>
      </c>
      <c r="F425" t="s">
        <v>9</v>
      </c>
      <c r="G425" t="s">
        <v>69</v>
      </c>
      <c r="H425">
        <v>2024</v>
      </c>
      <c r="I425">
        <v>11198</v>
      </c>
      <c r="J425">
        <v>8.3000000000000007</v>
      </c>
      <c r="K425" t="s">
        <v>23</v>
      </c>
      <c r="L425">
        <v>6.1</v>
      </c>
      <c r="M425">
        <v>6.7</v>
      </c>
      <c r="N425">
        <v>204</v>
      </c>
      <c r="O425" t="s">
        <v>64</v>
      </c>
      <c r="P425">
        <v>76.400000000000006</v>
      </c>
      <c r="Q425" t="s">
        <v>65</v>
      </c>
      <c r="R425">
        <v>2.1</v>
      </c>
      <c r="S425">
        <v>-0.3</v>
      </c>
      <c r="T425">
        <v>1.6</v>
      </c>
      <c r="U425">
        <v>4.4000000000000004</v>
      </c>
      <c r="V425">
        <v>7.4</v>
      </c>
      <c r="W425">
        <v>5.7</v>
      </c>
      <c r="X425" t="s">
        <v>66</v>
      </c>
    </row>
    <row r="426" spans="2:24" x14ac:dyDescent="0.3">
      <c r="B426" t="s">
        <v>519</v>
      </c>
      <c r="C426" t="s">
        <v>97</v>
      </c>
      <c r="D426" t="s">
        <v>3</v>
      </c>
      <c r="E426" t="s">
        <v>16</v>
      </c>
      <c r="F426" t="s">
        <v>9</v>
      </c>
      <c r="G426" t="s">
        <v>131</v>
      </c>
      <c r="H426">
        <v>2025</v>
      </c>
      <c r="I426">
        <v>5156</v>
      </c>
      <c r="J426">
        <v>6.6</v>
      </c>
      <c r="K426" t="s">
        <v>23</v>
      </c>
      <c r="L426">
        <v>2.1</v>
      </c>
      <c r="M426">
        <v>2.7</v>
      </c>
      <c r="N426">
        <v>5058</v>
      </c>
      <c r="O426" t="s">
        <v>55</v>
      </c>
      <c r="P426">
        <v>66.900000000000006</v>
      </c>
      <c r="Q426" t="s">
        <v>88</v>
      </c>
      <c r="R426">
        <v>-11.1</v>
      </c>
      <c r="S426">
        <v>54.2</v>
      </c>
      <c r="T426">
        <v>11.7</v>
      </c>
      <c r="U426">
        <v>1.4</v>
      </c>
      <c r="V426">
        <v>9.3000000000000007</v>
      </c>
      <c r="W426">
        <v>8.3000000000000007</v>
      </c>
      <c r="X426" t="s">
        <v>116</v>
      </c>
    </row>
    <row r="427" spans="2:24" x14ac:dyDescent="0.3">
      <c r="B427" t="s">
        <v>520</v>
      </c>
      <c r="C427" t="s">
        <v>139</v>
      </c>
      <c r="D427" t="s">
        <v>8</v>
      </c>
      <c r="E427" t="s">
        <v>19</v>
      </c>
      <c r="F427" t="s">
        <v>9</v>
      </c>
      <c r="G427" t="s">
        <v>74</v>
      </c>
      <c r="H427">
        <v>2025</v>
      </c>
      <c r="I427">
        <v>17535</v>
      </c>
      <c r="J427">
        <v>15.4</v>
      </c>
      <c r="K427" t="s">
        <v>24</v>
      </c>
      <c r="L427">
        <v>2.2999999999999998</v>
      </c>
      <c r="M427">
        <v>5.6</v>
      </c>
      <c r="N427">
        <v>436</v>
      </c>
      <c r="O427" t="s">
        <v>75</v>
      </c>
      <c r="P427">
        <v>42</v>
      </c>
      <c r="Q427" t="s">
        <v>65</v>
      </c>
      <c r="R427">
        <v>14.7</v>
      </c>
      <c r="S427">
        <v>48.8</v>
      </c>
      <c r="T427">
        <v>18.399999999999999</v>
      </c>
      <c r="U427">
        <v>2.6</v>
      </c>
      <c r="V427">
        <v>5.3</v>
      </c>
      <c r="W427">
        <v>6.8</v>
      </c>
      <c r="X427" t="s">
        <v>66</v>
      </c>
    </row>
    <row r="428" spans="2:24" x14ac:dyDescent="0.3">
      <c r="B428" t="s">
        <v>521</v>
      </c>
      <c r="C428" t="s">
        <v>106</v>
      </c>
      <c r="D428" t="s">
        <v>4</v>
      </c>
      <c r="E428" t="s">
        <v>16</v>
      </c>
      <c r="F428" t="s">
        <v>11</v>
      </c>
      <c r="G428" t="s">
        <v>104</v>
      </c>
      <c r="H428">
        <v>2026</v>
      </c>
      <c r="I428">
        <v>12016</v>
      </c>
      <c r="J428">
        <v>10.1</v>
      </c>
      <c r="K428" t="s">
        <v>23</v>
      </c>
      <c r="L428">
        <v>8.1</v>
      </c>
      <c r="M428">
        <v>8.5</v>
      </c>
      <c r="N428">
        <v>1167</v>
      </c>
      <c r="O428" t="s">
        <v>64</v>
      </c>
      <c r="P428">
        <v>70</v>
      </c>
      <c r="Q428" t="s">
        <v>76</v>
      </c>
      <c r="R428">
        <v>60.2</v>
      </c>
      <c r="S428">
        <v>2.4</v>
      </c>
      <c r="T428">
        <v>0.5</v>
      </c>
      <c r="U428">
        <v>7.9</v>
      </c>
      <c r="V428">
        <v>6.2</v>
      </c>
      <c r="W428">
        <v>6.2</v>
      </c>
      <c r="X428" t="s">
        <v>66</v>
      </c>
    </row>
    <row r="429" spans="2:24" x14ac:dyDescent="0.3">
      <c r="B429" t="s">
        <v>522</v>
      </c>
      <c r="C429" t="s">
        <v>106</v>
      </c>
      <c r="D429" t="s">
        <v>8</v>
      </c>
      <c r="E429" t="s">
        <v>14</v>
      </c>
      <c r="F429" t="s">
        <v>9</v>
      </c>
      <c r="G429" t="s">
        <v>54</v>
      </c>
      <c r="H429">
        <v>2025</v>
      </c>
      <c r="I429">
        <v>12725</v>
      </c>
      <c r="J429">
        <v>30.9</v>
      </c>
      <c r="K429" t="s">
        <v>25</v>
      </c>
      <c r="L429">
        <v>9.9</v>
      </c>
      <c r="M429">
        <v>9.4</v>
      </c>
      <c r="N429">
        <v>402</v>
      </c>
      <c r="O429" t="s">
        <v>64</v>
      </c>
      <c r="P429">
        <v>83</v>
      </c>
      <c r="Q429" t="s">
        <v>79</v>
      </c>
      <c r="R429">
        <v>-21.2</v>
      </c>
      <c r="S429">
        <v>44.5</v>
      </c>
      <c r="T429">
        <v>7.5</v>
      </c>
      <c r="U429">
        <v>6.9</v>
      </c>
      <c r="V429">
        <v>7.6</v>
      </c>
      <c r="W429">
        <v>4.8</v>
      </c>
      <c r="X429" t="s">
        <v>66</v>
      </c>
    </row>
    <row r="430" spans="2:24" x14ac:dyDescent="0.3">
      <c r="B430" t="s">
        <v>523</v>
      </c>
      <c r="C430" t="s">
        <v>106</v>
      </c>
      <c r="D430" t="s">
        <v>8</v>
      </c>
      <c r="E430" t="s">
        <v>19</v>
      </c>
      <c r="F430" t="s">
        <v>9</v>
      </c>
      <c r="G430" t="s">
        <v>74</v>
      </c>
      <c r="H430">
        <v>2024</v>
      </c>
      <c r="I430">
        <v>18433</v>
      </c>
      <c r="J430">
        <v>35.799999999999997</v>
      </c>
      <c r="K430" t="s">
        <v>23</v>
      </c>
      <c r="L430">
        <v>8.9</v>
      </c>
      <c r="M430">
        <v>10</v>
      </c>
      <c r="N430">
        <v>1906</v>
      </c>
      <c r="O430" t="s">
        <v>75</v>
      </c>
      <c r="P430">
        <v>20.2</v>
      </c>
      <c r="Q430" t="s">
        <v>86</v>
      </c>
      <c r="R430">
        <v>-23.5</v>
      </c>
      <c r="S430">
        <v>38.799999999999997</v>
      </c>
      <c r="T430">
        <v>13.3</v>
      </c>
      <c r="U430">
        <v>8.6</v>
      </c>
      <c r="V430">
        <v>4.0999999999999996</v>
      </c>
      <c r="W430">
        <v>4.3</v>
      </c>
      <c r="X430" t="s">
        <v>66</v>
      </c>
    </row>
    <row r="431" spans="2:24" x14ac:dyDescent="0.3">
      <c r="B431" t="s">
        <v>524</v>
      </c>
      <c r="C431" t="s">
        <v>68</v>
      </c>
      <c r="D431" t="s">
        <v>8</v>
      </c>
      <c r="E431" t="s">
        <v>14</v>
      </c>
      <c r="F431" t="s">
        <v>12</v>
      </c>
      <c r="G431" t="s">
        <v>115</v>
      </c>
      <c r="H431">
        <v>2025</v>
      </c>
      <c r="I431">
        <v>7770</v>
      </c>
      <c r="J431">
        <v>18.5</v>
      </c>
      <c r="K431" t="s">
        <v>21</v>
      </c>
      <c r="L431">
        <v>3.5</v>
      </c>
      <c r="M431">
        <v>6.3</v>
      </c>
      <c r="N431">
        <v>688</v>
      </c>
      <c r="O431" t="s">
        <v>75</v>
      </c>
      <c r="P431">
        <v>77.3</v>
      </c>
      <c r="Q431" t="s">
        <v>88</v>
      </c>
      <c r="R431">
        <v>86.6</v>
      </c>
      <c r="S431">
        <v>30.1</v>
      </c>
      <c r="T431">
        <v>6.9</v>
      </c>
      <c r="U431">
        <v>3.5</v>
      </c>
      <c r="V431">
        <v>6.9</v>
      </c>
      <c r="W431">
        <v>5</v>
      </c>
      <c r="X431" t="s">
        <v>66</v>
      </c>
    </row>
    <row r="432" spans="2:24" x14ac:dyDescent="0.3">
      <c r="B432" t="s">
        <v>525</v>
      </c>
      <c r="C432" t="s">
        <v>94</v>
      </c>
      <c r="D432" t="s">
        <v>6</v>
      </c>
      <c r="E432" t="s">
        <v>17</v>
      </c>
      <c r="F432" t="s">
        <v>10</v>
      </c>
      <c r="G432" t="s">
        <v>104</v>
      </c>
      <c r="H432">
        <v>2026</v>
      </c>
      <c r="I432">
        <v>1860</v>
      </c>
      <c r="J432">
        <v>16.100000000000001</v>
      </c>
      <c r="K432" t="s">
        <v>25</v>
      </c>
      <c r="L432">
        <v>1.6</v>
      </c>
      <c r="M432">
        <v>7.7</v>
      </c>
      <c r="N432">
        <v>5901</v>
      </c>
      <c r="O432" t="s">
        <v>55</v>
      </c>
      <c r="P432">
        <v>32.9</v>
      </c>
      <c r="Q432" t="s">
        <v>56</v>
      </c>
      <c r="R432">
        <v>78.599999999999994</v>
      </c>
      <c r="S432">
        <v>9.5</v>
      </c>
      <c r="T432">
        <v>-7.1</v>
      </c>
      <c r="U432">
        <v>2.7</v>
      </c>
      <c r="V432">
        <v>4.9000000000000004</v>
      </c>
      <c r="W432">
        <v>5.6</v>
      </c>
      <c r="X432" t="s">
        <v>116</v>
      </c>
    </row>
    <row r="433" spans="2:24" x14ac:dyDescent="0.3">
      <c r="B433" t="s">
        <v>526</v>
      </c>
      <c r="C433" t="s">
        <v>71</v>
      </c>
      <c r="D433" t="s">
        <v>6</v>
      </c>
      <c r="E433" t="s">
        <v>15</v>
      </c>
      <c r="F433" t="s">
        <v>9</v>
      </c>
      <c r="G433" t="s">
        <v>78</v>
      </c>
      <c r="H433">
        <v>2026</v>
      </c>
      <c r="I433">
        <v>19358</v>
      </c>
      <c r="J433">
        <v>17.3</v>
      </c>
      <c r="K433" t="s">
        <v>24</v>
      </c>
      <c r="L433">
        <v>14.5</v>
      </c>
      <c r="M433">
        <v>10</v>
      </c>
      <c r="N433">
        <v>1432</v>
      </c>
      <c r="O433" t="s">
        <v>64</v>
      </c>
      <c r="P433">
        <v>28.5</v>
      </c>
      <c r="Q433" t="s">
        <v>88</v>
      </c>
      <c r="R433">
        <v>8.1</v>
      </c>
      <c r="S433">
        <v>-14.9</v>
      </c>
      <c r="T433">
        <v>-1.2</v>
      </c>
      <c r="U433">
        <v>9.3000000000000007</v>
      </c>
      <c r="V433">
        <v>3.8</v>
      </c>
      <c r="W433">
        <v>3.3</v>
      </c>
      <c r="X433" t="s">
        <v>66</v>
      </c>
    </row>
    <row r="434" spans="2:24" x14ac:dyDescent="0.3">
      <c r="B434" t="s">
        <v>527</v>
      </c>
      <c r="C434" t="s">
        <v>71</v>
      </c>
      <c r="D434" t="s">
        <v>6</v>
      </c>
      <c r="E434" t="s">
        <v>17</v>
      </c>
      <c r="F434" t="s">
        <v>12</v>
      </c>
      <c r="G434" t="s">
        <v>69</v>
      </c>
      <c r="H434">
        <v>2026</v>
      </c>
      <c r="I434">
        <v>2675</v>
      </c>
      <c r="J434">
        <v>7.1</v>
      </c>
      <c r="K434" t="s">
        <v>21</v>
      </c>
      <c r="L434">
        <v>10.3</v>
      </c>
      <c r="M434">
        <v>10</v>
      </c>
      <c r="N434">
        <v>601</v>
      </c>
      <c r="O434" t="s">
        <v>64</v>
      </c>
      <c r="P434">
        <v>34.4</v>
      </c>
      <c r="Q434" t="s">
        <v>76</v>
      </c>
      <c r="R434">
        <v>4.3</v>
      </c>
      <c r="S434">
        <v>58.5</v>
      </c>
      <c r="T434">
        <v>32</v>
      </c>
      <c r="U434">
        <v>8</v>
      </c>
      <c r="V434">
        <v>8.1</v>
      </c>
      <c r="W434">
        <v>7.8</v>
      </c>
      <c r="X434" t="s">
        <v>116</v>
      </c>
    </row>
    <row r="435" spans="2:24" x14ac:dyDescent="0.3">
      <c r="B435" t="s">
        <v>528</v>
      </c>
      <c r="C435" t="s">
        <v>90</v>
      </c>
      <c r="D435" t="s">
        <v>3</v>
      </c>
      <c r="E435" t="s">
        <v>14</v>
      </c>
      <c r="F435" t="s">
        <v>10</v>
      </c>
      <c r="G435" t="s">
        <v>63</v>
      </c>
      <c r="H435">
        <v>2024</v>
      </c>
      <c r="I435">
        <v>1380</v>
      </c>
      <c r="J435">
        <v>9.5</v>
      </c>
      <c r="K435" t="s">
        <v>22</v>
      </c>
      <c r="L435">
        <v>4.9000000000000004</v>
      </c>
      <c r="M435">
        <v>2.2000000000000002</v>
      </c>
      <c r="N435">
        <v>1533</v>
      </c>
      <c r="O435" t="s">
        <v>64</v>
      </c>
      <c r="P435">
        <v>70.400000000000006</v>
      </c>
      <c r="Q435" t="s">
        <v>79</v>
      </c>
      <c r="R435">
        <v>-41.3</v>
      </c>
      <c r="S435">
        <v>-17.899999999999999</v>
      </c>
      <c r="T435">
        <v>-9.5</v>
      </c>
      <c r="U435">
        <v>3.5</v>
      </c>
      <c r="V435">
        <v>4.5999999999999996</v>
      </c>
      <c r="W435">
        <v>7</v>
      </c>
      <c r="X435" t="s">
        <v>57</v>
      </c>
    </row>
    <row r="436" spans="2:24" x14ac:dyDescent="0.3">
      <c r="B436" t="s">
        <v>529</v>
      </c>
      <c r="C436" t="s">
        <v>71</v>
      </c>
      <c r="D436" t="s">
        <v>5</v>
      </c>
      <c r="E436" t="s">
        <v>19</v>
      </c>
      <c r="F436" t="s">
        <v>9</v>
      </c>
      <c r="G436" t="s">
        <v>63</v>
      </c>
      <c r="H436">
        <v>2024</v>
      </c>
      <c r="I436">
        <v>893</v>
      </c>
      <c r="J436">
        <v>1.1000000000000001</v>
      </c>
      <c r="K436" t="s">
        <v>22</v>
      </c>
      <c r="L436">
        <v>5</v>
      </c>
      <c r="M436">
        <v>9.6</v>
      </c>
      <c r="N436">
        <v>3181</v>
      </c>
      <c r="O436" t="s">
        <v>55</v>
      </c>
      <c r="P436">
        <v>49.2</v>
      </c>
      <c r="Q436" t="s">
        <v>86</v>
      </c>
      <c r="R436">
        <v>23.5</v>
      </c>
      <c r="S436">
        <v>-21.6</v>
      </c>
      <c r="T436">
        <v>2.6</v>
      </c>
      <c r="U436">
        <v>7</v>
      </c>
      <c r="V436">
        <v>7.5</v>
      </c>
      <c r="W436">
        <v>5.8</v>
      </c>
      <c r="X436" t="s">
        <v>57</v>
      </c>
    </row>
    <row r="437" spans="2:24" x14ac:dyDescent="0.3">
      <c r="B437" t="s">
        <v>530</v>
      </c>
      <c r="C437" t="s">
        <v>59</v>
      </c>
      <c r="D437" t="s">
        <v>4</v>
      </c>
      <c r="E437" t="s">
        <v>18</v>
      </c>
      <c r="F437" t="s">
        <v>12</v>
      </c>
      <c r="G437" t="s">
        <v>78</v>
      </c>
      <c r="H437">
        <v>2026</v>
      </c>
      <c r="I437">
        <v>922</v>
      </c>
      <c r="J437">
        <v>5.8</v>
      </c>
      <c r="K437" t="s">
        <v>25</v>
      </c>
      <c r="L437">
        <v>8.9</v>
      </c>
      <c r="M437">
        <v>4.5999999999999996</v>
      </c>
      <c r="N437">
        <v>404</v>
      </c>
      <c r="O437" t="s">
        <v>64</v>
      </c>
      <c r="P437">
        <v>59.7</v>
      </c>
      <c r="Q437" t="s">
        <v>76</v>
      </c>
      <c r="R437">
        <v>-15.1</v>
      </c>
      <c r="S437">
        <v>10.3</v>
      </c>
      <c r="T437">
        <v>2.2000000000000002</v>
      </c>
      <c r="U437">
        <v>5.9</v>
      </c>
      <c r="V437">
        <v>4.9000000000000004</v>
      </c>
      <c r="W437">
        <v>6.4</v>
      </c>
      <c r="X437" t="s">
        <v>57</v>
      </c>
    </row>
    <row r="438" spans="2:24" x14ac:dyDescent="0.3">
      <c r="B438" t="s">
        <v>531</v>
      </c>
      <c r="C438" t="s">
        <v>94</v>
      </c>
      <c r="D438" t="s">
        <v>6</v>
      </c>
      <c r="E438" t="s">
        <v>17</v>
      </c>
      <c r="F438" t="s">
        <v>11</v>
      </c>
      <c r="G438" t="s">
        <v>63</v>
      </c>
      <c r="H438">
        <v>2025</v>
      </c>
      <c r="I438">
        <v>1263</v>
      </c>
      <c r="J438">
        <v>8.8000000000000007</v>
      </c>
      <c r="K438" t="s">
        <v>24</v>
      </c>
      <c r="L438">
        <v>10.1</v>
      </c>
      <c r="M438">
        <v>7.5</v>
      </c>
      <c r="N438">
        <v>3242</v>
      </c>
      <c r="O438" t="s">
        <v>55</v>
      </c>
      <c r="P438">
        <v>89.3</v>
      </c>
      <c r="Q438" t="s">
        <v>56</v>
      </c>
      <c r="R438">
        <v>-6.1</v>
      </c>
      <c r="S438">
        <v>42.2</v>
      </c>
      <c r="T438">
        <v>11.2</v>
      </c>
      <c r="U438">
        <v>7.6</v>
      </c>
      <c r="V438">
        <v>6.6</v>
      </c>
      <c r="W438">
        <v>7.5</v>
      </c>
      <c r="X438" t="s">
        <v>57</v>
      </c>
    </row>
    <row r="439" spans="2:24" x14ac:dyDescent="0.3">
      <c r="B439" t="s">
        <v>532</v>
      </c>
      <c r="C439" t="s">
        <v>53</v>
      </c>
      <c r="D439" t="s">
        <v>2</v>
      </c>
      <c r="E439" t="s">
        <v>14</v>
      </c>
      <c r="F439" t="s">
        <v>12</v>
      </c>
      <c r="G439" t="s">
        <v>60</v>
      </c>
      <c r="H439">
        <v>2025</v>
      </c>
      <c r="I439">
        <v>2410</v>
      </c>
      <c r="J439">
        <v>6.5</v>
      </c>
      <c r="K439" t="s">
        <v>25</v>
      </c>
      <c r="L439">
        <v>6.9</v>
      </c>
      <c r="M439">
        <v>3.5</v>
      </c>
      <c r="N439">
        <v>7122</v>
      </c>
      <c r="O439" t="s">
        <v>55</v>
      </c>
      <c r="P439">
        <v>39.200000000000003</v>
      </c>
      <c r="Q439" t="s">
        <v>76</v>
      </c>
      <c r="R439">
        <v>0.6</v>
      </c>
      <c r="S439">
        <v>55.1</v>
      </c>
      <c r="T439">
        <v>32.5</v>
      </c>
      <c r="U439">
        <v>4.9000000000000004</v>
      </c>
      <c r="V439">
        <v>8.9</v>
      </c>
      <c r="W439">
        <v>8.4</v>
      </c>
      <c r="X439" t="s">
        <v>57</v>
      </c>
    </row>
    <row r="440" spans="2:24" x14ac:dyDescent="0.3">
      <c r="B440" t="s">
        <v>533</v>
      </c>
      <c r="C440" t="s">
        <v>53</v>
      </c>
      <c r="D440" t="s">
        <v>3</v>
      </c>
      <c r="E440" t="s">
        <v>16</v>
      </c>
      <c r="F440" t="s">
        <v>12</v>
      </c>
      <c r="G440" t="s">
        <v>78</v>
      </c>
      <c r="H440">
        <v>2025</v>
      </c>
      <c r="I440">
        <v>1161</v>
      </c>
      <c r="J440">
        <v>7.1</v>
      </c>
      <c r="K440" t="s">
        <v>23</v>
      </c>
      <c r="L440">
        <v>7.1</v>
      </c>
      <c r="M440">
        <v>10</v>
      </c>
      <c r="N440">
        <v>2864</v>
      </c>
      <c r="O440" t="s">
        <v>64</v>
      </c>
      <c r="P440">
        <v>61.3</v>
      </c>
      <c r="Q440" t="s">
        <v>125</v>
      </c>
      <c r="R440">
        <v>61.7</v>
      </c>
      <c r="S440">
        <v>-5.9</v>
      </c>
      <c r="T440">
        <v>-5.8</v>
      </c>
      <c r="U440">
        <v>6.7</v>
      </c>
      <c r="V440">
        <v>4.5999999999999996</v>
      </c>
      <c r="W440">
        <v>5.2</v>
      </c>
      <c r="X440" t="s">
        <v>116</v>
      </c>
    </row>
    <row r="441" spans="2:24" x14ac:dyDescent="0.3">
      <c r="B441" t="s">
        <v>534</v>
      </c>
      <c r="C441" t="s">
        <v>106</v>
      </c>
      <c r="D441" t="s">
        <v>2</v>
      </c>
      <c r="E441" t="s">
        <v>15</v>
      </c>
      <c r="F441" t="s">
        <v>9</v>
      </c>
      <c r="G441" t="s">
        <v>69</v>
      </c>
      <c r="H441">
        <v>2025</v>
      </c>
      <c r="I441">
        <v>4602</v>
      </c>
      <c r="J441">
        <v>11.9</v>
      </c>
      <c r="K441" t="s">
        <v>25</v>
      </c>
      <c r="L441">
        <v>6.9</v>
      </c>
      <c r="M441">
        <v>7.2</v>
      </c>
      <c r="N441">
        <v>2155</v>
      </c>
      <c r="O441" t="s">
        <v>64</v>
      </c>
      <c r="P441">
        <v>66.900000000000006</v>
      </c>
      <c r="Q441" t="s">
        <v>56</v>
      </c>
      <c r="R441">
        <v>59</v>
      </c>
      <c r="S441">
        <v>5.6</v>
      </c>
      <c r="T441">
        <v>-5.2</v>
      </c>
      <c r="U441">
        <v>5.0999999999999996</v>
      </c>
      <c r="V441">
        <v>5</v>
      </c>
      <c r="W441">
        <v>4.5999999999999996</v>
      </c>
      <c r="X441" t="s">
        <v>116</v>
      </c>
    </row>
    <row r="442" spans="2:24" x14ac:dyDescent="0.3">
      <c r="B442" t="s">
        <v>535</v>
      </c>
      <c r="C442" t="s">
        <v>90</v>
      </c>
      <c r="D442" t="s">
        <v>5</v>
      </c>
      <c r="E442" t="s">
        <v>17</v>
      </c>
      <c r="F442" t="s">
        <v>10</v>
      </c>
      <c r="G442" t="s">
        <v>98</v>
      </c>
      <c r="H442">
        <v>2026</v>
      </c>
      <c r="I442">
        <v>1779</v>
      </c>
      <c r="J442">
        <v>3.2</v>
      </c>
      <c r="K442" t="s">
        <v>23</v>
      </c>
      <c r="L442">
        <v>5.4</v>
      </c>
      <c r="M442">
        <v>7.9</v>
      </c>
      <c r="N442">
        <v>662</v>
      </c>
      <c r="O442" t="s">
        <v>64</v>
      </c>
      <c r="P442">
        <v>62.3</v>
      </c>
      <c r="Q442" t="s">
        <v>76</v>
      </c>
      <c r="R442">
        <v>80.400000000000006</v>
      </c>
      <c r="S442">
        <v>3.6</v>
      </c>
      <c r="T442">
        <v>-2.2999999999999998</v>
      </c>
      <c r="U442">
        <v>4.2</v>
      </c>
      <c r="V442">
        <v>7.8</v>
      </c>
      <c r="W442">
        <v>6.6</v>
      </c>
      <c r="X442" t="s">
        <v>57</v>
      </c>
    </row>
    <row r="443" spans="2:24" x14ac:dyDescent="0.3">
      <c r="B443" t="s">
        <v>536</v>
      </c>
      <c r="C443" t="s">
        <v>122</v>
      </c>
      <c r="D443" t="s">
        <v>2</v>
      </c>
      <c r="E443" t="s">
        <v>18</v>
      </c>
      <c r="F443" t="s">
        <v>10</v>
      </c>
      <c r="G443" t="s">
        <v>63</v>
      </c>
      <c r="H443">
        <v>2024</v>
      </c>
      <c r="I443">
        <v>753</v>
      </c>
      <c r="J443">
        <v>2.6</v>
      </c>
      <c r="K443" t="s">
        <v>22</v>
      </c>
      <c r="L443">
        <v>9.6999999999999993</v>
      </c>
      <c r="M443">
        <v>10</v>
      </c>
      <c r="N443">
        <v>9970</v>
      </c>
      <c r="O443" t="s">
        <v>118</v>
      </c>
      <c r="P443">
        <v>62.3</v>
      </c>
      <c r="Q443" t="s">
        <v>56</v>
      </c>
      <c r="R443">
        <v>-38.4</v>
      </c>
      <c r="S443">
        <v>2.2000000000000002</v>
      </c>
      <c r="T443">
        <v>2.7</v>
      </c>
      <c r="U443">
        <v>9.4</v>
      </c>
      <c r="V443">
        <v>5.9</v>
      </c>
      <c r="W443">
        <v>4.9000000000000004</v>
      </c>
      <c r="X443" t="s">
        <v>57</v>
      </c>
    </row>
    <row r="444" spans="2:24" x14ac:dyDescent="0.3">
      <c r="B444" t="s">
        <v>537</v>
      </c>
      <c r="C444" t="s">
        <v>106</v>
      </c>
      <c r="D444" t="s">
        <v>3</v>
      </c>
      <c r="E444" t="s">
        <v>14</v>
      </c>
      <c r="F444" t="s">
        <v>11</v>
      </c>
      <c r="G444" t="s">
        <v>101</v>
      </c>
      <c r="H444">
        <v>2024</v>
      </c>
      <c r="I444">
        <v>1852</v>
      </c>
      <c r="J444">
        <v>4.3</v>
      </c>
      <c r="K444" t="s">
        <v>22</v>
      </c>
      <c r="L444">
        <v>5.4</v>
      </c>
      <c r="M444">
        <v>6.2</v>
      </c>
      <c r="N444">
        <v>499</v>
      </c>
      <c r="O444" t="s">
        <v>64</v>
      </c>
      <c r="P444">
        <v>71.400000000000006</v>
      </c>
      <c r="Q444" t="s">
        <v>86</v>
      </c>
      <c r="R444">
        <v>82.5</v>
      </c>
      <c r="S444">
        <v>8.4</v>
      </c>
      <c r="T444">
        <v>8.1999999999999993</v>
      </c>
      <c r="U444">
        <v>3.9</v>
      </c>
      <c r="V444">
        <v>5.2</v>
      </c>
      <c r="W444">
        <v>7.4</v>
      </c>
      <c r="X444" t="s">
        <v>57</v>
      </c>
    </row>
    <row r="445" spans="2:24" x14ac:dyDescent="0.3">
      <c r="B445" t="s">
        <v>538</v>
      </c>
      <c r="C445" t="s">
        <v>71</v>
      </c>
      <c r="D445" t="s">
        <v>6</v>
      </c>
      <c r="E445" t="s">
        <v>15</v>
      </c>
      <c r="F445" t="s">
        <v>10</v>
      </c>
      <c r="G445" t="s">
        <v>101</v>
      </c>
      <c r="H445">
        <v>2024</v>
      </c>
      <c r="I445">
        <v>4395</v>
      </c>
      <c r="J445">
        <v>16.600000000000001</v>
      </c>
      <c r="K445" t="s">
        <v>25</v>
      </c>
      <c r="L445">
        <v>2</v>
      </c>
      <c r="M445">
        <v>5.7</v>
      </c>
      <c r="N445">
        <v>1113</v>
      </c>
      <c r="O445" t="s">
        <v>64</v>
      </c>
      <c r="P445">
        <v>68.3</v>
      </c>
      <c r="Q445" t="s">
        <v>125</v>
      </c>
      <c r="R445">
        <v>-34</v>
      </c>
      <c r="S445">
        <v>29.2</v>
      </c>
      <c r="T445">
        <v>7.4</v>
      </c>
      <c r="U445">
        <v>2.4</v>
      </c>
      <c r="V445">
        <v>8.3000000000000007</v>
      </c>
      <c r="W445">
        <v>5.7</v>
      </c>
      <c r="X445" t="s">
        <v>116</v>
      </c>
    </row>
    <row r="446" spans="2:24" x14ac:dyDescent="0.3">
      <c r="B446" t="s">
        <v>539</v>
      </c>
      <c r="C446" t="s">
        <v>90</v>
      </c>
      <c r="D446" t="s">
        <v>2</v>
      </c>
      <c r="E446" t="s">
        <v>15</v>
      </c>
      <c r="F446" t="s">
        <v>9</v>
      </c>
      <c r="G446" t="s">
        <v>54</v>
      </c>
      <c r="H446">
        <v>2026</v>
      </c>
      <c r="I446">
        <v>1033</v>
      </c>
      <c r="J446">
        <v>9.5</v>
      </c>
      <c r="K446" t="s">
        <v>21</v>
      </c>
      <c r="L446">
        <v>6.8</v>
      </c>
      <c r="M446">
        <v>10</v>
      </c>
      <c r="N446">
        <v>9929</v>
      </c>
      <c r="O446" t="s">
        <v>118</v>
      </c>
      <c r="P446">
        <v>79.400000000000006</v>
      </c>
      <c r="Q446" t="s">
        <v>76</v>
      </c>
      <c r="R446">
        <v>11.7</v>
      </c>
      <c r="S446">
        <v>-20.100000000000001</v>
      </c>
      <c r="T446">
        <v>1.5</v>
      </c>
      <c r="U446">
        <v>6.8</v>
      </c>
      <c r="V446">
        <v>7.4</v>
      </c>
      <c r="W446">
        <v>3.5</v>
      </c>
      <c r="X446" t="s">
        <v>116</v>
      </c>
    </row>
    <row r="447" spans="2:24" x14ac:dyDescent="0.3">
      <c r="B447" t="s">
        <v>540</v>
      </c>
      <c r="C447" t="s">
        <v>100</v>
      </c>
      <c r="D447" t="s">
        <v>3</v>
      </c>
      <c r="E447" t="s">
        <v>18</v>
      </c>
      <c r="F447" t="s">
        <v>10</v>
      </c>
      <c r="G447" t="s">
        <v>98</v>
      </c>
      <c r="H447">
        <v>2024</v>
      </c>
      <c r="I447">
        <v>5244</v>
      </c>
      <c r="J447">
        <v>5</v>
      </c>
      <c r="K447" t="s">
        <v>25</v>
      </c>
      <c r="L447">
        <v>3.8</v>
      </c>
      <c r="M447">
        <v>4.7</v>
      </c>
      <c r="N447">
        <v>1741</v>
      </c>
      <c r="O447" t="s">
        <v>64</v>
      </c>
      <c r="P447">
        <v>77.400000000000006</v>
      </c>
      <c r="Q447" t="s">
        <v>86</v>
      </c>
      <c r="R447">
        <v>20.3</v>
      </c>
      <c r="S447">
        <v>7.6</v>
      </c>
      <c r="T447">
        <v>4.9000000000000004</v>
      </c>
      <c r="U447">
        <v>6.2</v>
      </c>
      <c r="V447">
        <v>8.4</v>
      </c>
      <c r="W447">
        <v>7.8</v>
      </c>
      <c r="X447" t="s">
        <v>116</v>
      </c>
    </row>
    <row r="448" spans="2:24" x14ac:dyDescent="0.3">
      <c r="B448" t="s">
        <v>541</v>
      </c>
      <c r="C448" t="s">
        <v>81</v>
      </c>
      <c r="D448" t="s">
        <v>5</v>
      </c>
      <c r="E448" t="s">
        <v>19</v>
      </c>
      <c r="F448" t="s">
        <v>12</v>
      </c>
      <c r="G448" t="s">
        <v>54</v>
      </c>
      <c r="H448">
        <v>2025</v>
      </c>
      <c r="I448">
        <v>19481</v>
      </c>
      <c r="J448">
        <v>33.1</v>
      </c>
      <c r="K448" t="s">
        <v>25</v>
      </c>
      <c r="L448">
        <v>8.6999999999999993</v>
      </c>
      <c r="M448">
        <v>10</v>
      </c>
      <c r="N448">
        <v>523</v>
      </c>
      <c r="O448" t="s">
        <v>75</v>
      </c>
      <c r="P448">
        <v>23.4</v>
      </c>
      <c r="Q448" t="s">
        <v>84</v>
      </c>
      <c r="R448">
        <v>24</v>
      </c>
      <c r="S448">
        <v>20.2</v>
      </c>
      <c r="T448">
        <v>9.4</v>
      </c>
      <c r="U448">
        <v>9.6999999999999993</v>
      </c>
      <c r="V448">
        <v>5</v>
      </c>
      <c r="W448">
        <v>2.8</v>
      </c>
      <c r="X448" t="s">
        <v>66</v>
      </c>
    </row>
    <row r="449" spans="2:24" x14ac:dyDescent="0.3">
      <c r="B449" t="s">
        <v>542</v>
      </c>
      <c r="C449" t="s">
        <v>92</v>
      </c>
      <c r="D449" t="s">
        <v>7</v>
      </c>
      <c r="E449" t="s">
        <v>17</v>
      </c>
      <c r="F449" t="s">
        <v>11</v>
      </c>
      <c r="G449" t="s">
        <v>78</v>
      </c>
      <c r="H449">
        <v>2026</v>
      </c>
      <c r="I449">
        <v>1262</v>
      </c>
      <c r="J449">
        <v>0.7</v>
      </c>
      <c r="K449" t="s">
        <v>25</v>
      </c>
      <c r="L449">
        <v>6.5</v>
      </c>
      <c r="M449">
        <v>9.1999999999999993</v>
      </c>
      <c r="N449">
        <v>5194</v>
      </c>
      <c r="O449" t="s">
        <v>55</v>
      </c>
      <c r="P449">
        <v>77.2</v>
      </c>
      <c r="Q449" t="s">
        <v>79</v>
      </c>
      <c r="R449">
        <v>-2</v>
      </c>
      <c r="S449">
        <v>34.700000000000003</v>
      </c>
      <c r="T449">
        <v>21.5</v>
      </c>
      <c r="U449">
        <v>6.1</v>
      </c>
      <c r="V449">
        <v>8.6</v>
      </c>
      <c r="W449">
        <v>8.1</v>
      </c>
      <c r="X449" t="s">
        <v>57</v>
      </c>
    </row>
    <row r="450" spans="2:24" x14ac:dyDescent="0.3">
      <c r="B450" t="s">
        <v>543</v>
      </c>
      <c r="C450" t="s">
        <v>106</v>
      </c>
      <c r="D450" t="s">
        <v>2</v>
      </c>
      <c r="E450" t="s">
        <v>18</v>
      </c>
      <c r="F450" t="s">
        <v>10</v>
      </c>
      <c r="G450" t="s">
        <v>101</v>
      </c>
      <c r="H450">
        <v>2025</v>
      </c>
      <c r="I450">
        <v>2370</v>
      </c>
      <c r="J450">
        <v>9</v>
      </c>
      <c r="K450" t="s">
        <v>24</v>
      </c>
      <c r="L450">
        <v>2.7</v>
      </c>
      <c r="M450">
        <v>7</v>
      </c>
      <c r="N450">
        <v>1579</v>
      </c>
      <c r="O450" t="s">
        <v>64</v>
      </c>
      <c r="P450">
        <v>16.399999999999999</v>
      </c>
      <c r="Q450" t="s">
        <v>56</v>
      </c>
      <c r="R450">
        <v>-38</v>
      </c>
      <c r="S450">
        <v>7.5</v>
      </c>
      <c r="T450">
        <v>-0.1</v>
      </c>
      <c r="U450">
        <v>3.5</v>
      </c>
      <c r="V450">
        <v>8.5</v>
      </c>
      <c r="W450">
        <v>5.5</v>
      </c>
      <c r="X450" t="s">
        <v>57</v>
      </c>
    </row>
    <row r="451" spans="2:24" x14ac:dyDescent="0.3">
      <c r="B451" t="s">
        <v>544</v>
      </c>
      <c r="C451" t="s">
        <v>97</v>
      </c>
      <c r="D451" t="s">
        <v>3</v>
      </c>
      <c r="E451" t="s">
        <v>19</v>
      </c>
      <c r="F451" t="s">
        <v>10</v>
      </c>
      <c r="G451" t="s">
        <v>74</v>
      </c>
      <c r="H451">
        <v>2025</v>
      </c>
      <c r="I451">
        <v>1106</v>
      </c>
      <c r="J451">
        <v>17.399999999999999</v>
      </c>
      <c r="K451" t="s">
        <v>21</v>
      </c>
      <c r="L451">
        <v>8.4</v>
      </c>
      <c r="M451">
        <v>10</v>
      </c>
      <c r="N451">
        <v>3076</v>
      </c>
      <c r="O451" t="s">
        <v>64</v>
      </c>
      <c r="P451">
        <v>85</v>
      </c>
      <c r="Q451" t="s">
        <v>88</v>
      </c>
      <c r="R451">
        <v>16.899999999999999</v>
      </c>
      <c r="S451">
        <v>30.7</v>
      </c>
      <c r="T451">
        <v>18.100000000000001</v>
      </c>
      <c r="U451">
        <v>8.1999999999999993</v>
      </c>
      <c r="V451">
        <v>5.5</v>
      </c>
      <c r="W451">
        <v>4.7</v>
      </c>
      <c r="X451" t="s">
        <v>116</v>
      </c>
    </row>
    <row r="452" spans="2:24" x14ac:dyDescent="0.3">
      <c r="B452" t="s">
        <v>545</v>
      </c>
      <c r="C452" t="s">
        <v>53</v>
      </c>
      <c r="D452" t="s">
        <v>2</v>
      </c>
      <c r="E452" t="s">
        <v>17</v>
      </c>
      <c r="F452" t="s">
        <v>10</v>
      </c>
      <c r="G452" t="s">
        <v>78</v>
      </c>
      <c r="H452">
        <v>2025</v>
      </c>
      <c r="I452">
        <v>2301</v>
      </c>
      <c r="J452">
        <v>3</v>
      </c>
      <c r="K452" t="s">
        <v>23</v>
      </c>
      <c r="L452">
        <v>6.4</v>
      </c>
      <c r="M452">
        <v>10</v>
      </c>
      <c r="N452">
        <v>7288</v>
      </c>
      <c r="O452" t="s">
        <v>55</v>
      </c>
      <c r="P452">
        <v>17.600000000000001</v>
      </c>
      <c r="Q452" t="s">
        <v>76</v>
      </c>
      <c r="R452">
        <v>2</v>
      </c>
      <c r="S452">
        <v>21</v>
      </c>
      <c r="T452">
        <v>7</v>
      </c>
      <c r="U452">
        <v>7.3</v>
      </c>
      <c r="V452">
        <v>6.5</v>
      </c>
      <c r="W452">
        <v>7.1</v>
      </c>
      <c r="X452" t="s">
        <v>57</v>
      </c>
    </row>
    <row r="453" spans="2:24" x14ac:dyDescent="0.3">
      <c r="B453" t="s">
        <v>546</v>
      </c>
      <c r="C453" t="s">
        <v>142</v>
      </c>
      <c r="D453" t="s">
        <v>8</v>
      </c>
      <c r="E453" t="s">
        <v>19</v>
      </c>
      <c r="F453" t="s">
        <v>10</v>
      </c>
      <c r="G453" t="s">
        <v>112</v>
      </c>
      <c r="H453">
        <v>2026</v>
      </c>
      <c r="I453">
        <v>10530</v>
      </c>
      <c r="J453">
        <v>38.5</v>
      </c>
      <c r="K453" t="s">
        <v>22</v>
      </c>
      <c r="L453">
        <v>3</v>
      </c>
      <c r="M453">
        <v>10</v>
      </c>
      <c r="N453">
        <v>1672</v>
      </c>
      <c r="O453" t="s">
        <v>75</v>
      </c>
      <c r="P453">
        <v>24.8</v>
      </c>
      <c r="Q453" t="s">
        <v>84</v>
      </c>
      <c r="R453">
        <v>-1.6</v>
      </c>
      <c r="S453">
        <v>15.3</v>
      </c>
      <c r="T453">
        <v>0.4</v>
      </c>
      <c r="U453">
        <v>2.2999999999999998</v>
      </c>
      <c r="V453">
        <v>3.7</v>
      </c>
      <c r="W453">
        <v>2</v>
      </c>
      <c r="X453" t="s">
        <v>66</v>
      </c>
    </row>
    <row r="454" spans="2:24" x14ac:dyDescent="0.3">
      <c r="B454" t="s">
        <v>547</v>
      </c>
      <c r="C454" t="s">
        <v>159</v>
      </c>
      <c r="D454" t="s">
        <v>7</v>
      </c>
      <c r="E454" t="s">
        <v>18</v>
      </c>
      <c r="F454" t="s">
        <v>11</v>
      </c>
      <c r="G454" t="s">
        <v>69</v>
      </c>
      <c r="H454">
        <v>2025</v>
      </c>
      <c r="I454">
        <v>4972</v>
      </c>
      <c r="J454">
        <v>14.5</v>
      </c>
      <c r="K454" t="s">
        <v>22</v>
      </c>
      <c r="L454">
        <v>2.2000000000000002</v>
      </c>
      <c r="M454">
        <v>5.7</v>
      </c>
      <c r="N454">
        <v>1305</v>
      </c>
      <c r="O454" t="s">
        <v>64</v>
      </c>
      <c r="P454">
        <v>48.3</v>
      </c>
      <c r="Q454" t="s">
        <v>76</v>
      </c>
      <c r="R454">
        <v>66.099999999999994</v>
      </c>
      <c r="S454">
        <v>6.8</v>
      </c>
      <c r="T454">
        <v>7.8</v>
      </c>
      <c r="U454">
        <v>2.1</v>
      </c>
      <c r="V454">
        <v>5.3</v>
      </c>
      <c r="W454">
        <v>5.7</v>
      </c>
      <c r="X454" t="s">
        <v>116</v>
      </c>
    </row>
    <row r="455" spans="2:24" x14ac:dyDescent="0.3">
      <c r="B455" t="s">
        <v>548</v>
      </c>
      <c r="C455" t="s">
        <v>100</v>
      </c>
      <c r="D455" t="s">
        <v>3</v>
      </c>
      <c r="E455" t="s">
        <v>15</v>
      </c>
      <c r="F455" t="s">
        <v>12</v>
      </c>
      <c r="G455" t="s">
        <v>98</v>
      </c>
      <c r="H455">
        <v>2025</v>
      </c>
      <c r="I455">
        <v>830</v>
      </c>
      <c r="J455">
        <v>4.5999999999999996</v>
      </c>
      <c r="K455" t="s">
        <v>21</v>
      </c>
      <c r="L455">
        <v>6.4</v>
      </c>
      <c r="M455">
        <v>9.1</v>
      </c>
      <c r="N455">
        <v>4859</v>
      </c>
      <c r="O455" t="s">
        <v>118</v>
      </c>
      <c r="P455">
        <v>28</v>
      </c>
      <c r="Q455" t="s">
        <v>56</v>
      </c>
      <c r="R455">
        <v>2.1</v>
      </c>
      <c r="S455">
        <v>9.4</v>
      </c>
      <c r="T455">
        <v>11.5</v>
      </c>
      <c r="U455">
        <v>9.8000000000000007</v>
      </c>
      <c r="V455">
        <v>8.8000000000000007</v>
      </c>
      <c r="W455">
        <v>5.3</v>
      </c>
      <c r="X455" t="s">
        <v>57</v>
      </c>
    </row>
    <row r="456" spans="2:24" x14ac:dyDescent="0.3">
      <c r="B456" t="s">
        <v>549</v>
      </c>
      <c r="C456" t="s">
        <v>59</v>
      </c>
      <c r="D456" t="s">
        <v>4</v>
      </c>
      <c r="E456" t="s">
        <v>16</v>
      </c>
      <c r="F456" t="s">
        <v>9</v>
      </c>
      <c r="G456" t="s">
        <v>98</v>
      </c>
      <c r="H456">
        <v>2026</v>
      </c>
      <c r="I456">
        <v>2402</v>
      </c>
      <c r="J456">
        <v>3.9</v>
      </c>
      <c r="K456" t="s">
        <v>23</v>
      </c>
      <c r="L456">
        <v>8</v>
      </c>
      <c r="M456">
        <v>4.0999999999999996</v>
      </c>
      <c r="N456">
        <v>222</v>
      </c>
      <c r="O456" t="s">
        <v>55</v>
      </c>
      <c r="P456">
        <v>68.099999999999994</v>
      </c>
      <c r="Q456" t="s">
        <v>65</v>
      </c>
      <c r="R456">
        <v>38.6</v>
      </c>
      <c r="S456">
        <v>27.5</v>
      </c>
      <c r="T456">
        <v>17.8</v>
      </c>
      <c r="U456">
        <v>8.6999999999999993</v>
      </c>
      <c r="V456">
        <v>7.1</v>
      </c>
      <c r="W456">
        <v>8.4</v>
      </c>
      <c r="X456" t="s">
        <v>57</v>
      </c>
    </row>
    <row r="457" spans="2:24" x14ac:dyDescent="0.3">
      <c r="B457" t="s">
        <v>550</v>
      </c>
      <c r="C457" t="s">
        <v>68</v>
      </c>
      <c r="D457" t="s">
        <v>8</v>
      </c>
      <c r="E457" t="s">
        <v>18</v>
      </c>
      <c r="F457" t="s">
        <v>10</v>
      </c>
      <c r="G457" t="s">
        <v>69</v>
      </c>
      <c r="H457">
        <v>2024</v>
      </c>
      <c r="I457">
        <v>4546</v>
      </c>
      <c r="J457">
        <v>12.7</v>
      </c>
      <c r="K457" t="s">
        <v>25</v>
      </c>
      <c r="L457">
        <v>2.2999999999999998</v>
      </c>
      <c r="M457">
        <v>5.6</v>
      </c>
      <c r="N457">
        <v>3191</v>
      </c>
      <c r="O457" t="s">
        <v>64</v>
      </c>
      <c r="P457">
        <v>75.2</v>
      </c>
      <c r="Q457" t="s">
        <v>125</v>
      </c>
      <c r="R457">
        <v>45.3</v>
      </c>
      <c r="S457">
        <v>1.2</v>
      </c>
      <c r="T457">
        <v>-7.9</v>
      </c>
      <c r="U457">
        <v>2.5</v>
      </c>
      <c r="V457">
        <v>5.6</v>
      </c>
      <c r="W457">
        <v>5.9</v>
      </c>
      <c r="X457" t="s">
        <v>116</v>
      </c>
    </row>
    <row r="458" spans="2:24" x14ac:dyDescent="0.3">
      <c r="B458" t="s">
        <v>551</v>
      </c>
      <c r="C458" t="s">
        <v>53</v>
      </c>
      <c r="D458" t="s">
        <v>7</v>
      </c>
      <c r="E458" t="s">
        <v>14</v>
      </c>
      <c r="F458" t="s">
        <v>9</v>
      </c>
      <c r="G458" t="s">
        <v>60</v>
      </c>
      <c r="H458">
        <v>2026</v>
      </c>
      <c r="I458">
        <v>5042</v>
      </c>
      <c r="J458">
        <v>13.2</v>
      </c>
      <c r="K458" t="s">
        <v>24</v>
      </c>
      <c r="L458">
        <v>16.100000000000001</v>
      </c>
      <c r="M458">
        <v>8.1999999999999993</v>
      </c>
      <c r="N458">
        <v>1959</v>
      </c>
      <c r="O458" t="s">
        <v>55</v>
      </c>
      <c r="P458">
        <v>53.6</v>
      </c>
      <c r="Q458" t="s">
        <v>125</v>
      </c>
      <c r="R458">
        <v>-14.3</v>
      </c>
      <c r="S458">
        <v>35.5</v>
      </c>
      <c r="T458">
        <v>19.7</v>
      </c>
      <c r="U458">
        <v>9.6999999999999993</v>
      </c>
      <c r="V458">
        <v>5.0999999999999996</v>
      </c>
      <c r="W458">
        <v>5.9</v>
      </c>
      <c r="X458" t="s">
        <v>66</v>
      </c>
    </row>
    <row r="459" spans="2:24" x14ac:dyDescent="0.3">
      <c r="B459" t="s">
        <v>552</v>
      </c>
      <c r="C459" t="s">
        <v>100</v>
      </c>
      <c r="D459" t="s">
        <v>3</v>
      </c>
      <c r="E459" t="s">
        <v>14</v>
      </c>
      <c r="F459" t="s">
        <v>9</v>
      </c>
      <c r="G459" t="s">
        <v>101</v>
      </c>
      <c r="H459">
        <v>2026</v>
      </c>
      <c r="I459">
        <v>356</v>
      </c>
      <c r="J459">
        <v>4.0999999999999996</v>
      </c>
      <c r="K459" t="s">
        <v>21</v>
      </c>
      <c r="L459">
        <v>2.2000000000000002</v>
      </c>
      <c r="M459">
        <v>3.4</v>
      </c>
      <c r="N459">
        <v>5930</v>
      </c>
      <c r="O459" t="s">
        <v>55</v>
      </c>
      <c r="P459">
        <v>75.099999999999994</v>
      </c>
      <c r="Q459" t="s">
        <v>125</v>
      </c>
      <c r="R459">
        <v>73.2</v>
      </c>
      <c r="S459">
        <v>-14.9</v>
      </c>
      <c r="T459">
        <v>-0.6</v>
      </c>
      <c r="U459">
        <v>2.7</v>
      </c>
      <c r="V459">
        <v>6.8</v>
      </c>
      <c r="W459">
        <v>5.9</v>
      </c>
      <c r="X459" t="s">
        <v>57</v>
      </c>
    </row>
    <row r="460" spans="2:24" x14ac:dyDescent="0.3">
      <c r="B460" t="s">
        <v>553</v>
      </c>
      <c r="C460" t="s">
        <v>83</v>
      </c>
      <c r="D460" t="s">
        <v>4</v>
      </c>
      <c r="E460" t="s">
        <v>19</v>
      </c>
      <c r="F460" t="s">
        <v>12</v>
      </c>
      <c r="G460" t="s">
        <v>131</v>
      </c>
      <c r="H460">
        <v>2025</v>
      </c>
      <c r="I460">
        <v>18916</v>
      </c>
      <c r="J460">
        <v>39.4</v>
      </c>
      <c r="K460" t="s">
        <v>24</v>
      </c>
      <c r="L460">
        <v>10.5</v>
      </c>
      <c r="M460">
        <v>10</v>
      </c>
      <c r="N460">
        <v>1170</v>
      </c>
      <c r="O460" t="s">
        <v>64</v>
      </c>
      <c r="P460">
        <v>44.5</v>
      </c>
      <c r="Q460" t="s">
        <v>76</v>
      </c>
      <c r="R460">
        <v>34.4</v>
      </c>
      <c r="S460">
        <v>41.7</v>
      </c>
      <c r="T460">
        <v>0</v>
      </c>
      <c r="U460">
        <v>9.8000000000000007</v>
      </c>
      <c r="V460">
        <v>5.9</v>
      </c>
      <c r="W460">
        <v>2.9</v>
      </c>
      <c r="X460" t="s">
        <v>66</v>
      </c>
    </row>
    <row r="461" spans="2:24" x14ac:dyDescent="0.3">
      <c r="B461" t="s">
        <v>554</v>
      </c>
      <c r="C461" t="s">
        <v>92</v>
      </c>
      <c r="D461" t="s">
        <v>7</v>
      </c>
      <c r="E461" t="s">
        <v>18</v>
      </c>
      <c r="F461" t="s">
        <v>11</v>
      </c>
      <c r="G461" t="s">
        <v>69</v>
      </c>
      <c r="H461">
        <v>2024</v>
      </c>
      <c r="I461">
        <v>1137</v>
      </c>
      <c r="J461">
        <v>3.8</v>
      </c>
      <c r="K461" t="s">
        <v>23</v>
      </c>
      <c r="L461">
        <v>10.199999999999999</v>
      </c>
      <c r="M461">
        <v>7.8</v>
      </c>
      <c r="N461">
        <v>3669</v>
      </c>
      <c r="O461" t="s">
        <v>55</v>
      </c>
      <c r="P461">
        <v>74.2</v>
      </c>
      <c r="Q461" t="s">
        <v>84</v>
      </c>
      <c r="R461">
        <v>46.3</v>
      </c>
      <c r="S461">
        <v>44.5</v>
      </c>
      <c r="T461">
        <v>21.9</v>
      </c>
      <c r="U461">
        <v>10</v>
      </c>
      <c r="V461">
        <v>7.1</v>
      </c>
      <c r="W461">
        <v>6.8</v>
      </c>
      <c r="X461" t="s">
        <v>57</v>
      </c>
    </row>
    <row r="462" spans="2:24" x14ac:dyDescent="0.3">
      <c r="B462" t="s">
        <v>555</v>
      </c>
      <c r="C462" t="s">
        <v>90</v>
      </c>
      <c r="D462" t="s">
        <v>6</v>
      </c>
      <c r="E462" t="s">
        <v>15</v>
      </c>
      <c r="F462" t="s">
        <v>12</v>
      </c>
      <c r="G462" t="s">
        <v>101</v>
      </c>
      <c r="H462">
        <v>2026</v>
      </c>
      <c r="I462">
        <v>6092</v>
      </c>
      <c r="J462">
        <v>39</v>
      </c>
      <c r="K462" t="s">
        <v>21</v>
      </c>
      <c r="L462">
        <v>0.8</v>
      </c>
      <c r="M462">
        <v>7.1</v>
      </c>
      <c r="N462">
        <v>1492</v>
      </c>
      <c r="O462" t="s">
        <v>75</v>
      </c>
      <c r="P462">
        <v>56.5</v>
      </c>
      <c r="Q462" t="s">
        <v>84</v>
      </c>
      <c r="R462">
        <v>-42.1</v>
      </c>
      <c r="S462">
        <v>-11.8</v>
      </c>
      <c r="T462">
        <v>-13.4</v>
      </c>
      <c r="U462">
        <v>1.1000000000000001</v>
      </c>
      <c r="V462">
        <v>1.8</v>
      </c>
      <c r="W462">
        <v>2.6</v>
      </c>
      <c r="X462" t="s">
        <v>66</v>
      </c>
    </row>
    <row r="463" spans="2:24" x14ac:dyDescent="0.3">
      <c r="B463" t="s">
        <v>556</v>
      </c>
      <c r="C463" t="s">
        <v>83</v>
      </c>
      <c r="D463" t="s">
        <v>4</v>
      </c>
      <c r="E463" t="s">
        <v>16</v>
      </c>
      <c r="F463" t="s">
        <v>9</v>
      </c>
      <c r="G463" t="s">
        <v>131</v>
      </c>
      <c r="H463">
        <v>2024</v>
      </c>
      <c r="I463">
        <v>6623</v>
      </c>
      <c r="J463">
        <v>24.1</v>
      </c>
      <c r="K463" t="s">
        <v>23</v>
      </c>
      <c r="L463">
        <v>7.2</v>
      </c>
      <c r="M463">
        <v>9.3000000000000007</v>
      </c>
      <c r="N463">
        <v>1047</v>
      </c>
      <c r="O463" t="s">
        <v>64</v>
      </c>
      <c r="P463">
        <v>53.2</v>
      </c>
      <c r="Q463" t="s">
        <v>56</v>
      </c>
      <c r="R463">
        <v>2.2000000000000002</v>
      </c>
      <c r="S463">
        <v>57.1</v>
      </c>
      <c r="T463">
        <v>11.5</v>
      </c>
      <c r="U463">
        <v>8</v>
      </c>
      <c r="V463">
        <v>7.7</v>
      </c>
      <c r="W463">
        <v>4.7</v>
      </c>
      <c r="X463" t="s">
        <v>66</v>
      </c>
    </row>
    <row r="464" spans="2:24" x14ac:dyDescent="0.3">
      <c r="B464" t="s">
        <v>557</v>
      </c>
      <c r="C464" t="s">
        <v>106</v>
      </c>
      <c r="D464" t="s">
        <v>4</v>
      </c>
      <c r="E464" t="s">
        <v>19</v>
      </c>
      <c r="F464" t="s">
        <v>12</v>
      </c>
      <c r="G464" t="s">
        <v>60</v>
      </c>
      <c r="H464">
        <v>2025</v>
      </c>
      <c r="I464">
        <v>5015</v>
      </c>
      <c r="J464">
        <v>11.1</v>
      </c>
      <c r="K464" t="s">
        <v>24</v>
      </c>
      <c r="L464">
        <v>5.0999999999999996</v>
      </c>
      <c r="M464">
        <v>6.5</v>
      </c>
      <c r="N464">
        <v>3927</v>
      </c>
      <c r="O464" t="s">
        <v>64</v>
      </c>
      <c r="P464">
        <v>78.2</v>
      </c>
      <c r="Q464" t="s">
        <v>84</v>
      </c>
      <c r="R464">
        <v>-4.7</v>
      </c>
      <c r="S464">
        <v>59.7</v>
      </c>
      <c r="T464">
        <v>20.9</v>
      </c>
      <c r="U464">
        <v>3.5</v>
      </c>
      <c r="V464">
        <v>9.5</v>
      </c>
      <c r="W464">
        <v>7</v>
      </c>
      <c r="X464" t="s">
        <v>116</v>
      </c>
    </row>
    <row r="465" spans="2:24" x14ac:dyDescent="0.3">
      <c r="B465" t="s">
        <v>558</v>
      </c>
      <c r="C465" t="s">
        <v>100</v>
      </c>
      <c r="D465" t="s">
        <v>3</v>
      </c>
      <c r="E465" t="s">
        <v>18</v>
      </c>
      <c r="F465" t="s">
        <v>11</v>
      </c>
      <c r="G465" t="s">
        <v>63</v>
      </c>
      <c r="H465">
        <v>2025</v>
      </c>
      <c r="I465">
        <v>1265</v>
      </c>
      <c r="J465">
        <v>4.5999999999999996</v>
      </c>
      <c r="K465" t="s">
        <v>21</v>
      </c>
      <c r="L465">
        <v>14.5</v>
      </c>
      <c r="M465">
        <v>10</v>
      </c>
      <c r="N465">
        <v>3423</v>
      </c>
      <c r="O465" t="s">
        <v>55</v>
      </c>
      <c r="P465">
        <v>16.5</v>
      </c>
      <c r="Q465" t="s">
        <v>86</v>
      </c>
      <c r="R465">
        <v>89.2</v>
      </c>
      <c r="S465">
        <v>-20.9</v>
      </c>
      <c r="T465">
        <v>-1.5</v>
      </c>
      <c r="U465">
        <v>8.6999999999999993</v>
      </c>
      <c r="V465">
        <v>7.4</v>
      </c>
      <c r="W465">
        <v>5.2</v>
      </c>
      <c r="X465" t="s">
        <v>57</v>
      </c>
    </row>
    <row r="466" spans="2:24" x14ac:dyDescent="0.3">
      <c r="B466" t="s">
        <v>559</v>
      </c>
      <c r="C466" t="s">
        <v>90</v>
      </c>
      <c r="D466" t="s">
        <v>5</v>
      </c>
      <c r="E466" t="s">
        <v>19</v>
      </c>
      <c r="F466" t="s">
        <v>9</v>
      </c>
      <c r="G466" t="s">
        <v>131</v>
      </c>
      <c r="H466">
        <v>2025</v>
      </c>
      <c r="I466">
        <v>584</v>
      </c>
      <c r="J466">
        <v>1.5</v>
      </c>
      <c r="K466" t="s">
        <v>22</v>
      </c>
      <c r="L466">
        <v>2.4</v>
      </c>
      <c r="M466">
        <v>4.9000000000000004</v>
      </c>
      <c r="N466">
        <v>5812</v>
      </c>
      <c r="O466" t="s">
        <v>55</v>
      </c>
      <c r="P466">
        <v>71.099999999999994</v>
      </c>
      <c r="Q466" t="s">
        <v>125</v>
      </c>
      <c r="R466">
        <v>83.5</v>
      </c>
      <c r="S466">
        <v>29.9</v>
      </c>
      <c r="T466">
        <v>12</v>
      </c>
      <c r="U466">
        <v>2.8</v>
      </c>
      <c r="V466">
        <v>7.7</v>
      </c>
      <c r="W466">
        <v>7.6</v>
      </c>
      <c r="X466" t="s">
        <v>57</v>
      </c>
    </row>
    <row r="467" spans="2:24" x14ac:dyDescent="0.3">
      <c r="B467" t="s">
        <v>560</v>
      </c>
      <c r="C467" t="s">
        <v>90</v>
      </c>
      <c r="D467" t="s">
        <v>6</v>
      </c>
      <c r="E467" t="s">
        <v>14</v>
      </c>
      <c r="F467" t="s">
        <v>11</v>
      </c>
      <c r="G467" t="s">
        <v>78</v>
      </c>
      <c r="H467">
        <v>2024</v>
      </c>
      <c r="I467">
        <v>16706</v>
      </c>
      <c r="J467">
        <v>11.4</v>
      </c>
      <c r="K467" t="s">
        <v>22</v>
      </c>
      <c r="L467">
        <v>2.2000000000000002</v>
      </c>
      <c r="M467">
        <v>3.5</v>
      </c>
      <c r="N467">
        <v>1106</v>
      </c>
      <c r="O467" t="s">
        <v>75</v>
      </c>
      <c r="P467">
        <v>40.299999999999997</v>
      </c>
      <c r="Q467" t="s">
        <v>125</v>
      </c>
      <c r="R467">
        <v>54</v>
      </c>
      <c r="S467">
        <v>42.3</v>
      </c>
      <c r="T467">
        <v>15.2</v>
      </c>
      <c r="U467">
        <v>1.8</v>
      </c>
      <c r="V467">
        <v>7</v>
      </c>
      <c r="W467">
        <v>8.1</v>
      </c>
      <c r="X467" t="s">
        <v>66</v>
      </c>
    </row>
    <row r="468" spans="2:24" x14ac:dyDescent="0.3">
      <c r="B468" t="s">
        <v>561</v>
      </c>
      <c r="C468" t="s">
        <v>106</v>
      </c>
      <c r="D468" t="s">
        <v>2</v>
      </c>
      <c r="E468" t="s">
        <v>18</v>
      </c>
      <c r="F468" t="s">
        <v>9</v>
      </c>
      <c r="G468" t="s">
        <v>131</v>
      </c>
      <c r="H468">
        <v>2024</v>
      </c>
      <c r="I468">
        <v>691</v>
      </c>
      <c r="J468">
        <v>4.8</v>
      </c>
      <c r="K468" t="s">
        <v>23</v>
      </c>
      <c r="L468">
        <v>2.1</v>
      </c>
      <c r="M468">
        <v>4.5</v>
      </c>
      <c r="N468">
        <v>1906</v>
      </c>
      <c r="O468" t="s">
        <v>64</v>
      </c>
      <c r="P468">
        <v>74.400000000000006</v>
      </c>
      <c r="Q468" t="s">
        <v>76</v>
      </c>
      <c r="R468">
        <v>67.7</v>
      </c>
      <c r="S468">
        <v>20.8</v>
      </c>
      <c r="T468">
        <v>-1.7</v>
      </c>
      <c r="U468">
        <v>2.7</v>
      </c>
      <c r="V468">
        <v>8.8000000000000007</v>
      </c>
      <c r="W468">
        <v>6.5</v>
      </c>
      <c r="X468" t="s">
        <v>57</v>
      </c>
    </row>
    <row r="469" spans="2:24" x14ac:dyDescent="0.3">
      <c r="B469" t="s">
        <v>562</v>
      </c>
      <c r="C469" t="s">
        <v>73</v>
      </c>
      <c r="D469" t="s">
        <v>2</v>
      </c>
      <c r="E469" t="s">
        <v>19</v>
      </c>
      <c r="F469" t="s">
        <v>9</v>
      </c>
      <c r="G469" t="s">
        <v>112</v>
      </c>
      <c r="H469">
        <v>2024</v>
      </c>
      <c r="I469">
        <v>765</v>
      </c>
      <c r="J469">
        <v>2.9</v>
      </c>
      <c r="K469" t="s">
        <v>24</v>
      </c>
      <c r="L469">
        <v>4.4000000000000004</v>
      </c>
      <c r="M469">
        <v>4.8</v>
      </c>
      <c r="N469">
        <v>2117</v>
      </c>
      <c r="O469" t="s">
        <v>55</v>
      </c>
      <c r="P469">
        <v>84.8</v>
      </c>
      <c r="Q469" t="s">
        <v>56</v>
      </c>
      <c r="R469">
        <v>56.2</v>
      </c>
      <c r="S469">
        <v>23.5</v>
      </c>
      <c r="T469">
        <v>12.6</v>
      </c>
      <c r="U469">
        <v>4.3</v>
      </c>
      <c r="V469">
        <v>5.9</v>
      </c>
      <c r="W469">
        <v>6.5</v>
      </c>
      <c r="X469" t="s">
        <v>57</v>
      </c>
    </row>
    <row r="470" spans="2:24" x14ac:dyDescent="0.3">
      <c r="B470" t="s">
        <v>563</v>
      </c>
      <c r="C470" t="s">
        <v>100</v>
      </c>
      <c r="D470" t="s">
        <v>3</v>
      </c>
      <c r="E470" t="s">
        <v>15</v>
      </c>
      <c r="F470" t="s">
        <v>11</v>
      </c>
      <c r="G470" t="s">
        <v>101</v>
      </c>
      <c r="H470">
        <v>2024</v>
      </c>
      <c r="I470">
        <v>2035</v>
      </c>
      <c r="J470">
        <v>3.1</v>
      </c>
      <c r="K470" t="s">
        <v>24</v>
      </c>
      <c r="L470">
        <v>0.9</v>
      </c>
      <c r="M470">
        <v>2.1</v>
      </c>
      <c r="N470">
        <v>4580</v>
      </c>
      <c r="O470" t="s">
        <v>55</v>
      </c>
      <c r="P470">
        <v>72.099999999999994</v>
      </c>
      <c r="Q470" t="s">
        <v>65</v>
      </c>
      <c r="R470">
        <v>37.6</v>
      </c>
      <c r="S470">
        <v>31.8</v>
      </c>
      <c r="T470">
        <v>7.2</v>
      </c>
      <c r="U470">
        <v>1.4</v>
      </c>
      <c r="V470">
        <v>7.5</v>
      </c>
      <c r="W470">
        <v>8.5</v>
      </c>
      <c r="X470" t="s">
        <v>116</v>
      </c>
    </row>
    <row r="471" spans="2:24" x14ac:dyDescent="0.3">
      <c r="B471" t="s">
        <v>564</v>
      </c>
      <c r="C471" t="s">
        <v>73</v>
      </c>
      <c r="D471" t="s">
        <v>3</v>
      </c>
      <c r="E471" t="s">
        <v>14</v>
      </c>
      <c r="F471" t="s">
        <v>10</v>
      </c>
      <c r="G471" t="s">
        <v>63</v>
      </c>
      <c r="H471">
        <v>2026</v>
      </c>
      <c r="I471">
        <v>3593</v>
      </c>
      <c r="J471">
        <v>16.8</v>
      </c>
      <c r="K471" t="s">
        <v>25</v>
      </c>
      <c r="L471">
        <v>4.8</v>
      </c>
      <c r="M471">
        <v>8.6</v>
      </c>
      <c r="N471">
        <v>4972</v>
      </c>
      <c r="O471" t="s">
        <v>55</v>
      </c>
      <c r="P471">
        <v>46.5</v>
      </c>
      <c r="Q471" t="s">
        <v>84</v>
      </c>
      <c r="R471">
        <v>-20.8</v>
      </c>
      <c r="S471">
        <v>32.4</v>
      </c>
      <c r="T471">
        <v>12.8</v>
      </c>
      <c r="U471">
        <v>6.7</v>
      </c>
      <c r="V471">
        <v>5.3</v>
      </c>
      <c r="W471">
        <v>4.7</v>
      </c>
      <c r="X471" t="s">
        <v>116</v>
      </c>
    </row>
    <row r="472" spans="2:24" x14ac:dyDescent="0.3">
      <c r="B472" t="s">
        <v>565</v>
      </c>
      <c r="C472" t="s">
        <v>100</v>
      </c>
      <c r="D472" t="s">
        <v>3</v>
      </c>
      <c r="E472" t="s">
        <v>17</v>
      </c>
      <c r="F472" t="s">
        <v>10</v>
      </c>
      <c r="G472" t="s">
        <v>112</v>
      </c>
      <c r="H472">
        <v>2026</v>
      </c>
      <c r="I472">
        <v>4580</v>
      </c>
      <c r="J472">
        <v>16.7</v>
      </c>
      <c r="K472" t="s">
        <v>25</v>
      </c>
      <c r="L472">
        <v>4.2</v>
      </c>
      <c r="M472">
        <v>7.6</v>
      </c>
      <c r="N472">
        <v>904</v>
      </c>
      <c r="O472" t="s">
        <v>64</v>
      </c>
      <c r="P472">
        <v>83.3</v>
      </c>
      <c r="Q472" t="s">
        <v>65</v>
      </c>
      <c r="R472">
        <v>-30.5</v>
      </c>
      <c r="S472">
        <v>-13.2</v>
      </c>
      <c r="T472">
        <v>-9.6</v>
      </c>
      <c r="U472">
        <v>7</v>
      </c>
      <c r="V472">
        <v>5</v>
      </c>
      <c r="W472">
        <v>4.5999999999999996</v>
      </c>
      <c r="X472" t="s">
        <v>66</v>
      </c>
    </row>
    <row r="473" spans="2:24" x14ac:dyDescent="0.3">
      <c r="B473" t="s">
        <v>566</v>
      </c>
      <c r="C473" t="s">
        <v>53</v>
      </c>
      <c r="D473" t="s">
        <v>3</v>
      </c>
      <c r="E473" t="s">
        <v>19</v>
      </c>
      <c r="F473" t="s">
        <v>9</v>
      </c>
      <c r="G473" t="s">
        <v>78</v>
      </c>
      <c r="H473">
        <v>2024</v>
      </c>
      <c r="I473">
        <v>1373</v>
      </c>
      <c r="J473">
        <v>2.8</v>
      </c>
      <c r="K473" t="s">
        <v>24</v>
      </c>
      <c r="L473">
        <v>3.5</v>
      </c>
      <c r="M473">
        <v>5.8</v>
      </c>
      <c r="N473">
        <v>4011</v>
      </c>
      <c r="O473" t="s">
        <v>55</v>
      </c>
      <c r="P473">
        <v>76.400000000000006</v>
      </c>
      <c r="Q473" t="s">
        <v>76</v>
      </c>
      <c r="R473">
        <v>18.8</v>
      </c>
      <c r="S473">
        <v>30</v>
      </c>
      <c r="T473">
        <v>21.7</v>
      </c>
      <c r="U473">
        <v>5</v>
      </c>
      <c r="V473">
        <v>9.3000000000000007</v>
      </c>
      <c r="W473">
        <v>6.6</v>
      </c>
      <c r="X473" t="s">
        <v>57</v>
      </c>
    </row>
    <row r="474" spans="2:24" x14ac:dyDescent="0.3">
      <c r="B474" t="s">
        <v>567</v>
      </c>
      <c r="C474" t="s">
        <v>137</v>
      </c>
      <c r="D474" t="s">
        <v>4</v>
      </c>
      <c r="E474" t="s">
        <v>18</v>
      </c>
      <c r="F474" t="s">
        <v>9</v>
      </c>
      <c r="G474" t="s">
        <v>115</v>
      </c>
      <c r="H474">
        <v>2026</v>
      </c>
      <c r="I474">
        <v>3009</v>
      </c>
      <c r="J474">
        <v>12.7</v>
      </c>
      <c r="K474" t="s">
        <v>21</v>
      </c>
      <c r="L474">
        <v>3.1</v>
      </c>
      <c r="M474">
        <v>7.2</v>
      </c>
      <c r="N474">
        <v>1477</v>
      </c>
      <c r="O474" t="s">
        <v>64</v>
      </c>
      <c r="P474">
        <v>69</v>
      </c>
      <c r="Q474" t="s">
        <v>56</v>
      </c>
      <c r="R474">
        <v>54.2</v>
      </c>
      <c r="S474">
        <v>21.9</v>
      </c>
      <c r="T474">
        <v>15.4</v>
      </c>
      <c r="U474">
        <v>4.3</v>
      </c>
      <c r="V474">
        <v>7</v>
      </c>
      <c r="W474">
        <v>5.7</v>
      </c>
      <c r="X474" t="s">
        <v>66</v>
      </c>
    </row>
    <row r="475" spans="2:24" x14ac:dyDescent="0.3">
      <c r="B475" t="s">
        <v>568</v>
      </c>
      <c r="C475" t="s">
        <v>137</v>
      </c>
      <c r="D475" t="s">
        <v>4</v>
      </c>
      <c r="E475" t="s">
        <v>14</v>
      </c>
      <c r="F475" t="s">
        <v>12</v>
      </c>
      <c r="G475" t="s">
        <v>78</v>
      </c>
      <c r="H475">
        <v>2025</v>
      </c>
      <c r="I475">
        <v>9144</v>
      </c>
      <c r="J475">
        <v>30.7</v>
      </c>
      <c r="K475" t="s">
        <v>25</v>
      </c>
      <c r="L475">
        <v>9.6999999999999993</v>
      </c>
      <c r="M475">
        <v>10</v>
      </c>
      <c r="N475">
        <v>1848</v>
      </c>
      <c r="O475" t="s">
        <v>64</v>
      </c>
      <c r="P475">
        <v>78.400000000000006</v>
      </c>
      <c r="Q475" t="s">
        <v>56</v>
      </c>
      <c r="R475">
        <v>44.2</v>
      </c>
      <c r="S475">
        <v>-22.9</v>
      </c>
      <c r="T475">
        <v>-19.8</v>
      </c>
      <c r="U475">
        <v>7.1</v>
      </c>
      <c r="V475">
        <v>3.6</v>
      </c>
      <c r="W475">
        <v>2.5</v>
      </c>
      <c r="X475" t="s">
        <v>66</v>
      </c>
    </row>
    <row r="476" spans="2:24" x14ac:dyDescent="0.3">
      <c r="B476" t="s">
        <v>569</v>
      </c>
      <c r="C476" t="s">
        <v>159</v>
      </c>
      <c r="D476" t="s">
        <v>7</v>
      </c>
      <c r="E476" t="s">
        <v>14</v>
      </c>
      <c r="F476" t="s">
        <v>12</v>
      </c>
      <c r="G476" t="s">
        <v>104</v>
      </c>
      <c r="H476">
        <v>2026</v>
      </c>
      <c r="I476">
        <v>983</v>
      </c>
      <c r="J476">
        <v>7.7</v>
      </c>
      <c r="K476" t="s">
        <v>21</v>
      </c>
      <c r="L476">
        <v>8.5</v>
      </c>
      <c r="M476">
        <v>7.9</v>
      </c>
      <c r="N476">
        <v>3100</v>
      </c>
      <c r="O476" t="s">
        <v>55</v>
      </c>
      <c r="P476">
        <v>84.7</v>
      </c>
      <c r="Q476" t="s">
        <v>88</v>
      </c>
      <c r="R476">
        <v>19.8</v>
      </c>
      <c r="S476">
        <v>-12.9</v>
      </c>
      <c r="T476">
        <v>2.2999999999999998</v>
      </c>
      <c r="U476">
        <v>7.9</v>
      </c>
      <c r="V476">
        <v>7.8</v>
      </c>
      <c r="W476">
        <v>6</v>
      </c>
      <c r="X476" t="s">
        <v>57</v>
      </c>
    </row>
    <row r="477" spans="2:24" x14ac:dyDescent="0.3">
      <c r="B477" t="s">
        <v>570</v>
      </c>
      <c r="C477" t="s">
        <v>106</v>
      </c>
      <c r="D477" t="s">
        <v>8</v>
      </c>
      <c r="E477" t="s">
        <v>15</v>
      </c>
      <c r="F477" t="s">
        <v>9</v>
      </c>
      <c r="G477" t="s">
        <v>115</v>
      </c>
      <c r="H477">
        <v>2026</v>
      </c>
      <c r="I477">
        <v>3387</v>
      </c>
      <c r="J477">
        <v>7.1</v>
      </c>
      <c r="K477" t="s">
        <v>24</v>
      </c>
      <c r="L477">
        <v>13.1</v>
      </c>
      <c r="M477">
        <v>10</v>
      </c>
      <c r="N477">
        <v>5330</v>
      </c>
      <c r="O477" t="s">
        <v>55</v>
      </c>
      <c r="P477">
        <v>31.7</v>
      </c>
      <c r="Q477" t="s">
        <v>65</v>
      </c>
      <c r="R477">
        <v>14.5</v>
      </c>
      <c r="S477">
        <v>27.6</v>
      </c>
      <c r="T477">
        <v>20.8</v>
      </c>
      <c r="U477">
        <v>7.8</v>
      </c>
      <c r="V477">
        <v>6.6</v>
      </c>
      <c r="W477">
        <v>6.8</v>
      </c>
      <c r="X477" t="s">
        <v>116</v>
      </c>
    </row>
    <row r="478" spans="2:24" x14ac:dyDescent="0.3">
      <c r="B478" t="s">
        <v>571</v>
      </c>
      <c r="C478" t="s">
        <v>71</v>
      </c>
      <c r="D478" t="s">
        <v>5</v>
      </c>
      <c r="E478" t="s">
        <v>16</v>
      </c>
      <c r="F478" t="s">
        <v>9</v>
      </c>
      <c r="G478" t="s">
        <v>112</v>
      </c>
      <c r="H478">
        <v>2026</v>
      </c>
      <c r="I478">
        <v>2470</v>
      </c>
      <c r="J478">
        <v>5.0999999999999996</v>
      </c>
      <c r="K478" t="s">
        <v>23</v>
      </c>
      <c r="L478">
        <v>11.9</v>
      </c>
      <c r="M478">
        <v>8</v>
      </c>
      <c r="N478">
        <v>2876</v>
      </c>
      <c r="O478" t="s">
        <v>55</v>
      </c>
      <c r="P478">
        <v>87.1</v>
      </c>
      <c r="Q478" t="s">
        <v>86</v>
      </c>
      <c r="R478">
        <v>87.7</v>
      </c>
      <c r="S478">
        <v>20.3</v>
      </c>
      <c r="T478">
        <v>5.3</v>
      </c>
      <c r="U478">
        <v>9.4</v>
      </c>
      <c r="V478">
        <v>7</v>
      </c>
      <c r="W478">
        <v>7.5</v>
      </c>
      <c r="X478" t="s">
        <v>57</v>
      </c>
    </row>
    <row r="479" spans="2:24" x14ac:dyDescent="0.3">
      <c r="B479" t="s">
        <v>572</v>
      </c>
      <c r="C479" t="s">
        <v>137</v>
      </c>
      <c r="D479" t="s">
        <v>3</v>
      </c>
      <c r="E479" t="s">
        <v>15</v>
      </c>
      <c r="F479" t="s">
        <v>12</v>
      </c>
      <c r="G479" t="s">
        <v>74</v>
      </c>
      <c r="H479">
        <v>2026</v>
      </c>
      <c r="I479">
        <v>5345</v>
      </c>
      <c r="J479">
        <v>33.1</v>
      </c>
      <c r="K479" t="s">
        <v>24</v>
      </c>
      <c r="L479">
        <v>10.4</v>
      </c>
      <c r="M479">
        <v>10</v>
      </c>
      <c r="N479">
        <v>850</v>
      </c>
      <c r="O479" t="s">
        <v>75</v>
      </c>
      <c r="P479">
        <v>47.4</v>
      </c>
      <c r="Q479" t="s">
        <v>79</v>
      </c>
      <c r="R479">
        <v>68.099999999999994</v>
      </c>
      <c r="S479">
        <v>21.2</v>
      </c>
      <c r="T479">
        <v>6.4</v>
      </c>
      <c r="U479">
        <v>6.1</v>
      </c>
      <c r="V479">
        <v>6.2</v>
      </c>
      <c r="W479">
        <v>3.4</v>
      </c>
      <c r="X479" t="s">
        <v>66</v>
      </c>
    </row>
    <row r="480" spans="2:24" x14ac:dyDescent="0.3">
      <c r="B480" t="s">
        <v>573</v>
      </c>
      <c r="C480" t="s">
        <v>68</v>
      </c>
      <c r="D480" t="s">
        <v>8</v>
      </c>
      <c r="E480" t="s">
        <v>17</v>
      </c>
      <c r="F480" t="s">
        <v>11</v>
      </c>
      <c r="G480" t="s">
        <v>104</v>
      </c>
      <c r="H480">
        <v>2024</v>
      </c>
      <c r="I480">
        <v>15863</v>
      </c>
      <c r="J480">
        <v>20.3</v>
      </c>
      <c r="K480" t="s">
        <v>24</v>
      </c>
      <c r="L480">
        <v>3.6</v>
      </c>
      <c r="M480">
        <v>10</v>
      </c>
      <c r="N480">
        <v>672</v>
      </c>
      <c r="O480" t="s">
        <v>64</v>
      </c>
      <c r="P480">
        <v>12</v>
      </c>
      <c r="Q480" t="s">
        <v>65</v>
      </c>
      <c r="R480">
        <v>-35.9</v>
      </c>
      <c r="S480">
        <v>57.3</v>
      </c>
      <c r="T480">
        <v>29.2</v>
      </c>
      <c r="U480">
        <v>5.8</v>
      </c>
      <c r="V480">
        <v>7.5</v>
      </c>
      <c r="W480">
        <v>5.5</v>
      </c>
      <c r="X480" t="s">
        <v>66</v>
      </c>
    </row>
    <row r="481" spans="2:24" x14ac:dyDescent="0.3">
      <c r="B481" t="s">
        <v>574</v>
      </c>
      <c r="C481" t="s">
        <v>106</v>
      </c>
      <c r="D481" t="s">
        <v>7</v>
      </c>
      <c r="E481" t="s">
        <v>19</v>
      </c>
      <c r="F481" t="s">
        <v>10</v>
      </c>
      <c r="G481" t="s">
        <v>69</v>
      </c>
      <c r="H481">
        <v>2024</v>
      </c>
      <c r="I481">
        <v>1891</v>
      </c>
      <c r="J481">
        <v>0.7</v>
      </c>
      <c r="K481" t="s">
        <v>24</v>
      </c>
      <c r="L481">
        <v>6.5</v>
      </c>
      <c r="M481">
        <v>6.7</v>
      </c>
      <c r="N481">
        <v>2974</v>
      </c>
      <c r="O481" t="s">
        <v>55</v>
      </c>
      <c r="P481">
        <v>83</v>
      </c>
      <c r="Q481" t="s">
        <v>125</v>
      </c>
      <c r="R481">
        <v>1.5</v>
      </c>
      <c r="S481">
        <v>-1.2</v>
      </c>
      <c r="T481">
        <v>1.2</v>
      </c>
      <c r="U481">
        <v>7.3</v>
      </c>
      <c r="V481">
        <v>7.8</v>
      </c>
      <c r="W481">
        <v>7.3</v>
      </c>
      <c r="X481" t="s">
        <v>57</v>
      </c>
    </row>
    <row r="482" spans="2:24" x14ac:dyDescent="0.3">
      <c r="B482" t="s">
        <v>575</v>
      </c>
      <c r="C482" t="s">
        <v>71</v>
      </c>
      <c r="D482" t="s">
        <v>6</v>
      </c>
      <c r="E482" t="s">
        <v>19</v>
      </c>
      <c r="F482" t="s">
        <v>10</v>
      </c>
      <c r="G482" t="s">
        <v>104</v>
      </c>
      <c r="H482">
        <v>2025</v>
      </c>
      <c r="I482">
        <v>15388</v>
      </c>
      <c r="J482">
        <v>15.9</v>
      </c>
      <c r="K482" t="s">
        <v>23</v>
      </c>
      <c r="L482">
        <v>3.6</v>
      </c>
      <c r="M482">
        <v>6.1</v>
      </c>
      <c r="N482">
        <v>371</v>
      </c>
      <c r="O482" t="s">
        <v>75</v>
      </c>
      <c r="P482">
        <v>51.3</v>
      </c>
      <c r="Q482" t="s">
        <v>125</v>
      </c>
      <c r="R482">
        <v>-39</v>
      </c>
      <c r="S482">
        <v>34.4</v>
      </c>
      <c r="T482">
        <v>14.9</v>
      </c>
      <c r="U482">
        <v>2.6</v>
      </c>
      <c r="V482">
        <v>6.6</v>
      </c>
      <c r="W482">
        <v>6.6</v>
      </c>
      <c r="X482" t="s">
        <v>66</v>
      </c>
    </row>
    <row r="483" spans="2:24" x14ac:dyDescent="0.3">
      <c r="B483" t="s">
        <v>576</v>
      </c>
      <c r="C483" t="s">
        <v>90</v>
      </c>
      <c r="D483" t="s">
        <v>3</v>
      </c>
      <c r="E483" t="s">
        <v>16</v>
      </c>
      <c r="F483" t="s">
        <v>10</v>
      </c>
      <c r="G483" t="s">
        <v>54</v>
      </c>
      <c r="H483">
        <v>2024</v>
      </c>
      <c r="I483">
        <v>6435</v>
      </c>
      <c r="J483">
        <v>31.6</v>
      </c>
      <c r="K483" t="s">
        <v>24</v>
      </c>
      <c r="L483">
        <v>14.4</v>
      </c>
      <c r="M483">
        <v>10</v>
      </c>
      <c r="N483">
        <v>1691</v>
      </c>
      <c r="O483" t="s">
        <v>64</v>
      </c>
      <c r="P483">
        <v>18.5</v>
      </c>
      <c r="Q483" t="s">
        <v>65</v>
      </c>
      <c r="R483">
        <v>40.6</v>
      </c>
      <c r="S483">
        <v>-16.2</v>
      </c>
      <c r="T483">
        <v>-11</v>
      </c>
      <c r="U483">
        <v>9.1</v>
      </c>
      <c r="V483">
        <v>4.3</v>
      </c>
      <c r="W483">
        <v>2.8</v>
      </c>
      <c r="X483" t="s">
        <v>66</v>
      </c>
    </row>
    <row r="484" spans="2:24" x14ac:dyDescent="0.3">
      <c r="B484" t="s">
        <v>577</v>
      </c>
      <c r="C484" t="s">
        <v>137</v>
      </c>
      <c r="D484" t="s">
        <v>3</v>
      </c>
      <c r="E484" t="s">
        <v>18</v>
      </c>
      <c r="F484" t="s">
        <v>10</v>
      </c>
      <c r="G484" t="s">
        <v>131</v>
      </c>
      <c r="H484">
        <v>2024</v>
      </c>
      <c r="I484">
        <v>388</v>
      </c>
      <c r="J484">
        <v>0.1</v>
      </c>
      <c r="K484" t="s">
        <v>23</v>
      </c>
      <c r="L484">
        <v>4.3</v>
      </c>
      <c r="M484">
        <v>1</v>
      </c>
      <c r="N484">
        <v>3456</v>
      </c>
      <c r="O484" t="s">
        <v>55</v>
      </c>
      <c r="P484">
        <v>13.5</v>
      </c>
      <c r="Q484" t="s">
        <v>84</v>
      </c>
      <c r="R484">
        <v>-15.3</v>
      </c>
      <c r="S484">
        <v>44.9</v>
      </c>
      <c r="T484">
        <v>18.2</v>
      </c>
      <c r="U484">
        <v>3.1</v>
      </c>
      <c r="V484">
        <v>8.9</v>
      </c>
      <c r="W484">
        <v>8.3000000000000007</v>
      </c>
      <c r="X484" t="s">
        <v>57</v>
      </c>
    </row>
    <row r="485" spans="2:24" x14ac:dyDescent="0.3">
      <c r="B485" t="s">
        <v>578</v>
      </c>
      <c r="C485" t="s">
        <v>100</v>
      </c>
      <c r="D485" t="s">
        <v>3</v>
      </c>
      <c r="E485" t="s">
        <v>19</v>
      </c>
      <c r="F485" t="s">
        <v>11</v>
      </c>
      <c r="G485" t="s">
        <v>112</v>
      </c>
      <c r="H485">
        <v>2025</v>
      </c>
      <c r="I485">
        <v>10116</v>
      </c>
      <c r="J485">
        <v>12.6</v>
      </c>
      <c r="K485" t="s">
        <v>23</v>
      </c>
      <c r="L485">
        <v>7.9</v>
      </c>
      <c r="M485">
        <v>6.1</v>
      </c>
      <c r="N485">
        <v>428</v>
      </c>
      <c r="O485" t="s">
        <v>64</v>
      </c>
      <c r="P485">
        <v>43.6</v>
      </c>
      <c r="Q485" t="s">
        <v>84</v>
      </c>
      <c r="R485">
        <v>49.6</v>
      </c>
      <c r="S485">
        <v>26.6</v>
      </c>
      <c r="T485">
        <v>0.4</v>
      </c>
      <c r="U485">
        <v>6.3</v>
      </c>
      <c r="V485">
        <v>5.6</v>
      </c>
      <c r="W485">
        <v>6.3</v>
      </c>
      <c r="X485" t="s">
        <v>66</v>
      </c>
    </row>
    <row r="486" spans="2:24" x14ac:dyDescent="0.3">
      <c r="B486" t="s">
        <v>579</v>
      </c>
      <c r="C486" t="s">
        <v>92</v>
      </c>
      <c r="D486" t="s">
        <v>7</v>
      </c>
      <c r="E486" t="s">
        <v>14</v>
      </c>
      <c r="F486" t="s">
        <v>12</v>
      </c>
      <c r="G486" t="s">
        <v>112</v>
      </c>
      <c r="H486">
        <v>2025</v>
      </c>
      <c r="I486">
        <v>12007</v>
      </c>
      <c r="J486">
        <v>14.3</v>
      </c>
      <c r="K486" t="s">
        <v>24</v>
      </c>
      <c r="L486">
        <v>5.7</v>
      </c>
      <c r="M486">
        <v>9.1999999999999993</v>
      </c>
      <c r="N486">
        <v>795</v>
      </c>
      <c r="O486" t="s">
        <v>64</v>
      </c>
      <c r="P486">
        <v>89.4</v>
      </c>
      <c r="Q486" t="s">
        <v>88</v>
      </c>
      <c r="R486">
        <v>29.2</v>
      </c>
      <c r="S486">
        <v>1.3</v>
      </c>
      <c r="T486">
        <v>0.8</v>
      </c>
      <c r="U486">
        <v>8.9</v>
      </c>
      <c r="V486">
        <v>6.1</v>
      </c>
      <c r="W486">
        <v>4.2</v>
      </c>
      <c r="X486" t="s">
        <v>66</v>
      </c>
    </row>
    <row r="487" spans="2:24" x14ac:dyDescent="0.3">
      <c r="B487" t="s">
        <v>580</v>
      </c>
      <c r="C487" t="s">
        <v>106</v>
      </c>
      <c r="D487" t="s">
        <v>8</v>
      </c>
      <c r="E487" t="s">
        <v>18</v>
      </c>
      <c r="F487" t="s">
        <v>12</v>
      </c>
      <c r="G487" t="s">
        <v>98</v>
      </c>
      <c r="H487">
        <v>2025</v>
      </c>
      <c r="I487">
        <v>196</v>
      </c>
      <c r="J487">
        <v>1.9</v>
      </c>
      <c r="K487" t="s">
        <v>21</v>
      </c>
      <c r="L487">
        <v>4.4000000000000004</v>
      </c>
      <c r="M487">
        <v>1.5</v>
      </c>
      <c r="N487">
        <v>3160</v>
      </c>
      <c r="O487" t="s">
        <v>55</v>
      </c>
      <c r="P487">
        <v>58.3</v>
      </c>
      <c r="Q487" t="s">
        <v>86</v>
      </c>
      <c r="R487">
        <v>22.9</v>
      </c>
      <c r="S487">
        <v>-20.6</v>
      </c>
      <c r="T487">
        <v>-12.6</v>
      </c>
      <c r="U487">
        <v>3.5</v>
      </c>
      <c r="V487">
        <v>5.2</v>
      </c>
      <c r="W487">
        <v>6.6</v>
      </c>
      <c r="X487" t="s">
        <v>57</v>
      </c>
    </row>
    <row r="488" spans="2:24" x14ac:dyDescent="0.3">
      <c r="B488" t="s">
        <v>581</v>
      </c>
      <c r="C488" t="s">
        <v>73</v>
      </c>
      <c r="D488" t="s">
        <v>2</v>
      </c>
      <c r="E488" t="s">
        <v>19</v>
      </c>
      <c r="F488" t="s">
        <v>11</v>
      </c>
      <c r="G488" t="s">
        <v>54</v>
      </c>
      <c r="H488">
        <v>2024</v>
      </c>
      <c r="I488">
        <v>1713</v>
      </c>
      <c r="J488">
        <v>6.7</v>
      </c>
      <c r="K488" t="s">
        <v>21</v>
      </c>
      <c r="L488">
        <v>0.9</v>
      </c>
      <c r="M488">
        <v>2.5</v>
      </c>
      <c r="N488">
        <v>6341</v>
      </c>
      <c r="O488" t="s">
        <v>55</v>
      </c>
      <c r="P488">
        <v>57.5</v>
      </c>
      <c r="Q488" t="s">
        <v>56</v>
      </c>
      <c r="R488">
        <v>81.5</v>
      </c>
      <c r="S488">
        <v>-16.7</v>
      </c>
      <c r="T488">
        <v>-2.2000000000000002</v>
      </c>
      <c r="U488">
        <v>1.4</v>
      </c>
      <c r="V488">
        <v>5.4</v>
      </c>
      <c r="W488">
        <v>6.7</v>
      </c>
      <c r="X488" t="s">
        <v>57</v>
      </c>
    </row>
    <row r="489" spans="2:24" x14ac:dyDescent="0.3">
      <c r="B489" t="s">
        <v>582</v>
      </c>
      <c r="C489" t="s">
        <v>62</v>
      </c>
      <c r="D489" t="s">
        <v>2</v>
      </c>
      <c r="E489" t="s">
        <v>17</v>
      </c>
      <c r="F489" t="s">
        <v>10</v>
      </c>
      <c r="G489" t="s">
        <v>60</v>
      </c>
      <c r="H489">
        <v>2024</v>
      </c>
      <c r="I489">
        <v>2367</v>
      </c>
      <c r="J489">
        <v>12.7</v>
      </c>
      <c r="K489" t="s">
        <v>21</v>
      </c>
      <c r="L489">
        <v>9</v>
      </c>
      <c r="M489">
        <v>10</v>
      </c>
      <c r="N489">
        <v>4660</v>
      </c>
      <c r="O489" t="s">
        <v>55</v>
      </c>
      <c r="P489">
        <v>18.8</v>
      </c>
      <c r="Q489" t="s">
        <v>56</v>
      </c>
      <c r="R489">
        <v>30.1</v>
      </c>
      <c r="S489">
        <v>28.7</v>
      </c>
      <c r="T489">
        <v>20.7</v>
      </c>
      <c r="U489">
        <v>6.4</v>
      </c>
      <c r="V489">
        <v>8.5</v>
      </c>
      <c r="W489">
        <v>5.4</v>
      </c>
      <c r="X489" t="s">
        <v>116</v>
      </c>
    </row>
    <row r="490" spans="2:24" x14ac:dyDescent="0.3">
      <c r="B490" t="s">
        <v>583</v>
      </c>
      <c r="C490" t="s">
        <v>106</v>
      </c>
      <c r="D490" t="s">
        <v>8</v>
      </c>
      <c r="E490" t="s">
        <v>17</v>
      </c>
      <c r="F490" t="s">
        <v>12</v>
      </c>
      <c r="G490" t="s">
        <v>78</v>
      </c>
      <c r="H490">
        <v>2026</v>
      </c>
      <c r="I490">
        <v>447</v>
      </c>
      <c r="J490">
        <v>9.1</v>
      </c>
      <c r="K490" t="s">
        <v>22</v>
      </c>
      <c r="L490">
        <v>5.7</v>
      </c>
      <c r="M490">
        <v>6.2</v>
      </c>
      <c r="N490">
        <v>5362</v>
      </c>
      <c r="O490" t="s">
        <v>64</v>
      </c>
      <c r="P490">
        <v>61.7</v>
      </c>
      <c r="Q490" t="s">
        <v>125</v>
      </c>
      <c r="R490">
        <v>81.5</v>
      </c>
      <c r="S490">
        <v>-21.1</v>
      </c>
      <c r="T490">
        <v>-1.6</v>
      </c>
      <c r="U490">
        <v>3.5</v>
      </c>
      <c r="V490">
        <v>5.2</v>
      </c>
      <c r="W490">
        <v>5.6</v>
      </c>
      <c r="X490" t="s">
        <v>116</v>
      </c>
    </row>
    <row r="491" spans="2:24" x14ac:dyDescent="0.3">
      <c r="B491" t="s">
        <v>584</v>
      </c>
      <c r="C491" t="s">
        <v>142</v>
      </c>
      <c r="D491" t="s">
        <v>8</v>
      </c>
      <c r="E491" t="s">
        <v>18</v>
      </c>
      <c r="F491" t="s">
        <v>9</v>
      </c>
      <c r="G491" t="s">
        <v>69</v>
      </c>
      <c r="H491">
        <v>2025</v>
      </c>
      <c r="I491">
        <v>5512</v>
      </c>
      <c r="J491">
        <v>16.2</v>
      </c>
      <c r="K491" t="s">
        <v>23</v>
      </c>
      <c r="L491">
        <v>13.7</v>
      </c>
      <c r="M491">
        <v>10</v>
      </c>
      <c r="N491">
        <v>5409</v>
      </c>
      <c r="O491" t="s">
        <v>55</v>
      </c>
      <c r="P491">
        <v>20.399999999999999</v>
      </c>
      <c r="Q491" t="s">
        <v>86</v>
      </c>
      <c r="R491">
        <v>-27.2</v>
      </c>
      <c r="S491">
        <v>1.2</v>
      </c>
      <c r="T491">
        <v>-2</v>
      </c>
      <c r="U491">
        <v>9.6</v>
      </c>
      <c r="V491">
        <v>6.9</v>
      </c>
      <c r="W491">
        <v>3.8</v>
      </c>
      <c r="X491" t="s">
        <v>116</v>
      </c>
    </row>
    <row r="492" spans="2:24" x14ac:dyDescent="0.3">
      <c r="B492" t="s">
        <v>585</v>
      </c>
      <c r="C492" t="s">
        <v>73</v>
      </c>
      <c r="D492" t="s">
        <v>2</v>
      </c>
      <c r="E492" t="s">
        <v>14</v>
      </c>
      <c r="F492" t="s">
        <v>11</v>
      </c>
      <c r="G492" t="s">
        <v>69</v>
      </c>
      <c r="H492">
        <v>2026</v>
      </c>
      <c r="I492">
        <v>11111</v>
      </c>
      <c r="J492">
        <v>39.299999999999997</v>
      </c>
      <c r="K492" t="s">
        <v>25</v>
      </c>
      <c r="L492">
        <v>7.1</v>
      </c>
      <c r="M492">
        <v>10</v>
      </c>
      <c r="N492">
        <v>7471</v>
      </c>
      <c r="O492" t="s">
        <v>64</v>
      </c>
      <c r="P492">
        <v>26.7</v>
      </c>
      <c r="Q492" t="s">
        <v>76</v>
      </c>
      <c r="R492">
        <v>44.7</v>
      </c>
      <c r="S492">
        <v>22.7</v>
      </c>
      <c r="T492">
        <v>-1.1000000000000001</v>
      </c>
      <c r="U492">
        <v>4.7</v>
      </c>
      <c r="V492">
        <v>6.1</v>
      </c>
      <c r="W492">
        <v>2.2000000000000002</v>
      </c>
      <c r="X492" t="s">
        <v>66</v>
      </c>
    </row>
    <row r="493" spans="2:24" x14ac:dyDescent="0.3">
      <c r="B493" t="s">
        <v>586</v>
      </c>
      <c r="C493" t="s">
        <v>90</v>
      </c>
      <c r="D493" t="s">
        <v>5</v>
      </c>
      <c r="E493" t="s">
        <v>15</v>
      </c>
      <c r="F493" t="s">
        <v>11</v>
      </c>
      <c r="G493" t="s">
        <v>69</v>
      </c>
      <c r="H493">
        <v>2024</v>
      </c>
      <c r="I493">
        <v>1923</v>
      </c>
      <c r="J493">
        <v>14.1</v>
      </c>
      <c r="K493" t="s">
        <v>23</v>
      </c>
      <c r="L493">
        <v>6.5</v>
      </c>
      <c r="M493">
        <v>10</v>
      </c>
      <c r="N493">
        <v>3221</v>
      </c>
      <c r="O493" t="s">
        <v>55</v>
      </c>
      <c r="P493">
        <v>12.5</v>
      </c>
      <c r="Q493" t="s">
        <v>56</v>
      </c>
      <c r="R493">
        <v>8.5</v>
      </c>
      <c r="S493">
        <v>-2.6</v>
      </c>
      <c r="T493">
        <v>-0.9</v>
      </c>
      <c r="U493">
        <v>6.3</v>
      </c>
      <c r="V493">
        <v>5.5</v>
      </c>
      <c r="W493">
        <v>4.8</v>
      </c>
      <c r="X493" t="s">
        <v>116</v>
      </c>
    </row>
    <row r="494" spans="2:24" x14ac:dyDescent="0.3">
      <c r="B494" t="s">
        <v>587</v>
      </c>
      <c r="C494" t="s">
        <v>92</v>
      </c>
      <c r="D494" t="s">
        <v>7</v>
      </c>
      <c r="E494" t="s">
        <v>18</v>
      </c>
      <c r="F494" t="s">
        <v>10</v>
      </c>
      <c r="G494" t="s">
        <v>104</v>
      </c>
      <c r="H494">
        <v>2026</v>
      </c>
      <c r="I494">
        <v>5865</v>
      </c>
      <c r="J494">
        <v>2</v>
      </c>
      <c r="K494" t="s">
        <v>24</v>
      </c>
      <c r="L494">
        <v>9.8000000000000007</v>
      </c>
      <c r="M494">
        <v>8.5</v>
      </c>
      <c r="N494">
        <v>1008</v>
      </c>
      <c r="O494" t="s">
        <v>64</v>
      </c>
      <c r="P494">
        <v>51.7</v>
      </c>
      <c r="Q494" t="s">
        <v>125</v>
      </c>
      <c r="R494">
        <v>-2.8</v>
      </c>
      <c r="S494">
        <v>-10.9</v>
      </c>
      <c r="T494">
        <v>-8.6</v>
      </c>
      <c r="U494">
        <v>7.2</v>
      </c>
      <c r="V494">
        <v>5.9</v>
      </c>
      <c r="W494">
        <v>6.4</v>
      </c>
      <c r="X494" t="s">
        <v>116</v>
      </c>
    </row>
    <row r="495" spans="2:24" x14ac:dyDescent="0.3">
      <c r="B495" t="s">
        <v>588</v>
      </c>
      <c r="C495" t="s">
        <v>53</v>
      </c>
      <c r="D495" t="s">
        <v>4</v>
      </c>
      <c r="E495" t="s">
        <v>16</v>
      </c>
      <c r="F495" t="s">
        <v>11</v>
      </c>
      <c r="G495" t="s">
        <v>69</v>
      </c>
      <c r="H495">
        <v>2025</v>
      </c>
      <c r="I495">
        <v>937</v>
      </c>
      <c r="J495">
        <v>6.4</v>
      </c>
      <c r="K495" t="s">
        <v>21</v>
      </c>
      <c r="L495">
        <v>1.3</v>
      </c>
      <c r="M495">
        <v>2.2999999999999998</v>
      </c>
      <c r="N495">
        <v>4776</v>
      </c>
      <c r="O495" t="s">
        <v>55</v>
      </c>
      <c r="P495">
        <v>60.9</v>
      </c>
      <c r="Q495" t="s">
        <v>125</v>
      </c>
      <c r="R495">
        <v>43.4</v>
      </c>
      <c r="S495">
        <v>24.9</v>
      </c>
      <c r="T495">
        <v>1.8</v>
      </c>
      <c r="U495">
        <v>1.3</v>
      </c>
      <c r="V495">
        <v>6.1</v>
      </c>
      <c r="W495">
        <v>7.2</v>
      </c>
      <c r="X495" t="s">
        <v>57</v>
      </c>
    </row>
    <row r="496" spans="2:24" x14ac:dyDescent="0.3">
      <c r="B496" t="s">
        <v>589</v>
      </c>
      <c r="C496" t="s">
        <v>106</v>
      </c>
      <c r="D496" t="s">
        <v>4</v>
      </c>
      <c r="E496" t="s">
        <v>18</v>
      </c>
      <c r="F496" t="s">
        <v>9</v>
      </c>
      <c r="G496" t="s">
        <v>131</v>
      </c>
      <c r="H496">
        <v>2024</v>
      </c>
      <c r="I496">
        <v>2364</v>
      </c>
      <c r="J496">
        <v>9.1</v>
      </c>
      <c r="K496" t="s">
        <v>21</v>
      </c>
      <c r="L496">
        <v>4.5</v>
      </c>
      <c r="M496">
        <v>8.8000000000000007</v>
      </c>
      <c r="N496">
        <v>4089</v>
      </c>
      <c r="O496" t="s">
        <v>55</v>
      </c>
      <c r="P496">
        <v>56.8</v>
      </c>
      <c r="Q496" t="s">
        <v>65</v>
      </c>
      <c r="R496">
        <v>56.7</v>
      </c>
      <c r="S496">
        <v>-3.1</v>
      </c>
      <c r="T496">
        <v>-4.5</v>
      </c>
      <c r="U496">
        <v>6.5</v>
      </c>
      <c r="V496">
        <v>6.1</v>
      </c>
      <c r="W496">
        <v>4.3</v>
      </c>
      <c r="X496" t="s">
        <v>57</v>
      </c>
    </row>
    <row r="497" spans="2:24" x14ac:dyDescent="0.3">
      <c r="B497" t="s">
        <v>590</v>
      </c>
      <c r="C497" t="s">
        <v>94</v>
      </c>
      <c r="D497" t="s">
        <v>6</v>
      </c>
      <c r="E497" t="s">
        <v>14</v>
      </c>
      <c r="F497" t="s">
        <v>11</v>
      </c>
      <c r="G497" t="s">
        <v>54</v>
      </c>
      <c r="H497">
        <v>2026</v>
      </c>
      <c r="I497">
        <v>3524</v>
      </c>
      <c r="J497">
        <v>13.6</v>
      </c>
      <c r="K497" t="s">
        <v>21</v>
      </c>
      <c r="L497">
        <v>5.4</v>
      </c>
      <c r="M497">
        <v>6.2</v>
      </c>
      <c r="N497">
        <v>230</v>
      </c>
      <c r="O497" t="s">
        <v>64</v>
      </c>
      <c r="P497">
        <v>43.9</v>
      </c>
      <c r="Q497" t="s">
        <v>79</v>
      </c>
      <c r="R497">
        <v>87.6</v>
      </c>
      <c r="S497">
        <v>44.1</v>
      </c>
      <c r="T497">
        <v>24.2</v>
      </c>
      <c r="U497">
        <v>5.2</v>
      </c>
      <c r="V497">
        <v>5.4</v>
      </c>
      <c r="W497">
        <v>6</v>
      </c>
      <c r="X497" t="s">
        <v>116</v>
      </c>
    </row>
    <row r="498" spans="2:24" x14ac:dyDescent="0.3">
      <c r="B498" t="s">
        <v>591</v>
      </c>
      <c r="C498" t="s">
        <v>73</v>
      </c>
      <c r="D498" t="s">
        <v>2</v>
      </c>
      <c r="E498" t="s">
        <v>19</v>
      </c>
      <c r="F498" t="s">
        <v>12</v>
      </c>
      <c r="G498" t="s">
        <v>101</v>
      </c>
      <c r="H498">
        <v>2025</v>
      </c>
      <c r="I498">
        <v>13760</v>
      </c>
      <c r="J498">
        <v>13.8</v>
      </c>
      <c r="K498" t="s">
        <v>21</v>
      </c>
      <c r="L498">
        <v>5.0999999999999996</v>
      </c>
      <c r="M498">
        <v>7.9</v>
      </c>
      <c r="N498">
        <v>7254</v>
      </c>
      <c r="O498" t="s">
        <v>55</v>
      </c>
      <c r="P498">
        <v>28.6</v>
      </c>
      <c r="Q498" t="s">
        <v>56</v>
      </c>
      <c r="R498">
        <v>84.3</v>
      </c>
      <c r="S498">
        <v>49.7</v>
      </c>
      <c r="T498">
        <v>13.5</v>
      </c>
      <c r="U498">
        <v>3.2</v>
      </c>
      <c r="V498">
        <v>6.7</v>
      </c>
      <c r="W498">
        <v>6.7</v>
      </c>
      <c r="X498" t="s">
        <v>66</v>
      </c>
    </row>
    <row r="499" spans="2:24" x14ac:dyDescent="0.3">
      <c r="B499" t="s">
        <v>592</v>
      </c>
      <c r="C499" t="s">
        <v>142</v>
      </c>
      <c r="D499" t="s">
        <v>2</v>
      </c>
      <c r="E499" t="s">
        <v>18</v>
      </c>
      <c r="F499" t="s">
        <v>11</v>
      </c>
      <c r="G499" t="s">
        <v>63</v>
      </c>
      <c r="H499">
        <v>2024</v>
      </c>
      <c r="I499">
        <v>978</v>
      </c>
      <c r="J499">
        <v>16.7</v>
      </c>
      <c r="K499" t="s">
        <v>21</v>
      </c>
      <c r="L499">
        <v>4.5999999999999996</v>
      </c>
      <c r="M499">
        <v>6.5</v>
      </c>
      <c r="N499">
        <v>9886</v>
      </c>
      <c r="O499" t="s">
        <v>55</v>
      </c>
      <c r="P499">
        <v>59.6</v>
      </c>
      <c r="Q499" t="s">
        <v>76</v>
      </c>
      <c r="R499">
        <v>50.4</v>
      </c>
      <c r="S499">
        <v>2.9</v>
      </c>
      <c r="T499">
        <v>-5.5</v>
      </c>
      <c r="U499">
        <v>2.9</v>
      </c>
      <c r="V499">
        <v>6.3</v>
      </c>
      <c r="W499">
        <v>4.5999999999999996</v>
      </c>
      <c r="X499" t="s">
        <v>116</v>
      </c>
    </row>
    <row r="500" spans="2:24" x14ac:dyDescent="0.3">
      <c r="B500" t="s">
        <v>593</v>
      </c>
      <c r="C500" t="s">
        <v>159</v>
      </c>
      <c r="D500" t="s">
        <v>2</v>
      </c>
      <c r="E500" t="s">
        <v>19</v>
      </c>
      <c r="F500" t="s">
        <v>9</v>
      </c>
      <c r="G500" t="s">
        <v>74</v>
      </c>
      <c r="H500">
        <v>2024</v>
      </c>
      <c r="I500">
        <v>6644</v>
      </c>
      <c r="J500">
        <v>10.199999999999999</v>
      </c>
      <c r="K500" t="s">
        <v>21</v>
      </c>
      <c r="L500">
        <v>4.3</v>
      </c>
      <c r="M500">
        <v>10</v>
      </c>
      <c r="N500">
        <v>7992</v>
      </c>
      <c r="O500" t="s">
        <v>118</v>
      </c>
      <c r="P500">
        <v>45.8</v>
      </c>
      <c r="Q500" t="s">
        <v>76</v>
      </c>
      <c r="R500">
        <v>-1.5</v>
      </c>
      <c r="S500">
        <v>46.8</v>
      </c>
      <c r="T500">
        <v>19.899999999999999</v>
      </c>
      <c r="U500">
        <v>7.1</v>
      </c>
      <c r="V500">
        <v>9.4</v>
      </c>
      <c r="W500">
        <v>5.5</v>
      </c>
      <c r="X500" t="s">
        <v>116</v>
      </c>
    </row>
    <row r="501" spans="2:24" x14ac:dyDescent="0.3">
      <c r="B501" t="s">
        <v>594</v>
      </c>
      <c r="C501" t="s">
        <v>122</v>
      </c>
      <c r="D501" t="s">
        <v>2</v>
      </c>
      <c r="E501" t="s">
        <v>18</v>
      </c>
      <c r="F501" t="s">
        <v>10</v>
      </c>
      <c r="G501" t="s">
        <v>131</v>
      </c>
      <c r="H501">
        <v>2026</v>
      </c>
      <c r="I501">
        <v>16071</v>
      </c>
      <c r="J501">
        <v>19.3</v>
      </c>
      <c r="K501" t="s">
        <v>23</v>
      </c>
      <c r="L501">
        <v>13</v>
      </c>
      <c r="M501">
        <v>10</v>
      </c>
      <c r="N501">
        <v>8692</v>
      </c>
      <c r="O501" t="s">
        <v>118</v>
      </c>
      <c r="P501">
        <v>45.4</v>
      </c>
      <c r="Q501" t="s">
        <v>76</v>
      </c>
      <c r="R501">
        <v>19.8</v>
      </c>
      <c r="S501">
        <v>-18.100000000000001</v>
      </c>
      <c r="T501">
        <v>-3.8</v>
      </c>
      <c r="U501">
        <v>7.9</v>
      </c>
      <c r="V501">
        <v>4.5</v>
      </c>
      <c r="W501">
        <v>3.9</v>
      </c>
      <c r="X501" t="s">
        <v>66</v>
      </c>
    </row>
    <row r="502" spans="2:24" x14ac:dyDescent="0.3">
      <c r="B502" t="s">
        <v>595</v>
      </c>
      <c r="C502" t="s">
        <v>92</v>
      </c>
      <c r="D502" t="s">
        <v>7</v>
      </c>
      <c r="E502" t="s">
        <v>17</v>
      </c>
      <c r="F502" t="s">
        <v>11</v>
      </c>
      <c r="G502" t="s">
        <v>131</v>
      </c>
      <c r="H502">
        <v>2024</v>
      </c>
      <c r="I502">
        <v>14942</v>
      </c>
      <c r="J502">
        <v>8.9</v>
      </c>
      <c r="K502" t="s">
        <v>23</v>
      </c>
      <c r="L502">
        <v>4.7</v>
      </c>
      <c r="M502">
        <v>4.7</v>
      </c>
      <c r="N502">
        <v>387</v>
      </c>
      <c r="O502" t="s">
        <v>64</v>
      </c>
      <c r="P502">
        <v>27.5</v>
      </c>
      <c r="Q502" t="s">
        <v>88</v>
      </c>
      <c r="R502">
        <v>85.2</v>
      </c>
      <c r="S502">
        <v>48.8</v>
      </c>
      <c r="T502">
        <v>14.6</v>
      </c>
      <c r="U502">
        <v>6.7</v>
      </c>
      <c r="V502">
        <v>6</v>
      </c>
      <c r="W502">
        <v>8.1</v>
      </c>
      <c r="X502" t="s">
        <v>66</v>
      </c>
    </row>
    <row r="503" spans="2:24" x14ac:dyDescent="0.3">
      <c r="B503" t="s">
        <v>596</v>
      </c>
      <c r="C503" t="s">
        <v>53</v>
      </c>
      <c r="D503" t="s">
        <v>7</v>
      </c>
      <c r="E503" t="s">
        <v>16</v>
      </c>
      <c r="F503" t="s">
        <v>12</v>
      </c>
      <c r="G503" t="s">
        <v>112</v>
      </c>
      <c r="H503">
        <v>2024</v>
      </c>
      <c r="I503">
        <v>415</v>
      </c>
      <c r="J503">
        <v>9.6</v>
      </c>
      <c r="K503" t="s">
        <v>24</v>
      </c>
      <c r="L503">
        <v>9.5</v>
      </c>
      <c r="M503">
        <v>8.8000000000000007</v>
      </c>
      <c r="N503">
        <v>1184</v>
      </c>
      <c r="O503" t="s">
        <v>55</v>
      </c>
      <c r="P503">
        <v>74.3</v>
      </c>
      <c r="Q503" t="s">
        <v>88</v>
      </c>
      <c r="R503">
        <v>50.2</v>
      </c>
      <c r="S503">
        <v>13.1</v>
      </c>
      <c r="T503">
        <v>1.5</v>
      </c>
      <c r="U503">
        <v>5.9</v>
      </c>
      <c r="V503">
        <v>8.5</v>
      </c>
      <c r="W503">
        <v>5</v>
      </c>
      <c r="X503" t="s">
        <v>57</v>
      </c>
    </row>
    <row r="504" spans="2:24" x14ac:dyDescent="0.3">
      <c r="B504" t="s">
        <v>597</v>
      </c>
      <c r="C504" t="s">
        <v>71</v>
      </c>
      <c r="D504" t="s">
        <v>6</v>
      </c>
      <c r="E504" t="s">
        <v>15</v>
      </c>
      <c r="F504" t="s">
        <v>9</v>
      </c>
      <c r="G504" t="s">
        <v>98</v>
      </c>
      <c r="H504">
        <v>2025</v>
      </c>
      <c r="I504">
        <v>12430</v>
      </c>
      <c r="J504">
        <v>11.9</v>
      </c>
      <c r="K504" t="s">
        <v>21</v>
      </c>
      <c r="L504">
        <v>7.2</v>
      </c>
      <c r="M504">
        <v>10</v>
      </c>
      <c r="N504">
        <v>1806</v>
      </c>
      <c r="O504" t="s">
        <v>64</v>
      </c>
      <c r="P504">
        <v>61.7</v>
      </c>
      <c r="Q504" t="s">
        <v>88</v>
      </c>
      <c r="R504">
        <v>-0.2</v>
      </c>
      <c r="S504">
        <v>-14.6</v>
      </c>
      <c r="T504">
        <v>-7.3</v>
      </c>
      <c r="U504">
        <v>7.7</v>
      </c>
      <c r="V504">
        <v>5.9</v>
      </c>
      <c r="W504">
        <v>3.6</v>
      </c>
      <c r="X504" t="s">
        <v>66</v>
      </c>
    </row>
    <row r="505" spans="2:24" x14ac:dyDescent="0.3">
      <c r="B505" t="s">
        <v>598</v>
      </c>
      <c r="C505" t="s">
        <v>106</v>
      </c>
      <c r="D505" t="s">
        <v>8</v>
      </c>
      <c r="E505" t="s">
        <v>14</v>
      </c>
      <c r="F505" t="s">
        <v>10</v>
      </c>
      <c r="G505" t="s">
        <v>74</v>
      </c>
      <c r="H505">
        <v>2025</v>
      </c>
      <c r="I505">
        <v>6956</v>
      </c>
      <c r="J505">
        <v>35.799999999999997</v>
      </c>
      <c r="K505" t="s">
        <v>21</v>
      </c>
      <c r="L505">
        <v>4.5</v>
      </c>
      <c r="M505">
        <v>10</v>
      </c>
      <c r="N505">
        <v>887</v>
      </c>
      <c r="O505" t="s">
        <v>75</v>
      </c>
      <c r="P505">
        <v>76.3</v>
      </c>
      <c r="Q505" t="s">
        <v>76</v>
      </c>
      <c r="R505">
        <v>84.7</v>
      </c>
      <c r="S505">
        <v>42.2</v>
      </c>
      <c r="T505">
        <v>1.4</v>
      </c>
      <c r="U505">
        <v>4.5999999999999996</v>
      </c>
      <c r="V505">
        <v>6.4</v>
      </c>
      <c r="W505">
        <v>4</v>
      </c>
      <c r="X505" t="s">
        <v>66</v>
      </c>
    </row>
    <row r="506" spans="2:24" x14ac:dyDescent="0.3">
      <c r="B506" t="s">
        <v>599</v>
      </c>
      <c r="C506" t="s">
        <v>90</v>
      </c>
      <c r="D506" t="s">
        <v>3</v>
      </c>
      <c r="E506" t="s">
        <v>17</v>
      </c>
      <c r="F506" t="s">
        <v>11</v>
      </c>
      <c r="G506" t="s">
        <v>60</v>
      </c>
      <c r="H506">
        <v>2025</v>
      </c>
      <c r="I506">
        <v>12612</v>
      </c>
      <c r="J506">
        <v>10.8</v>
      </c>
      <c r="K506" t="s">
        <v>22</v>
      </c>
      <c r="L506">
        <v>2.9</v>
      </c>
      <c r="M506">
        <v>4.5999999999999996</v>
      </c>
      <c r="N506">
        <v>908</v>
      </c>
      <c r="O506" t="s">
        <v>64</v>
      </c>
      <c r="P506">
        <v>24.2</v>
      </c>
      <c r="Q506" t="s">
        <v>56</v>
      </c>
      <c r="R506">
        <v>-30.5</v>
      </c>
      <c r="S506">
        <v>58.8</v>
      </c>
      <c r="T506">
        <v>28.1</v>
      </c>
      <c r="U506">
        <v>2</v>
      </c>
      <c r="V506">
        <v>7.6</v>
      </c>
      <c r="W506">
        <v>8.1999999999999993</v>
      </c>
      <c r="X506" t="s">
        <v>66</v>
      </c>
    </row>
    <row r="507" spans="2:24" x14ac:dyDescent="0.3">
      <c r="B507" t="s">
        <v>600</v>
      </c>
      <c r="C507" t="s">
        <v>73</v>
      </c>
      <c r="D507" t="s">
        <v>2</v>
      </c>
      <c r="E507" t="s">
        <v>15</v>
      </c>
      <c r="F507" t="s">
        <v>12</v>
      </c>
      <c r="G507" t="s">
        <v>78</v>
      </c>
      <c r="H507">
        <v>2024</v>
      </c>
      <c r="I507">
        <v>1188</v>
      </c>
      <c r="J507">
        <v>14.2</v>
      </c>
      <c r="K507" t="s">
        <v>21</v>
      </c>
      <c r="L507">
        <v>9.3000000000000007</v>
      </c>
      <c r="M507">
        <v>7.2</v>
      </c>
      <c r="N507">
        <v>5612</v>
      </c>
      <c r="O507" t="s">
        <v>55</v>
      </c>
      <c r="P507">
        <v>17</v>
      </c>
      <c r="Q507" t="s">
        <v>56</v>
      </c>
      <c r="R507">
        <v>-24.8</v>
      </c>
      <c r="S507">
        <v>26.4</v>
      </c>
      <c r="T507">
        <v>8.6999999999999993</v>
      </c>
      <c r="U507">
        <v>5.7</v>
      </c>
      <c r="V507">
        <v>4.7</v>
      </c>
      <c r="W507">
        <v>6.9</v>
      </c>
      <c r="X507" t="s">
        <v>66</v>
      </c>
    </row>
    <row r="508" spans="2:24" x14ac:dyDescent="0.3">
      <c r="B508" t="s">
        <v>601</v>
      </c>
      <c r="C508" t="s">
        <v>100</v>
      </c>
      <c r="D508" t="s">
        <v>3</v>
      </c>
      <c r="E508" t="s">
        <v>15</v>
      </c>
      <c r="F508" t="s">
        <v>11</v>
      </c>
      <c r="G508" t="s">
        <v>98</v>
      </c>
      <c r="H508">
        <v>2024</v>
      </c>
      <c r="I508">
        <v>2130</v>
      </c>
      <c r="J508">
        <v>2.2999999999999998</v>
      </c>
      <c r="K508" t="s">
        <v>24</v>
      </c>
      <c r="L508">
        <v>11</v>
      </c>
      <c r="M508">
        <v>10</v>
      </c>
      <c r="N508">
        <v>4895</v>
      </c>
      <c r="O508" t="s">
        <v>118</v>
      </c>
      <c r="P508">
        <v>30.2</v>
      </c>
      <c r="Q508" t="s">
        <v>84</v>
      </c>
      <c r="R508">
        <v>-20.100000000000001</v>
      </c>
      <c r="S508">
        <v>14.5</v>
      </c>
      <c r="T508">
        <v>12.5</v>
      </c>
      <c r="U508">
        <v>9.1999999999999993</v>
      </c>
      <c r="V508">
        <v>8.8000000000000007</v>
      </c>
      <c r="W508">
        <v>6.7</v>
      </c>
      <c r="X508" t="s">
        <v>57</v>
      </c>
    </row>
    <row r="509" spans="2:24" x14ac:dyDescent="0.3">
      <c r="B509" t="s">
        <v>602</v>
      </c>
      <c r="C509" t="s">
        <v>90</v>
      </c>
      <c r="D509" t="s">
        <v>6</v>
      </c>
      <c r="E509" t="s">
        <v>19</v>
      </c>
      <c r="F509" t="s">
        <v>9</v>
      </c>
      <c r="G509" t="s">
        <v>101</v>
      </c>
      <c r="H509">
        <v>2024</v>
      </c>
      <c r="I509">
        <v>13723</v>
      </c>
      <c r="J509">
        <v>29.2</v>
      </c>
      <c r="K509" t="s">
        <v>24</v>
      </c>
      <c r="L509">
        <v>4.7</v>
      </c>
      <c r="M509">
        <v>9.4</v>
      </c>
      <c r="N509">
        <v>1352</v>
      </c>
      <c r="O509" t="s">
        <v>75</v>
      </c>
      <c r="P509">
        <v>25.8</v>
      </c>
      <c r="Q509" t="s">
        <v>65</v>
      </c>
      <c r="R509">
        <v>53.4</v>
      </c>
      <c r="S509">
        <v>-24.3</v>
      </c>
      <c r="T509">
        <v>-22.2</v>
      </c>
      <c r="U509">
        <v>3.7</v>
      </c>
      <c r="V509">
        <v>3.9</v>
      </c>
      <c r="W509">
        <v>2.2999999999999998</v>
      </c>
      <c r="X509" t="s">
        <v>66</v>
      </c>
    </row>
    <row r="510" spans="2:24" x14ac:dyDescent="0.3">
      <c r="B510" t="s">
        <v>603</v>
      </c>
      <c r="C510" t="s">
        <v>59</v>
      </c>
      <c r="D510" t="s">
        <v>4</v>
      </c>
      <c r="E510" t="s">
        <v>18</v>
      </c>
      <c r="F510" t="s">
        <v>11</v>
      </c>
      <c r="G510" t="s">
        <v>63</v>
      </c>
      <c r="H510">
        <v>2024</v>
      </c>
      <c r="I510">
        <v>461</v>
      </c>
      <c r="J510">
        <v>5.0999999999999996</v>
      </c>
      <c r="K510" t="s">
        <v>22</v>
      </c>
      <c r="L510">
        <v>9</v>
      </c>
      <c r="M510">
        <v>10</v>
      </c>
      <c r="N510">
        <v>1639</v>
      </c>
      <c r="O510" t="s">
        <v>55</v>
      </c>
      <c r="P510">
        <v>74.900000000000006</v>
      </c>
      <c r="Q510" t="s">
        <v>65</v>
      </c>
      <c r="R510">
        <v>-20.5</v>
      </c>
      <c r="S510">
        <v>15.5</v>
      </c>
      <c r="T510">
        <v>17.600000000000001</v>
      </c>
      <c r="U510">
        <v>7.8</v>
      </c>
      <c r="V510">
        <v>7.4</v>
      </c>
      <c r="W510">
        <v>5.2</v>
      </c>
      <c r="X510" t="s">
        <v>57</v>
      </c>
    </row>
    <row r="511" spans="2:24" x14ac:dyDescent="0.3">
      <c r="B511" t="s">
        <v>604</v>
      </c>
      <c r="C511" t="s">
        <v>142</v>
      </c>
      <c r="D511" t="s">
        <v>2</v>
      </c>
      <c r="E511" t="s">
        <v>19</v>
      </c>
      <c r="F511" t="s">
        <v>10</v>
      </c>
      <c r="G511" t="s">
        <v>112</v>
      </c>
      <c r="H511">
        <v>2025</v>
      </c>
      <c r="I511">
        <v>17632</v>
      </c>
      <c r="J511">
        <v>36.4</v>
      </c>
      <c r="K511" t="s">
        <v>24</v>
      </c>
      <c r="L511">
        <v>10.199999999999999</v>
      </c>
      <c r="M511">
        <v>10</v>
      </c>
      <c r="N511">
        <v>7581</v>
      </c>
      <c r="O511" t="s">
        <v>55</v>
      </c>
      <c r="P511">
        <v>34.299999999999997</v>
      </c>
      <c r="Q511" t="s">
        <v>76</v>
      </c>
      <c r="R511">
        <v>29</v>
      </c>
      <c r="S511">
        <v>24.2</v>
      </c>
      <c r="T511">
        <v>5.8</v>
      </c>
      <c r="U511">
        <v>7.6</v>
      </c>
      <c r="V511">
        <v>4</v>
      </c>
      <c r="W511">
        <v>3</v>
      </c>
      <c r="X511" t="s">
        <v>66</v>
      </c>
    </row>
    <row r="512" spans="2:24" x14ac:dyDescent="0.3">
      <c r="B512" t="s">
        <v>605</v>
      </c>
      <c r="C512" t="s">
        <v>59</v>
      </c>
      <c r="D512" t="s">
        <v>4</v>
      </c>
      <c r="E512" t="s">
        <v>18</v>
      </c>
      <c r="F512" t="s">
        <v>11</v>
      </c>
      <c r="G512" t="s">
        <v>63</v>
      </c>
      <c r="H512">
        <v>2026</v>
      </c>
      <c r="I512">
        <v>832</v>
      </c>
      <c r="J512">
        <v>6.7</v>
      </c>
      <c r="K512" t="s">
        <v>22</v>
      </c>
      <c r="L512">
        <v>5.3</v>
      </c>
      <c r="M512">
        <v>10</v>
      </c>
      <c r="N512">
        <v>3707</v>
      </c>
      <c r="O512" t="s">
        <v>55</v>
      </c>
      <c r="P512">
        <v>62.7</v>
      </c>
      <c r="Q512" t="s">
        <v>65</v>
      </c>
      <c r="R512">
        <v>89</v>
      </c>
      <c r="S512">
        <v>7.9</v>
      </c>
      <c r="T512">
        <v>4.5</v>
      </c>
      <c r="U512">
        <v>8</v>
      </c>
      <c r="V512">
        <v>7.9</v>
      </c>
      <c r="W512">
        <v>5.7</v>
      </c>
      <c r="X512" t="s">
        <v>57</v>
      </c>
    </row>
    <row r="513" spans="2:24" x14ac:dyDescent="0.3">
      <c r="B513" t="s">
        <v>606</v>
      </c>
      <c r="C513" t="s">
        <v>106</v>
      </c>
      <c r="D513" t="s">
        <v>3</v>
      </c>
      <c r="E513" t="s">
        <v>19</v>
      </c>
      <c r="F513" t="s">
        <v>10</v>
      </c>
      <c r="G513" t="s">
        <v>60</v>
      </c>
      <c r="H513">
        <v>2024</v>
      </c>
      <c r="I513">
        <v>3077</v>
      </c>
      <c r="J513">
        <v>1.9</v>
      </c>
      <c r="K513" t="s">
        <v>23</v>
      </c>
      <c r="L513">
        <v>1</v>
      </c>
      <c r="M513">
        <v>1</v>
      </c>
      <c r="N513">
        <v>2429</v>
      </c>
      <c r="O513" t="s">
        <v>55</v>
      </c>
      <c r="P513">
        <v>58.6</v>
      </c>
      <c r="Q513" t="s">
        <v>76</v>
      </c>
      <c r="R513">
        <v>56.2</v>
      </c>
      <c r="S513">
        <v>-8.3000000000000007</v>
      </c>
      <c r="T513">
        <v>-13.2</v>
      </c>
      <c r="U513">
        <v>1.3</v>
      </c>
      <c r="V513">
        <v>6.1</v>
      </c>
      <c r="W513">
        <v>8.1999999999999993</v>
      </c>
      <c r="X513" t="s">
        <v>116</v>
      </c>
    </row>
    <row r="514" spans="2:24" x14ac:dyDescent="0.3">
      <c r="B514" t="s">
        <v>607</v>
      </c>
      <c r="C514" t="s">
        <v>53</v>
      </c>
      <c r="D514" t="s">
        <v>7</v>
      </c>
      <c r="E514" t="s">
        <v>19</v>
      </c>
      <c r="F514" t="s">
        <v>9</v>
      </c>
      <c r="G514" t="s">
        <v>115</v>
      </c>
      <c r="H514">
        <v>2024</v>
      </c>
      <c r="I514">
        <v>9982</v>
      </c>
      <c r="J514">
        <v>25.4</v>
      </c>
      <c r="K514" t="s">
        <v>23</v>
      </c>
      <c r="L514">
        <v>2.1</v>
      </c>
      <c r="M514">
        <v>7.2</v>
      </c>
      <c r="N514">
        <v>1070</v>
      </c>
      <c r="O514" t="s">
        <v>75</v>
      </c>
      <c r="P514">
        <v>59.5</v>
      </c>
      <c r="Q514" t="s">
        <v>86</v>
      </c>
      <c r="R514">
        <v>48.3</v>
      </c>
      <c r="S514">
        <v>31.1</v>
      </c>
      <c r="T514">
        <v>-4.2</v>
      </c>
      <c r="U514">
        <v>1.4</v>
      </c>
      <c r="V514">
        <v>5.8</v>
      </c>
      <c r="W514">
        <v>5.4</v>
      </c>
      <c r="X514" t="s">
        <v>66</v>
      </c>
    </row>
    <row r="515" spans="2:24" x14ac:dyDescent="0.3">
      <c r="B515" t="s">
        <v>608</v>
      </c>
      <c r="C515" t="s">
        <v>159</v>
      </c>
      <c r="D515" t="s">
        <v>7</v>
      </c>
      <c r="E515" t="s">
        <v>15</v>
      </c>
      <c r="F515" t="s">
        <v>11</v>
      </c>
      <c r="G515" t="s">
        <v>78</v>
      </c>
      <c r="H515">
        <v>2024</v>
      </c>
      <c r="I515">
        <v>6491</v>
      </c>
      <c r="J515">
        <v>5.7</v>
      </c>
      <c r="K515" t="s">
        <v>22</v>
      </c>
      <c r="L515">
        <v>2.7</v>
      </c>
      <c r="M515">
        <v>7.6</v>
      </c>
      <c r="N515">
        <v>2298</v>
      </c>
      <c r="O515" t="s">
        <v>55</v>
      </c>
      <c r="P515">
        <v>53.4</v>
      </c>
      <c r="Q515" t="s">
        <v>56</v>
      </c>
      <c r="R515">
        <v>2.2999999999999998</v>
      </c>
      <c r="S515">
        <v>11</v>
      </c>
      <c r="T515">
        <v>6.7</v>
      </c>
      <c r="U515">
        <v>4</v>
      </c>
      <c r="V515">
        <v>7</v>
      </c>
      <c r="W515">
        <v>6.7</v>
      </c>
      <c r="X515" t="s">
        <v>116</v>
      </c>
    </row>
    <row r="516" spans="2:24" x14ac:dyDescent="0.3">
      <c r="B516" t="s">
        <v>609</v>
      </c>
      <c r="C516" t="s">
        <v>81</v>
      </c>
      <c r="D516" t="s">
        <v>5</v>
      </c>
      <c r="E516" t="s">
        <v>16</v>
      </c>
      <c r="F516" t="s">
        <v>12</v>
      </c>
      <c r="G516" t="s">
        <v>54</v>
      </c>
      <c r="H516">
        <v>2026</v>
      </c>
      <c r="I516">
        <v>11001</v>
      </c>
      <c r="J516">
        <v>9.8000000000000007</v>
      </c>
      <c r="K516" t="s">
        <v>22</v>
      </c>
      <c r="L516">
        <v>11.9</v>
      </c>
      <c r="M516">
        <v>10</v>
      </c>
      <c r="N516">
        <v>1478</v>
      </c>
      <c r="O516" t="s">
        <v>55</v>
      </c>
      <c r="P516">
        <v>66.5</v>
      </c>
      <c r="Q516" t="s">
        <v>79</v>
      </c>
      <c r="R516">
        <v>1.8</v>
      </c>
      <c r="S516">
        <v>49.7</v>
      </c>
      <c r="T516">
        <v>11.3</v>
      </c>
      <c r="U516">
        <v>7.9</v>
      </c>
      <c r="V516">
        <v>6.9</v>
      </c>
      <c r="W516">
        <v>5.6</v>
      </c>
      <c r="X516" t="s">
        <v>66</v>
      </c>
    </row>
    <row r="517" spans="2:24" x14ac:dyDescent="0.3">
      <c r="B517" t="s">
        <v>610</v>
      </c>
      <c r="C517" t="s">
        <v>142</v>
      </c>
      <c r="D517" t="s">
        <v>2</v>
      </c>
      <c r="E517" t="s">
        <v>15</v>
      </c>
      <c r="F517" t="s">
        <v>11</v>
      </c>
      <c r="G517" t="s">
        <v>115</v>
      </c>
      <c r="H517">
        <v>2026</v>
      </c>
      <c r="I517">
        <v>1497</v>
      </c>
      <c r="J517">
        <v>5.6</v>
      </c>
      <c r="K517" t="s">
        <v>23</v>
      </c>
      <c r="L517">
        <v>10.199999999999999</v>
      </c>
      <c r="M517">
        <v>10</v>
      </c>
      <c r="N517">
        <v>5739</v>
      </c>
      <c r="O517" t="s">
        <v>55</v>
      </c>
      <c r="P517">
        <v>16.2</v>
      </c>
      <c r="Q517" t="s">
        <v>76</v>
      </c>
      <c r="R517">
        <v>78.099999999999994</v>
      </c>
      <c r="S517">
        <v>26.1</v>
      </c>
      <c r="T517">
        <v>6.9</v>
      </c>
      <c r="U517">
        <v>6.9</v>
      </c>
      <c r="V517">
        <v>6.6</v>
      </c>
      <c r="W517">
        <v>6.5</v>
      </c>
      <c r="X517" t="s">
        <v>57</v>
      </c>
    </row>
    <row r="518" spans="2:24" x14ac:dyDescent="0.3">
      <c r="B518" t="s">
        <v>611</v>
      </c>
      <c r="C518" t="s">
        <v>92</v>
      </c>
      <c r="D518" t="s">
        <v>7</v>
      </c>
      <c r="E518" t="s">
        <v>19</v>
      </c>
      <c r="F518" t="s">
        <v>11</v>
      </c>
      <c r="G518" t="s">
        <v>112</v>
      </c>
      <c r="H518">
        <v>2024</v>
      </c>
      <c r="I518">
        <v>349</v>
      </c>
      <c r="J518">
        <v>4.0999999999999996</v>
      </c>
      <c r="K518" t="s">
        <v>22</v>
      </c>
      <c r="L518">
        <v>11</v>
      </c>
      <c r="M518">
        <v>10</v>
      </c>
      <c r="N518">
        <v>5771</v>
      </c>
      <c r="O518" t="s">
        <v>55</v>
      </c>
      <c r="P518">
        <v>19.3</v>
      </c>
      <c r="Q518" t="s">
        <v>125</v>
      </c>
      <c r="R518">
        <v>1.5</v>
      </c>
      <c r="S518">
        <v>-9</v>
      </c>
      <c r="T518">
        <v>8.1</v>
      </c>
      <c r="U518">
        <v>9.6999999999999993</v>
      </c>
      <c r="V518">
        <v>5.3</v>
      </c>
      <c r="W518">
        <v>5.4</v>
      </c>
      <c r="X518" t="s">
        <v>57</v>
      </c>
    </row>
    <row r="519" spans="2:24" x14ac:dyDescent="0.3">
      <c r="B519" t="s">
        <v>612</v>
      </c>
      <c r="C519" t="s">
        <v>106</v>
      </c>
      <c r="D519" t="s">
        <v>3</v>
      </c>
      <c r="E519" t="s">
        <v>15</v>
      </c>
      <c r="F519" t="s">
        <v>11</v>
      </c>
      <c r="G519" t="s">
        <v>98</v>
      </c>
      <c r="H519">
        <v>2025</v>
      </c>
      <c r="I519">
        <v>5167</v>
      </c>
      <c r="J519">
        <v>7.7</v>
      </c>
      <c r="K519" t="s">
        <v>23</v>
      </c>
      <c r="L519">
        <v>2.9</v>
      </c>
      <c r="M519">
        <v>5</v>
      </c>
      <c r="N519">
        <v>4852</v>
      </c>
      <c r="O519" t="s">
        <v>55</v>
      </c>
      <c r="P519">
        <v>73.7</v>
      </c>
      <c r="Q519" t="s">
        <v>56</v>
      </c>
      <c r="R519">
        <v>49.1</v>
      </c>
      <c r="S519">
        <v>-0.4</v>
      </c>
      <c r="T519">
        <v>-9</v>
      </c>
      <c r="U519">
        <v>4.2</v>
      </c>
      <c r="V519">
        <v>6.4</v>
      </c>
      <c r="W519">
        <v>6.1</v>
      </c>
      <c r="X519" t="s">
        <v>116</v>
      </c>
    </row>
    <row r="520" spans="2:24" x14ac:dyDescent="0.3">
      <c r="B520" t="s">
        <v>613</v>
      </c>
      <c r="C520" t="s">
        <v>142</v>
      </c>
      <c r="D520" t="s">
        <v>2</v>
      </c>
      <c r="E520" t="s">
        <v>18</v>
      </c>
      <c r="F520" t="s">
        <v>12</v>
      </c>
      <c r="G520" t="s">
        <v>74</v>
      </c>
      <c r="H520">
        <v>2026</v>
      </c>
      <c r="I520">
        <v>167</v>
      </c>
      <c r="J520">
        <v>4.0999999999999996</v>
      </c>
      <c r="K520" t="s">
        <v>24</v>
      </c>
      <c r="L520">
        <v>5.4</v>
      </c>
      <c r="M520">
        <v>10</v>
      </c>
      <c r="N520">
        <v>9269</v>
      </c>
      <c r="O520" t="s">
        <v>118</v>
      </c>
      <c r="P520">
        <v>28.6</v>
      </c>
      <c r="Q520" t="s">
        <v>56</v>
      </c>
      <c r="R520">
        <v>73</v>
      </c>
      <c r="S520">
        <v>19</v>
      </c>
      <c r="T520">
        <v>3.6</v>
      </c>
      <c r="U520">
        <v>8.1</v>
      </c>
      <c r="V520">
        <v>8.3000000000000007</v>
      </c>
      <c r="W520">
        <v>5.6</v>
      </c>
      <c r="X520" t="s">
        <v>57</v>
      </c>
    </row>
    <row r="521" spans="2:24" x14ac:dyDescent="0.3">
      <c r="B521" t="s">
        <v>614</v>
      </c>
      <c r="C521" t="s">
        <v>139</v>
      </c>
      <c r="D521" t="s">
        <v>8</v>
      </c>
      <c r="E521" t="s">
        <v>15</v>
      </c>
      <c r="F521" t="s">
        <v>12</v>
      </c>
      <c r="G521" t="s">
        <v>69</v>
      </c>
      <c r="H521">
        <v>2026</v>
      </c>
      <c r="I521">
        <v>2071</v>
      </c>
      <c r="J521">
        <v>0</v>
      </c>
      <c r="K521" t="s">
        <v>25</v>
      </c>
      <c r="L521">
        <v>8.6999999999999993</v>
      </c>
      <c r="M521">
        <v>5.0999999999999996</v>
      </c>
      <c r="N521">
        <v>4538</v>
      </c>
      <c r="O521" t="s">
        <v>55</v>
      </c>
      <c r="P521">
        <v>42.2</v>
      </c>
      <c r="Q521" t="s">
        <v>86</v>
      </c>
      <c r="R521">
        <v>21.5</v>
      </c>
      <c r="S521">
        <v>31.3</v>
      </c>
      <c r="T521">
        <v>19.8</v>
      </c>
      <c r="U521">
        <v>5.5</v>
      </c>
      <c r="V521">
        <v>9</v>
      </c>
      <c r="W521">
        <v>8.3000000000000007</v>
      </c>
      <c r="X521" t="s">
        <v>57</v>
      </c>
    </row>
    <row r="522" spans="2:24" x14ac:dyDescent="0.3">
      <c r="B522" t="s">
        <v>615</v>
      </c>
      <c r="C522" t="s">
        <v>59</v>
      </c>
      <c r="D522" t="s">
        <v>4</v>
      </c>
      <c r="E522" t="s">
        <v>18</v>
      </c>
      <c r="F522" t="s">
        <v>9</v>
      </c>
      <c r="G522" t="s">
        <v>74</v>
      </c>
      <c r="H522">
        <v>2026</v>
      </c>
      <c r="I522">
        <v>4323</v>
      </c>
      <c r="J522">
        <v>37.1</v>
      </c>
      <c r="K522" t="s">
        <v>25</v>
      </c>
      <c r="L522">
        <v>4.4000000000000004</v>
      </c>
      <c r="M522">
        <v>10</v>
      </c>
      <c r="N522">
        <v>1395</v>
      </c>
      <c r="O522" t="s">
        <v>75</v>
      </c>
      <c r="P522">
        <v>32</v>
      </c>
      <c r="Q522" t="s">
        <v>65</v>
      </c>
      <c r="R522">
        <v>6.8</v>
      </c>
      <c r="S522">
        <v>15.2</v>
      </c>
      <c r="T522">
        <v>-9.4</v>
      </c>
      <c r="U522">
        <v>2.8</v>
      </c>
      <c r="V522">
        <v>5.0999999999999996</v>
      </c>
      <c r="W522">
        <v>2.2000000000000002</v>
      </c>
      <c r="X522" t="s">
        <v>66</v>
      </c>
    </row>
    <row r="523" spans="2:24" x14ac:dyDescent="0.3">
      <c r="B523" t="s">
        <v>616</v>
      </c>
      <c r="C523" t="s">
        <v>27</v>
      </c>
      <c r="D523" t="s">
        <v>2</v>
      </c>
      <c r="E523" t="s">
        <v>16</v>
      </c>
      <c r="F523" t="s">
        <v>11</v>
      </c>
      <c r="G523" t="s">
        <v>98</v>
      </c>
      <c r="H523">
        <v>2024</v>
      </c>
      <c r="I523">
        <v>19497</v>
      </c>
      <c r="J523">
        <v>38.799999999999997</v>
      </c>
      <c r="K523" t="s">
        <v>25</v>
      </c>
      <c r="L523">
        <v>9.1</v>
      </c>
      <c r="M523">
        <v>10</v>
      </c>
      <c r="N523">
        <v>9418</v>
      </c>
      <c r="O523" t="s">
        <v>64</v>
      </c>
      <c r="P523">
        <v>89.4</v>
      </c>
      <c r="Q523" t="s">
        <v>76</v>
      </c>
      <c r="R523">
        <v>11.1</v>
      </c>
      <c r="S523">
        <v>-4.7</v>
      </c>
      <c r="T523">
        <v>-1.7</v>
      </c>
      <c r="U523">
        <v>5.4</v>
      </c>
      <c r="V523">
        <v>4.3</v>
      </c>
      <c r="W523">
        <v>2.2000000000000002</v>
      </c>
      <c r="X523" t="s">
        <v>66</v>
      </c>
    </row>
    <row r="524" spans="2:24" x14ac:dyDescent="0.3">
      <c r="B524" t="s">
        <v>617</v>
      </c>
      <c r="C524" t="s">
        <v>73</v>
      </c>
      <c r="D524" t="s">
        <v>2</v>
      </c>
      <c r="E524" t="s">
        <v>16</v>
      </c>
      <c r="F524" t="s">
        <v>11</v>
      </c>
      <c r="G524" t="s">
        <v>60</v>
      </c>
      <c r="H524">
        <v>2025</v>
      </c>
      <c r="I524">
        <v>1443</v>
      </c>
      <c r="J524">
        <v>1.7</v>
      </c>
      <c r="K524" t="s">
        <v>22</v>
      </c>
      <c r="L524">
        <v>11.6</v>
      </c>
      <c r="M524">
        <v>10</v>
      </c>
      <c r="N524">
        <v>7085</v>
      </c>
      <c r="O524" t="s">
        <v>118</v>
      </c>
      <c r="P524">
        <v>14.7</v>
      </c>
      <c r="Q524" t="s">
        <v>76</v>
      </c>
      <c r="R524">
        <v>69.3</v>
      </c>
      <c r="S524">
        <v>40.799999999999997</v>
      </c>
      <c r="T524">
        <v>22.7</v>
      </c>
      <c r="U524">
        <v>7.9</v>
      </c>
      <c r="V524">
        <v>9.6</v>
      </c>
      <c r="W524">
        <v>7.5</v>
      </c>
      <c r="X524" t="s">
        <v>116</v>
      </c>
    </row>
    <row r="525" spans="2:24" x14ac:dyDescent="0.3">
      <c r="B525" t="s">
        <v>618</v>
      </c>
      <c r="C525" t="s">
        <v>27</v>
      </c>
      <c r="D525" t="s">
        <v>2</v>
      </c>
      <c r="E525" t="s">
        <v>15</v>
      </c>
      <c r="F525" t="s">
        <v>10</v>
      </c>
      <c r="G525" t="s">
        <v>78</v>
      </c>
      <c r="H525">
        <v>2025</v>
      </c>
      <c r="I525">
        <v>3142</v>
      </c>
      <c r="J525">
        <v>12.9</v>
      </c>
      <c r="K525" t="s">
        <v>23</v>
      </c>
      <c r="L525">
        <v>7.3</v>
      </c>
      <c r="M525">
        <v>10</v>
      </c>
      <c r="N525">
        <v>9664</v>
      </c>
      <c r="O525" t="s">
        <v>55</v>
      </c>
      <c r="P525">
        <v>56.2</v>
      </c>
      <c r="Q525" t="s">
        <v>56</v>
      </c>
      <c r="R525">
        <v>51.3</v>
      </c>
      <c r="S525">
        <v>10.199999999999999</v>
      </c>
      <c r="T525">
        <v>-2.5</v>
      </c>
      <c r="U525">
        <v>6.9</v>
      </c>
      <c r="V525">
        <v>7.3</v>
      </c>
      <c r="W525">
        <v>5.6</v>
      </c>
      <c r="X525" t="s">
        <v>66</v>
      </c>
    </row>
    <row r="526" spans="2:24" x14ac:dyDescent="0.3">
      <c r="B526" t="s">
        <v>619</v>
      </c>
      <c r="C526" t="s">
        <v>83</v>
      </c>
      <c r="D526" t="s">
        <v>4</v>
      </c>
      <c r="E526" t="s">
        <v>18</v>
      </c>
      <c r="F526" t="s">
        <v>10</v>
      </c>
      <c r="G526" t="s">
        <v>74</v>
      </c>
      <c r="H526">
        <v>2024</v>
      </c>
      <c r="I526">
        <v>14004</v>
      </c>
      <c r="J526">
        <v>8.4</v>
      </c>
      <c r="K526" t="s">
        <v>25</v>
      </c>
      <c r="L526">
        <v>2.1</v>
      </c>
      <c r="M526">
        <v>2</v>
      </c>
      <c r="N526">
        <v>1590</v>
      </c>
      <c r="O526" t="s">
        <v>64</v>
      </c>
      <c r="P526">
        <v>56.5</v>
      </c>
      <c r="Q526" t="s">
        <v>65</v>
      </c>
      <c r="R526">
        <v>26.4</v>
      </c>
      <c r="S526">
        <v>26.9</v>
      </c>
      <c r="T526">
        <v>9.6</v>
      </c>
      <c r="U526">
        <v>2</v>
      </c>
      <c r="V526">
        <v>8.6999999999999993</v>
      </c>
      <c r="W526">
        <v>7</v>
      </c>
      <c r="X526" t="s">
        <v>66</v>
      </c>
    </row>
    <row r="527" spans="2:24" x14ac:dyDescent="0.3">
      <c r="B527" t="s">
        <v>620</v>
      </c>
      <c r="C527" t="s">
        <v>100</v>
      </c>
      <c r="D527" t="s">
        <v>3</v>
      </c>
      <c r="E527" t="s">
        <v>16</v>
      </c>
      <c r="F527" t="s">
        <v>9</v>
      </c>
      <c r="G527" t="s">
        <v>101</v>
      </c>
      <c r="H527">
        <v>2024</v>
      </c>
      <c r="I527">
        <v>1306</v>
      </c>
      <c r="J527">
        <v>6.5</v>
      </c>
      <c r="K527" t="s">
        <v>21</v>
      </c>
      <c r="L527">
        <v>4.0999999999999996</v>
      </c>
      <c r="M527">
        <v>3.6</v>
      </c>
      <c r="N527">
        <v>605</v>
      </c>
      <c r="O527" t="s">
        <v>64</v>
      </c>
      <c r="P527">
        <v>87.8</v>
      </c>
      <c r="Q527" t="s">
        <v>56</v>
      </c>
      <c r="R527">
        <v>75.3</v>
      </c>
      <c r="S527">
        <v>2.9</v>
      </c>
      <c r="T527">
        <v>-8.8000000000000007</v>
      </c>
      <c r="U527">
        <v>3.4</v>
      </c>
      <c r="V527">
        <v>6.1</v>
      </c>
      <c r="W527">
        <v>6.7</v>
      </c>
      <c r="X527" t="s">
        <v>57</v>
      </c>
    </row>
    <row r="528" spans="2:24" x14ac:dyDescent="0.3">
      <c r="B528" t="s">
        <v>621</v>
      </c>
      <c r="C528" t="s">
        <v>92</v>
      </c>
      <c r="D528" t="s">
        <v>7</v>
      </c>
      <c r="E528" t="s">
        <v>18</v>
      </c>
      <c r="F528" t="s">
        <v>9</v>
      </c>
      <c r="G528" t="s">
        <v>104</v>
      </c>
      <c r="H528">
        <v>2026</v>
      </c>
      <c r="I528">
        <v>12979</v>
      </c>
      <c r="J528">
        <v>36.299999999999997</v>
      </c>
      <c r="K528" t="s">
        <v>24</v>
      </c>
      <c r="L528">
        <v>8.4</v>
      </c>
      <c r="M528">
        <v>10</v>
      </c>
      <c r="N528">
        <v>381</v>
      </c>
      <c r="O528" t="s">
        <v>75</v>
      </c>
      <c r="P528">
        <v>80.8</v>
      </c>
      <c r="Q528" t="s">
        <v>125</v>
      </c>
      <c r="R528">
        <v>-18.600000000000001</v>
      </c>
      <c r="S528">
        <v>54.3</v>
      </c>
      <c r="T528">
        <v>10.8</v>
      </c>
      <c r="U528">
        <v>7.3</v>
      </c>
      <c r="V528">
        <v>6.5</v>
      </c>
      <c r="W528">
        <v>4.5999999999999996</v>
      </c>
      <c r="X528" t="s">
        <v>66</v>
      </c>
    </row>
    <row r="529" spans="2:24" x14ac:dyDescent="0.3">
      <c r="B529" t="s">
        <v>622</v>
      </c>
      <c r="C529" t="s">
        <v>106</v>
      </c>
      <c r="D529" t="s">
        <v>7</v>
      </c>
      <c r="E529" t="s">
        <v>16</v>
      </c>
      <c r="F529" t="s">
        <v>10</v>
      </c>
      <c r="G529" t="s">
        <v>115</v>
      </c>
      <c r="H529">
        <v>2025</v>
      </c>
      <c r="I529">
        <v>5373</v>
      </c>
      <c r="J529">
        <v>9.9</v>
      </c>
      <c r="K529" t="s">
        <v>24</v>
      </c>
      <c r="L529">
        <v>10.6</v>
      </c>
      <c r="M529">
        <v>10</v>
      </c>
      <c r="N529">
        <v>5006</v>
      </c>
      <c r="O529" t="s">
        <v>55</v>
      </c>
      <c r="P529">
        <v>43.7</v>
      </c>
      <c r="Q529" t="s">
        <v>76</v>
      </c>
      <c r="R529">
        <v>63</v>
      </c>
      <c r="S529">
        <v>-10.6</v>
      </c>
      <c r="T529">
        <v>-8.6</v>
      </c>
      <c r="U529">
        <v>7.7</v>
      </c>
      <c r="V529">
        <v>7.7</v>
      </c>
      <c r="W529">
        <v>4.5999999999999996</v>
      </c>
      <c r="X529" t="s">
        <v>116</v>
      </c>
    </row>
    <row r="530" spans="2:24" x14ac:dyDescent="0.3">
      <c r="B530" t="s">
        <v>623</v>
      </c>
      <c r="C530" t="s">
        <v>106</v>
      </c>
      <c r="D530" t="s">
        <v>2</v>
      </c>
      <c r="E530" t="s">
        <v>15</v>
      </c>
      <c r="F530" t="s">
        <v>11</v>
      </c>
      <c r="G530" t="s">
        <v>69</v>
      </c>
      <c r="H530">
        <v>2026</v>
      </c>
      <c r="I530">
        <v>1564</v>
      </c>
      <c r="J530">
        <v>0.1</v>
      </c>
      <c r="K530" t="s">
        <v>22</v>
      </c>
      <c r="L530">
        <v>8.5</v>
      </c>
      <c r="M530">
        <v>4.5999999999999996</v>
      </c>
      <c r="N530">
        <v>1542</v>
      </c>
      <c r="O530" t="s">
        <v>55</v>
      </c>
      <c r="P530">
        <v>22.6</v>
      </c>
      <c r="Q530" t="s">
        <v>56</v>
      </c>
      <c r="R530">
        <v>14.3</v>
      </c>
      <c r="S530">
        <v>-1.6</v>
      </c>
      <c r="T530">
        <v>12.9</v>
      </c>
      <c r="U530">
        <v>9.4</v>
      </c>
      <c r="V530">
        <v>6.5</v>
      </c>
      <c r="W530">
        <v>7.3</v>
      </c>
      <c r="X530" t="s">
        <v>57</v>
      </c>
    </row>
    <row r="531" spans="2:24" x14ac:dyDescent="0.3">
      <c r="B531" t="s">
        <v>624</v>
      </c>
      <c r="C531" t="s">
        <v>122</v>
      </c>
      <c r="D531" t="s">
        <v>2</v>
      </c>
      <c r="E531" t="s">
        <v>19</v>
      </c>
      <c r="F531" t="s">
        <v>11</v>
      </c>
      <c r="G531" t="s">
        <v>54</v>
      </c>
      <c r="H531">
        <v>2026</v>
      </c>
      <c r="I531">
        <v>8908</v>
      </c>
      <c r="J531">
        <v>34</v>
      </c>
      <c r="K531" t="s">
        <v>25</v>
      </c>
      <c r="L531">
        <v>3.4</v>
      </c>
      <c r="M531">
        <v>10</v>
      </c>
      <c r="N531">
        <v>7389</v>
      </c>
      <c r="O531" t="s">
        <v>64</v>
      </c>
      <c r="P531">
        <v>15.1</v>
      </c>
      <c r="Q531" t="s">
        <v>76</v>
      </c>
      <c r="R531">
        <v>24.5</v>
      </c>
      <c r="S531">
        <v>12</v>
      </c>
      <c r="T531">
        <v>2.7</v>
      </c>
      <c r="U531">
        <v>3</v>
      </c>
      <c r="V531">
        <v>4.7</v>
      </c>
      <c r="W531">
        <v>2.7</v>
      </c>
      <c r="X531" t="s">
        <v>66</v>
      </c>
    </row>
    <row r="532" spans="2:24" x14ac:dyDescent="0.3">
      <c r="B532" t="s">
        <v>625</v>
      </c>
      <c r="C532" t="s">
        <v>90</v>
      </c>
      <c r="D532" t="s">
        <v>2</v>
      </c>
      <c r="E532" t="s">
        <v>16</v>
      </c>
      <c r="F532" t="s">
        <v>11</v>
      </c>
      <c r="G532" t="s">
        <v>131</v>
      </c>
      <c r="H532">
        <v>2026</v>
      </c>
      <c r="I532">
        <v>5401</v>
      </c>
      <c r="J532">
        <v>17.399999999999999</v>
      </c>
      <c r="K532" t="s">
        <v>22</v>
      </c>
      <c r="L532">
        <v>6.6</v>
      </c>
      <c r="M532">
        <v>10</v>
      </c>
      <c r="N532">
        <v>5345</v>
      </c>
      <c r="O532" t="s">
        <v>55</v>
      </c>
      <c r="P532">
        <v>57.3</v>
      </c>
      <c r="Q532" t="s">
        <v>56</v>
      </c>
      <c r="R532">
        <v>60.5</v>
      </c>
      <c r="S532">
        <v>26.5</v>
      </c>
      <c r="T532">
        <v>0.5</v>
      </c>
      <c r="U532">
        <v>7.4</v>
      </c>
      <c r="V532">
        <v>6.1</v>
      </c>
      <c r="W532">
        <v>4.5999999999999996</v>
      </c>
      <c r="X532" t="s">
        <v>116</v>
      </c>
    </row>
    <row r="533" spans="2:24" x14ac:dyDescent="0.3">
      <c r="B533" t="s">
        <v>626</v>
      </c>
      <c r="C533" t="s">
        <v>71</v>
      </c>
      <c r="D533" t="s">
        <v>5</v>
      </c>
      <c r="E533" t="s">
        <v>17</v>
      </c>
      <c r="F533" t="s">
        <v>10</v>
      </c>
      <c r="G533" t="s">
        <v>74</v>
      </c>
      <c r="H533">
        <v>2025</v>
      </c>
      <c r="I533">
        <v>2138</v>
      </c>
      <c r="J533">
        <v>2.5</v>
      </c>
      <c r="K533" t="s">
        <v>21</v>
      </c>
      <c r="L533">
        <v>4.4000000000000004</v>
      </c>
      <c r="M533">
        <v>10</v>
      </c>
      <c r="N533">
        <v>5229</v>
      </c>
      <c r="O533" t="s">
        <v>55</v>
      </c>
      <c r="P533">
        <v>55.5</v>
      </c>
      <c r="Q533" t="s">
        <v>125</v>
      </c>
      <c r="R533">
        <v>73.8</v>
      </c>
      <c r="S533">
        <v>-12.7</v>
      </c>
      <c r="T533">
        <v>-10</v>
      </c>
      <c r="U533">
        <v>5.4</v>
      </c>
      <c r="V533">
        <v>5.2</v>
      </c>
      <c r="W533">
        <v>5.7</v>
      </c>
      <c r="X533" t="s">
        <v>57</v>
      </c>
    </row>
    <row r="534" spans="2:24" x14ac:dyDescent="0.3">
      <c r="B534" t="s">
        <v>627</v>
      </c>
      <c r="C534" t="s">
        <v>106</v>
      </c>
      <c r="D534" t="s">
        <v>4</v>
      </c>
      <c r="E534" t="s">
        <v>18</v>
      </c>
      <c r="F534" t="s">
        <v>12</v>
      </c>
      <c r="G534" t="s">
        <v>98</v>
      </c>
      <c r="H534">
        <v>2025</v>
      </c>
      <c r="I534">
        <v>18107</v>
      </c>
      <c r="J534">
        <v>26.4</v>
      </c>
      <c r="K534" t="s">
        <v>23</v>
      </c>
      <c r="L534">
        <v>2.2000000000000002</v>
      </c>
      <c r="M534">
        <v>8.5</v>
      </c>
      <c r="N534">
        <v>103</v>
      </c>
      <c r="O534" t="s">
        <v>75</v>
      </c>
      <c r="P534">
        <v>60.6</v>
      </c>
      <c r="Q534" t="s">
        <v>125</v>
      </c>
      <c r="R534">
        <v>-42.5</v>
      </c>
      <c r="S534">
        <v>-15.3</v>
      </c>
      <c r="T534">
        <v>-11.6</v>
      </c>
      <c r="U534">
        <v>1.7</v>
      </c>
      <c r="V534">
        <v>5.6</v>
      </c>
      <c r="W534">
        <v>3.7</v>
      </c>
      <c r="X534" t="s">
        <v>66</v>
      </c>
    </row>
    <row r="535" spans="2:24" x14ac:dyDescent="0.3">
      <c r="B535" t="s">
        <v>628</v>
      </c>
      <c r="C535" t="s">
        <v>53</v>
      </c>
      <c r="D535" t="s">
        <v>4</v>
      </c>
      <c r="E535" t="s">
        <v>16</v>
      </c>
      <c r="F535" t="s">
        <v>9</v>
      </c>
      <c r="G535" t="s">
        <v>60</v>
      </c>
      <c r="H535">
        <v>2026</v>
      </c>
      <c r="I535">
        <v>4172</v>
      </c>
      <c r="J535">
        <v>15.6</v>
      </c>
      <c r="K535" t="s">
        <v>21</v>
      </c>
      <c r="L535">
        <v>9.1999999999999993</v>
      </c>
      <c r="M535">
        <v>10</v>
      </c>
      <c r="N535">
        <v>2681</v>
      </c>
      <c r="O535" t="s">
        <v>55</v>
      </c>
      <c r="P535">
        <v>87</v>
      </c>
      <c r="Q535" t="s">
        <v>125</v>
      </c>
      <c r="R535">
        <v>79.5</v>
      </c>
      <c r="S535">
        <v>23.1</v>
      </c>
      <c r="T535">
        <v>15.3</v>
      </c>
      <c r="U535">
        <v>7.8</v>
      </c>
      <c r="V535">
        <v>4.9000000000000004</v>
      </c>
      <c r="W535">
        <v>4.4000000000000004</v>
      </c>
      <c r="X535" t="s">
        <v>116</v>
      </c>
    </row>
    <row r="536" spans="2:24" x14ac:dyDescent="0.3">
      <c r="B536" t="s">
        <v>629</v>
      </c>
      <c r="C536" t="s">
        <v>100</v>
      </c>
      <c r="D536" t="s">
        <v>3</v>
      </c>
      <c r="E536" t="s">
        <v>18</v>
      </c>
      <c r="F536" t="s">
        <v>9</v>
      </c>
      <c r="G536" t="s">
        <v>60</v>
      </c>
      <c r="H536">
        <v>2024</v>
      </c>
      <c r="I536">
        <v>6930</v>
      </c>
      <c r="J536">
        <v>6.6</v>
      </c>
      <c r="K536" t="s">
        <v>25</v>
      </c>
      <c r="L536">
        <v>2.9</v>
      </c>
      <c r="M536">
        <v>4.7</v>
      </c>
      <c r="N536">
        <v>3581</v>
      </c>
      <c r="O536" t="s">
        <v>64</v>
      </c>
      <c r="P536">
        <v>84.5</v>
      </c>
      <c r="Q536" t="s">
        <v>88</v>
      </c>
      <c r="R536">
        <v>52.2</v>
      </c>
      <c r="S536">
        <v>50.7</v>
      </c>
      <c r="T536">
        <v>29.1</v>
      </c>
      <c r="U536">
        <v>2.1</v>
      </c>
      <c r="V536">
        <v>8</v>
      </c>
      <c r="W536">
        <v>8.5</v>
      </c>
      <c r="X536" t="s">
        <v>116</v>
      </c>
    </row>
    <row r="537" spans="2:24" x14ac:dyDescent="0.3">
      <c r="B537" t="s">
        <v>630</v>
      </c>
      <c r="C537" t="s">
        <v>90</v>
      </c>
      <c r="D537" t="s">
        <v>3</v>
      </c>
      <c r="E537" t="s">
        <v>19</v>
      </c>
      <c r="F537" t="s">
        <v>10</v>
      </c>
      <c r="G537" t="s">
        <v>78</v>
      </c>
      <c r="H537">
        <v>2026</v>
      </c>
      <c r="I537">
        <v>3503</v>
      </c>
      <c r="J537">
        <v>8.6</v>
      </c>
      <c r="K537" t="s">
        <v>22</v>
      </c>
      <c r="L537">
        <v>7.8</v>
      </c>
      <c r="M537">
        <v>5.8</v>
      </c>
      <c r="N537">
        <v>5663</v>
      </c>
      <c r="O537" t="s">
        <v>64</v>
      </c>
      <c r="P537">
        <v>74.099999999999994</v>
      </c>
      <c r="Q537" t="s">
        <v>76</v>
      </c>
      <c r="R537">
        <v>46.8</v>
      </c>
      <c r="S537">
        <v>38.299999999999997</v>
      </c>
      <c r="T537">
        <v>14.7</v>
      </c>
      <c r="U537">
        <v>4.9000000000000004</v>
      </c>
      <c r="V537">
        <v>6.1</v>
      </c>
      <c r="W537">
        <v>7.4</v>
      </c>
      <c r="X537" t="s">
        <v>116</v>
      </c>
    </row>
    <row r="538" spans="2:24" x14ac:dyDescent="0.3">
      <c r="B538" t="s">
        <v>631</v>
      </c>
      <c r="C538" t="s">
        <v>81</v>
      </c>
      <c r="D538" t="s">
        <v>5</v>
      </c>
      <c r="E538" t="s">
        <v>19</v>
      </c>
      <c r="F538" t="s">
        <v>10</v>
      </c>
      <c r="G538" t="s">
        <v>115</v>
      </c>
      <c r="H538">
        <v>2026</v>
      </c>
      <c r="I538">
        <v>12580</v>
      </c>
      <c r="J538">
        <v>23.8</v>
      </c>
      <c r="K538" t="s">
        <v>24</v>
      </c>
      <c r="L538">
        <v>2.6</v>
      </c>
      <c r="M538">
        <v>5.4</v>
      </c>
      <c r="N538">
        <v>1444</v>
      </c>
      <c r="O538" t="s">
        <v>75</v>
      </c>
      <c r="P538">
        <v>44.9</v>
      </c>
      <c r="Q538" t="s">
        <v>79</v>
      </c>
      <c r="R538">
        <v>-13.6</v>
      </c>
      <c r="S538">
        <v>-22.4</v>
      </c>
      <c r="T538">
        <v>-8</v>
      </c>
      <c r="U538">
        <v>2.2999999999999998</v>
      </c>
      <c r="V538">
        <v>3.7</v>
      </c>
      <c r="W538">
        <v>4.2</v>
      </c>
      <c r="X538" t="s">
        <v>66</v>
      </c>
    </row>
    <row r="539" spans="2:24" x14ac:dyDescent="0.3">
      <c r="B539" t="s">
        <v>632</v>
      </c>
      <c r="C539" t="s">
        <v>68</v>
      </c>
      <c r="D539" t="s">
        <v>8</v>
      </c>
      <c r="E539" t="s">
        <v>14</v>
      </c>
      <c r="F539" t="s">
        <v>9</v>
      </c>
      <c r="G539" t="s">
        <v>74</v>
      </c>
      <c r="H539">
        <v>2026</v>
      </c>
      <c r="I539">
        <v>1382</v>
      </c>
      <c r="J539">
        <v>4.3</v>
      </c>
      <c r="K539" t="s">
        <v>24</v>
      </c>
      <c r="L539">
        <v>4.7</v>
      </c>
      <c r="M539">
        <v>5</v>
      </c>
      <c r="N539">
        <v>495</v>
      </c>
      <c r="O539" t="s">
        <v>55</v>
      </c>
      <c r="P539">
        <v>88.1</v>
      </c>
      <c r="Q539" t="s">
        <v>76</v>
      </c>
      <c r="R539">
        <v>55.8</v>
      </c>
      <c r="S539">
        <v>-3.2</v>
      </c>
      <c r="T539">
        <v>8.6999999999999993</v>
      </c>
      <c r="U539">
        <v>4.4000000000000004</v>
      </c>
      <c r="V539">
        <v>5.4</v>
      </c>
      <c r="W539">
        <v>6.9</v>
      </c>
      <c r="X539" t="s">
        <v>57</v>
      </c>
    </row>
    <row r="540" spans="2:24" x14ac:dyDescent="0.3">
      <c r="B540" t="s">
        <v>633</v>
      </c>
      <c r="C540" t="s">
        <v>68</v>
      </c>
      <c r="D540" t="s">
        <v>8</v>
      </c>
      <c r="E540" t="s">
        <v>16</v>
      </c>
      <c r="F540" t="s">
        <v>11</v>
      </c>
      <c r="G540" t="s">
        <v>98</v>
      </c>
      <c r="H540">
        <v>2024</v>
      </c>
      <c r="I540">
        <v>7898</v>
      </c>
      <c r="J540">
        <v>23.5</v>
      </c>
      <c r="K540" t="s">
        <v>24</v>
      </c>
      <c r="L540">
        <v>1.5</v>
      </c>
      <c r="M540">
        <v>6.8</v>
      </c>
      <c r="N540">
        <v>1577</v>
      </c>
      <c r="O540" t="s">
        <v>75</v>
      </c>
      <c r="P540">
        <v>51.7</v>
      </c>
      <c r="Q540" t="s">
        <v>76</v>
      </c>
      <c r="R540">
        <v>4.9000000000000004</v>
      </c>
      <c r="S540">
        <v>-24.1</v>
      </c>
      <c r="T540">
        <v>-10.6</v>
      </c>
      <c r="U540">
        <v>2</v>
      </c>
      <c r="V540">
        <v>5.9</v>
      </c>
      <c r="W540">
        <v>2.9</v>
      </c>
      <c r="X540" t="s">
        <v>66</v>
      </c>
    </row>
    <row r="541" spans="2:24" x14ac:dyDescent="0.3">
      <c r="B541" t="s">
        <v>634</v>
      </c>
      <c r="C541" t="s">
        <v>71</v>
      </c>
      <c r="D541" t="s">
        <v>6</v>
      </c>
      <c r="E541" t="s">
        <v>19</v>
      </c>
      <c r="F541" t="s">
        <v>12</v>
      </c>
      <c r="G541" t="s">
        <v>78</v>
      </c>
      <c r="H541">
        <v>2024</v>
      </c>
      <c r="I541">
        <v>2286</v>
      </c>
      <c r="J541">
        <v>36.799999999999997</v>
      </c>
      <c r="K541" t="s">
        <v>21</v>
      </c>
      <c r="L541">
        <v>1.8</v>
      </c>
      <c r="M541">
        <v>6.9</v>
      </c>
      <c r="N541">
        <v>613</v>
      </c>
      <c r="O541" t="s">
        <v>75</v>
      </c>
      <c r="P541">
        <v>64</v>
      </c>
      <c r="Q541" t="s">
        <v>79</v>
      </c>
      <c r="R541">
        <v>89.1</v>
      </c>
      <c r="S541">
        <v>-15.8</v>
      </c>
      <c r="T541">
        <v>-14.2</v>
      </c>
      <c r="U541">
        <v>1.1000000000000001</v>
      </c>
      <c r="V541">
        <v>2.9</v>
      </c>
      <c r="W541">
        <v>3.1</v>
      </c>
      <c r="X541" t="s">
        <v>66</v>
      </c>
    </row>
    <row r="542" spans="2:24" x14ac:dyDescent="0.3">
      <c r="B542" t="s">
        <v>635</v>
      </c>
      <c r="C542" t="s">
        <v>68</v>
      </c>
      <c r="D542" t="s">
        <v>8</v>
      </c>
      <c r="E542" t="s">
        <v>19</v>
      </c>
      <c r="F542" t="s">
        <v>10</v>
      </c>
      <c r="G542" t="s">
        <v>78</v>
      </c>
      <c r="H542">
        <v>2025</v>
      </c>
      <c r="I542">
        <v>13359</v>
      </c>
      <c r="J542">
        <v>27.7</v>
      </c>
      <c r="K542" t="s">
        <v>21</v>
      </c>
      <c r="L542">
        <v>6.9</v>
      </c>
      <c r="M542">
        <v>10</v>
      </c>
      <c r="N542">
        <v>1810</v>
      </c>
      <c r="O542" t="s">
        <v>75</v>
      </c>
      <c r="P542">
        <v>87.9</v>
      </c>
      <c r="Q542" t="s">
        <v>84</v>
      </c>
      <c r="R542">
        <v>-36.299999999999997</v>
      </c>
      <c r="S542">
        <v>59</v>
      </c>
      <c r="T542">
        <v>20.2</v>
      </c>
      <c r="U542">
        <v>4.9000000000000004</v>
      </c>
      <c r="V542">
        <v>8.3000000000000007</v>
      </c>
      <c r="W542">
        <v>4.2</v>
      </c>
      <c r="X542" t="s">
        <v>66</v>
      </c>
    </row>
    <row r="543" spans="2:24" x14ac:dyDescent="0.3">
      <c r="B543" t="s">
        <v>636</v>
      </c>
      <c r="C543" t="s">
        <v>73</v>
      </c>
      <c r="D543" t="s">
        <v>3</v>
      </c>
      <c r="E543" t="s">
        <v>16</v>
      </c>
      <c r="F543" t="s">
        <v>10</v>
      </c>
      <c r="G543" t="s">
        <v>69</v>
      </c>
      <c r="H543">
        <v>2025</v>
      </c>
      <c r="I543">
        <v>1727</v>
      </c>
      <c r="J543">
        <v>7.9</v>
      </c>
      <c r="K543" t="s">
        <v>24</v>
      </c>
      <c r="L543">
        <v>1.8</v>
      </c>
      <c r="M543">
        <v>1</v>
      </c>
      <c r="N543">
        <v>1505</v>
      </c>
      <c r="O543" t="s">
        <v>64</v>
      </c>
      <c r="P543">
        <v>55.1</v>
      </c>
      <c r="Q543" t="s">
        <v>125</v>
      </c>
      <c r="R543">
        <v>-4.2</v>
      </c>
      <c r="S543">
        <v>11.1</v>
      </c>
      <c r="T543">
        <v>-0.7</v>
      </c>
      <c r="U543">
        <v>1.8</v>
      </c>
      <c r="V543">
        <v>8.4</v>
      </c>
      <c r="W543">
        <v>6.4</v>
      </c>
      <c r="X543" t="s">
        <v>57</v>
      </c>
    </row>
    <row r="544" spans="2:24" x14ac:dyDescent="0.3">
      <c r="B544" t="s">
        <v>637</v>
      </c>
      <c r="C544" t="s">
        <v>90</v>
      </c>
      <c r="D544" t="s">
        <v>2</v>
      </c>
      <c r="E544" t="s">
        <v>17</v>
      </c>
      <c r="F544" t="s">
        <v>9</v>
      </c>
      <c r="G544" t="s">
        <v>63</v>
      </c>
      <c r="H544">
        <v>2026</v>
      </c>
      <c r="I544">
        <v>14095</v>
      </c>
      <c r="J544">
        <v>30.7</v>
      </c>
      <c r="K544" t="s">
        <v>24</v>
      </c>
      <c r="L544">
        <v>5.6</v>
      </c>
      <c r="M544">
        <v>10</v>
      </c>
      <c r="N544">
        <v>6164</v>
      </c>
      <c r="O544" t="s">
        <v>64</v>
      </c>
      <c r="P544">
        <v>77.3</v>
      </c>
      <c r="Q544" t="s">
        <v>56</v>
      </c>
      <c r="R544">
        <v>41.6</v>
      </c>
      <c r="S544">
        <v>55.7</v>
      </c>
      <c r="T544">
        <v>13.8</v>
      </c>
      <c r="U544">
        <v>6.2</v>
      </c>
      <c r="V544">
        <v>7.5</v>
      </c>
      <c r="W544">
        <v>5.4</v>
      </c>
      <c r="X544" t="s">
        <v>66</v>
      </c>
    </row>
    <row r="545" spans="2:24" x14ac:dyDescent="0.3">
      <c r="B545" t="s">
        <v>638</v>
      </c>
      <c r="C545" t="s">
        <v>71</v>
      </c>
      <c r="D545" t="s">
        <v>6</v>
      </c>
      <c r="E545" t="s">
        <v>19</v>
      </c>
      <c r="F545" t="s">
        <v>12</v>
      </c>
      <c r="G545" t="s">
        <v>104</v>
      </c>
      <c r="H545">
        <v>2025</v>
      </c>
      <c r="I545">
        <v>6115</v>
      </c>
      <c r="J545">
        <v>10.8</v>
      </c>
      <c r="K545" t="s">
        <v>21</v>
      </c>
      <c r="L545">
        <v>6.6</v>
      </c>
      <c r="M545">
        <v>6.3</v>
      </c>
      <c r="N545">
        <v>467</v>
      </c>
      <c r="O545" t="s">
        <v>64</v>
      </c>
      <c r="P545">
        <v>46.6</v>
      </c>
      <c r="Q545" t="s">
        <v>88</v>
      </c>
      <c r="R545">
        <v>-33.4</v>
      </c>
      <c r="S545">
        <v>-22.4</v>
      </c>
      <c r="T545">
        <v>-7.4</v>
      </c>
      <c r="U545">
        <v>5.4</v>
      </c>
      <c r="V545">
        <v>4.8</v>
      </c>
      <c r="W545">
        <v>4.8</v>
      </c>
      <c r="X545" t="s">
        <v>116</v>
      </c>
    </row>
    <row r="546" spans="2:24" x14ac:dyDescent="0.3">
      <c r="B546" t="s">
        <v>639</v>
      </c>
      <c r="C546" t="s">
        <v>68</v>
      </c>
      <c r="D546" t="s">
        <v>8</v>
      </c>
      <c r="E546" t="s">
        <v>14</v>
      </c>
      <c r="F546" t="s">
        <v>9</v>
      </c>
      <c r="G546" t="s">
        <v>69</v>
      </c>
      <c r="H546">
        <v>2024</v>
      </c>
      <c r="I546">
        <v>1217</v>
      </c>
      <c r="J546">
        <v>0</v>
      </c>
      <c r="K546" t="s">
        <v>22</v>
      </c>
      <c r="L546">
        <v>7.5</v>
      </c>
      <c r="M546">
        <v>3.1</v>
      </c>
      <c r="N546">
        <v>469</v>
      </c>
      <c r="O546" t="s">
        <v>64</v>
      </c>
      <c r="P546">
        <v>27.1</v>
      </c>
      <c r="Q546" t="s">
        <v>76</v>
      </c>
      <c r="R546">
        <v>-21.4</v>
      </c>
      <c r="S546">
        <v>-19.2</v>
      </c>
      <c r="T546">
        <v>-11.4</v>
      </c>
      <c r="U546">
        <v>4.7</v>
      </c>
      <c r="V546">
        <v>7.8</v>
      </c>
      <c r="W546">
        <v>7.4</v>
      </c>
      <c r="X546" t="s">
        <v>57</v>
      </c>
    </row>
    <row r="547" spans="2:24" x14ac:dyDescent="0.3">
      <c r="B547" t="s">
        <v>640</v>
      </c>
      <c r="C547" t="s">
        <v>53</v>
      </c>
      <c r="D547" t="s">
        <v>2</v>
      </c>
      <c r="E547" t="s">
        <v>18</v>
      </c>
      <c r="F547" t="s">
        <v>11</v>
      </c>
      <c r="G547" t="s">
        <v>78</v>
      </c>
      <c r="H547">
        <v>2025</v>
      </c>
      <c r="I547">
        <v>383</v>
      </c>
      <c r="J547">
        <v>2.2999999999999998</v>
      </c>
      <c r="K547" t="s">
        <v>22</v>
      </c>
      <c r="L547">
        <v>6.2</v>
      </c>
      <c r="M547">
        <v>5</v>
      </c>
      <c r="N547">
        <v>3808</v>
      </c>
      <c r="O547" t="s">
        <v>55</v>
      </c>
      <c r="P547">
        <v>87.2</v>
      </c>
      <c r="Q547" t="s">
        <v>76</v>
      </c>
      <c r="R547">
        <v>-5.2</v>
      </c>
      <c r="S547">
        <v>40.200000000000003</v>
      </c>
      <c r="T547">
        <v>16.100000000000001</v>
      </c>
      <c r="U547">
        <v>5</v>
      </c>
      <c r="V547">
        <v>6.7</v>
      </c>
      <c r="W547">
        <v>7.9</v>
      </c>
      <c r="X547" t="s">
        <v>57</v>
      </c>
    </row>
    <row r="548" spans="2:24" x14ac:dyDescent="0.3">
      <c r="B548" t="s">
        <v>641</v>
      </c>
      <c r="C548" t="s">
        <v>139</v>
      </c>
      <c r="D548" t="s">
        <v>8</v>
      </c>
      <c r="E548" t="s">
        <v>17</v>
      </c>
      <c r="F548" t="s">
        <v>12</v>
      </c>
      <c r="G548" t="s">
        <v>74</v>
      </c>
      <c r="H548">
        <v>2025</v>
      </c>
      <c r="I548">
        <v>908</v>
      </c>
      <c r="J548">
        <v>11.4</v>
      </c>
      <c r="K548" t="s">
        <v>21</v>
      </c>
      <c r="L548">
        <v>6.4</v>
      </c>
      <c r="M548">
        <v>6.9</v>
      </c>
      <c r="N548">
        <v>1396</v>
      </c>
      <c r="O548" t="s">
        <v>64</v>
      </c>
      <c r="P548">
        <v>41.4</v>
      </c>
      <c r="Q548" t="s">
        <v>79</v>
      </c>
      <c r="R548">
        <v>-14.6</v>
      </c>
      <c r="S548">
        <v>25.1</v>
      </c>
      <c r="T548">
        <v>2.7</v>
      </c>
      <c r="U548">
        <v>6.1</v>
      </c>
      <c r="V548">
        <v>5.3</v>
      </c>
      <c r="W548">
        <v>6.3</v>
      </c>
      <c r="X548" t="s">
        <v>116</v>
      </c>
    </row>
    <row r="549" spans="2:24" x14ac:dyDescent="0.3">
      <c r="B549" t="s">
        <v>642</v>
      </c>
      <c r="C549" t="s">
        <v>73</v>
      </c>
      <c r="D549" t="s">
        <v>3</v>
      </c>
      <c r="E549" t="s">
        <v>19</v>
      </c>
      <c r="F549" t="s">
        <v>12</v>
      </c>
      <c r="G549" t="s">
        <v>69</v>
      </c>
      <c r="H549">
        <v>2026</v>
      </c>
      <c r="I549">
        <v>17365</v>
      </c>
      <c r="J549">
        <v>9.6999999999999993</v>
      </c>
      <c r="K549" t="s">
        <v>25</v>
      </c>
      <c r="L549">
        <v>5.9</v>
      </c>
      <c r="M549">
        <v>4.7</v>
      </c>
      <c r="N549">
        <v>545</v>
      </c>
      <c r="O549" t="s">
        <v>64</v>
      </c>
      <c r="P549">
        <v>67.7</v>
      </c>
      <c r="Q549" t="s">
        <v>79</v>
      </c>
      <c r="R549">
        <v>43</v>
      </c>
      <c r="S549">
        <v>21.5</v>
      </c>
      <c r="T549">
        <v>17.5</v>
      </c>
      <c r="U549">
        <v>4.3</v>
      </c>
      <c r="V549">
        <v>8.1999999999999993</v>
      </c>
      <c r="W549">
        <v>6.6</v>
      </c>
      <c r="X549" t="s">
        <v>66</v>
      </c>
    </row>
    <row r="550" spans="2:24" x14ac:dyDescent="0.3">
      <c r="B550" t="s">
        <v>643</v>
      </c>
      <c r="C550" t="s">
        <v>137</v>
      </c>
      <c r="D550" t="s">
        <v>3</v>
      </c>
      <c r="E550" t="s">
        <v>17</v>
      </c>
      <c r="F550" t="s">
        <v>12</v>
      </c>
      <c r="G550" t="s">
        <v>74</v>
      </c>
      <c r="H550">
        <v>2024</v>
      </c>
      <c r="I550">
        <v>517</v>
      </c>
      <c r="J550">
        <v>8.1999999999999993</v>
      </c>
      <c r="K550" t="s">
        <v>24</v>
      </c>
      <c r="L550">
        <v>5.4</v>
      </c>
      <c r="M550">
        <v>6.7</v>
      </c>
      <c r="N550">
        <v>4335</v>
      </c>
      <c r="O550" t="s">
        <v>55</v>
      </c>
      <c r="P550">
        <v>74.3</v>
      </c>
      <c r="Q550" t="s">
        <v>86</v>
      </c>
      <c r="R550">
        <v>65.8</v>
      </c>
      <c r="S550">
        <v>27</v>
      </c>
      <c r="T550">
        <v>9</v>
      </c>
      <c r="U550">
        <v>6.5</v>
      </c>
      <c r="V550">
        <v>5.3</v>
      </c>
      <c r="W550">
        <v>6.1</v>
      </c>
      <c r="X550" t="s">
        <v>57</v>
      </c>
    </row>
    <row r="551" spans="2:24" x14ac:dyDescent="0.3">
      <c r="B551" t="s">
        <v>644</v>
      </c>
      <c r="C551" t="s">
        <v>68</v>
      </c>
      <c r="D551" t="s">
        <v>8</v>
      </c>
      <c r="E551" t="s">
        <v>14</v>
      </c>
      <c r="F551" t="s">
        <v>10</v>
      </c>
      <c r="G551" t="s">
        <v>104</v>
      </c>
      <c r="H551">
        <v>2026</v>
      </c>
      <c r="I551">
        <v>1917</v>
      </c>
      <c r="J551">
        <v>10.199999999999999</v>
      </c>
      <c r="K551" t="s">
        <v>22</v>
      </c>
      <c r="L551">
        <v>10.4</v>
      </c>
      <c r="M551">
        <v>10</v>
      </c>
      <c r="N551">
        <v>4214</v>
      </c>
      <c r="O551" t="s">
        <v>64</v>
      </c>
      <c r="P551">
        <v>28.9</v>
      </c>
      <c r="Q551" t="s">
        <v>56</v>
      </c>
      <c r="R551">
        <v>-23.4</v>
      </c>
      <c r="S551">
        <v>46.1</v>
      </c>
      <c r="T551">
        <v>16.8</v>
      </c>
      <c r="U551">
        <v>6.2</v>
      </c>
      <c r="V551">
        <v>8.8000000000000007</v>
      </c>
      <c r="W551">
        <v>6.4</v>
      </c>
      <c r="X551" t="s">
        <v>116</v>
      </c>
    </row>
    <row r="552" spans="2:24" x14ac:dyDescent="0.3">
      <c r="B552" t="s">
        <v>645</v>
      </c>
      <c r="C552" t="s">
        <v>71</v>
      </c>
      <c r="D552" t="s">
        <v>5</v>
      </c>
      <c r="E552" t="s">
        <v>15</v>
      </c>
      <c r="F552" t="s">
        <v>11</v>
      </c>
      <c r="G552" t="s">
        <v>112</v>
      </c>
      <c r="H552">
        <v>2025</v>
      </c>
      <c r="I552">
        <v>16813</v>
      </c>
      <c r="J552">
        <v>21.6</v>
      </c>
      <c r="K552" t="s">
        <v>25</v>
      </c>
      <c r="L552">
        <v>7.9</v>
      </c>
      <c r="M552">
        <v>8</v>
      </c>
      <c r="N552">
        <v>1790</v>
      </c>
      <c r="O552" t="s">
        <v>64</v>
      </c>
      <c r="P552">
        <v>46.2</v>
      </c>
      <c r="Q552" t="s">
        <v>86</v>
      </c>
      <c r="R552">
        <v>50.3</v>
      </c>
      <c r="S552">
        <v>19.100000000000001</v>
      </c>
      <c r="T552">
        <v>6.2</v>
      </c>
      <c r="U552">
        <v>5.3</v>
      </c>
      <c r="V552">
        <v>7.6</v>
      </c>
      <c r="W552">
        <v>5.7</v>
      </c>
      <c r="X552" t="s">
        <v>66</v>
      </c>
    </row>
    <row r="553" spans="2:24" x14ac:dyDescent="0.3">
      <c r="B553" t="s">
        <v>646</v>
      </c>
      <c r="C553" t="s">
        <v>73</v>
      </c>
      <c r="D553" t="s">
        <v>3</v>
      </c>
      <c r="E553" t="s">
        <v>17</v>
      </c>
      <c r="F553" t="s">
        <v>12</v>
      </c>
      <c r="G553" t="s">
        <v>112</v>
      </c>
      <c r="H553">
        <v>2025</v>
      </c>
      <c r="I553">
        <v>84</v>
      </c>
      <c r="J553">
        <v>7.5</v>
      </c>
      <c r="K553" t="s">
        <v>22</v>
      </c>
      <c r="L553">
        <v>7</v>
      </c>
      <c r="M553">
        <v>9</v>
      </c>
      <c r="N553">
        <v>4036</v>
      </c>
      <c r="O553" t="s">
        <v>55</v>
      </c>
      <c r="P553">
        <v>62.6</v>
      </c>
      <c r="Q553" t="s">
        <v>65</v>
      </c>
      <c r="R553">
        <v>-19.399999999999999</v>
      </c>
      <c r="S553">
        <v>-18.5</v>
      </c>
      <c r="T553">
        <v>-4.5</v>
      </c>
      <c r="U553">
        <v>6.9</v>
      </c>
      <c r="V553">
        <v>5</v>
      </c>
      <c r="W553">
        <v>5.2</v>
      </c>
      <c r="X553" t="s">
        <v>57</v>
      </c>
    </row>
    <row r="554" spans="2:24" x14ac:dyDescent="0.3">
      <c r="B554" t="s">
        <v>647</v>
      </c>
      <c r="C554" t="s">
        <v>53</v>
      </c>
      <c r="D554" t="s">
        <v>4</v>
      </c>
      <c r="E554" t="s">
        <v>15</v>
      </c>
      <c r="F554" t="s">
        <v>9</v>
      </c>
      <c r="G554" t="s">
        <v>101</v>
      </c>
      <c r="H554">
        <v>2026</v>
      </c>
      <c r="I554">
        <v>19672</v>
      </c>
      <c r="J554">
        <v>33.6</v>
      </c>
      <c r="K554" t="s">
        <v>24</v>
      </c>
      <c r="L554">
        <v>2.2000000000000002</v>
      </c>
      <c r="M554">
        <v>7.9</v>
      </c>
      <c r="N554">
        <v>755</v>
      </c>
      <c r="O554" t="s">
        <v>75</v>
      </c>
      <c r="P554">
        <v>24.6</v>
      </c>
      <c r="Q554" t="s">
        <v>56</v>
      </c>
      <c r="R554">
        <v>43</v>
      </c>
      <c r="S554">
        <v>-20.100000000000001</v>
      </c>
      <c r="T554">
        <v>-26.7</v>
      </c>
      <c r="U554">
        <v>1.9</v>
      </c>
      <c r="V554">
        <v>3.1</v>
      </c>
      <c r="W554">
        <v>2.8</v>
      </c>
      <c r="X554" t="s">
        <v>66</v>
      </c>
    </row>
    <row r="555" spans="2:24" x14ac:dyDescent="0.3">
      <c r="B555" t="s">
        <v>648</v>
      </c>
      <c r="C555" t="s">
        <v>90</v>
      </c>
      <c r="D555" t="s">
        <v>6</v>
      </c>
      <c r="E555" t="s">
        <v>14</v>
      </c>
      <c r="F555" t="s">
        <v>12</v>
      </c>
      <c r="G555" t="s">
        <v>69</v>
      </c>
      <c r="H555">
        <v>2026</v>
      </c>
      <c r="I555">
        <v>946</v>
      </c>
      <c r="J555">
        <v>3.8</v>
      </c>
      <c r="K555" t="s">
        <v>24</v>
      </c>
      <c r="L555">
        <v>3.1</v>
      </c>
      <c r="M555">
        <v>1.6</v>
      </c>
      <c r="N555">
        <v>2294</v>
      </c>
      <c r="O555" t="s">
        <v>64</v>
      </c>
      <c r="P555">
        <v>14.8</v>
      </c>
      <c r="Q555" t="s">
        <v>84</v>
      </c>
      <c r="R555">
        <v>13.2</v>
      </c>
      <c r="S555">
        <v>-13.6</v>
      </c>
      <c r="T555">
        <v>-10.8</v>
      </c>
      <c r="U555">
        <v>3.3</v>
      </c>
      <c r="V555">
        <v>7.8</v>
      </c>
      <c r="W555">
        <v>7.6</v>
      </c>
      <c r="X555" t="s">
        <v>116</v>
      </c>
    </row>
    <row r="556" spans="2:24" x14ac:dyDescent="0.3">
      <c r="B556" t="s">
        <v>649</v>
      </c>
      <c r="C556" t="s">
        <v>106</v>
      </c>
      <c r="D556" t="s">
        <v>7</v>
      </c>
      <c r="E556" t="s">
        <v>19</v>
      </c>
      <c r="F556" t="s">
        <v>12</v>
      </c>
      <c r="G556" t="s">
        <v>60</v>
      </c>
      <c r="H556">
        <v>2025</v>
      </c>
      <c r="I556">
        <v>7041</v>
      </c>
      <c r="J556">
        <v>39.6</v>
      </c>
      <c r="K556" t="s">
        <v>24</v>
      </c>
      <c r="L556">
        <v>9.6999999999999993</v>
      </c>
      <c r="M556">
        <v>10</v>
      </c>
      <c r="N556">
        <v>248</v>
      </c>
      <c r="O556" t="s">
        <v>75</v>
      </c>
      <c r="P556">
        <v>19.399999999999999</v>
      </c>
      <c r="Q556" t="s">
        <v>88</v>
      </c>
      <c r="R556">
        <v>-4.4000000000000004</v>
      </c>
      <c r="S556">
        <v>59.8</v>
      </c>
      <c r="T556">
        <v>14.7</v>
      </c>
      <c r="U556">
        <v>9</v>
      </c>
      <c r="V556">
        <v>4.5</v>
      </c>
      <c r="W556">
        <v>4.0999999999999996</v>
      </c>
      <c r="X556" t="s">
        <v>66</v>
      </c>
    </row>
    <row r="557" spans="2:24" x14ac:dyDescent="0.3">
      <c r="B557" t="s">
        <v>650</v>
      </c>
      <c r="C557" t="s">
        <v>53</v>
      </c>
      <c r="D557" t="s">
        <v>7</v>
      </c>
      <c r="E557" t="s">
        <v>14</v>
      </c>
      <c r="F557" t="s">
        <v>10</v>
      </c>
      <c r="G557" t="s">
        <v>54</v>
      </c>
      <c r="H557">
        <v>2024</v>
      </c>
      <c r="I557">
        <v>5402</v>
      </c>
      <c r="J557">
        <v>11.7</v>
      </c>
      <c r="K557" t="s">
        <v>22</v>
      </c>
      <c r="L557">
        <v>5.9</v>
      </c>
      <c r="M557">
        <v>7.3</v>
      </c>
      <c r="N557">
        <v>1211</v>
      </c>
      <c r="O557" t="s">
        <v>64</v>
      </c>
      <c r="P557">
        <v>83.6</v>
      </c>
      <c r="Q557" t="s">
        <v>84</v>
      </c>
      <c r="R557">
        <v>48.8</v>
      </c>
      <c r="S557">
        <v>30.1</v>
      </c>
      <c r="T557">
        <v>14.7</v>
      </c>
      <c r="U557">
        <v>5.5</v>
      </c>
      <c r="V557">
        <v>7.5</v>
      </c>
      <c r="W557">
        <v>5.7</v>
      </c>
      <c r="X557" t="s">
        <v>116</v>
      </c>
    </row>
    <row r="558" spans="2:24" x14ac:dyDescent="0.3">
      <c r="B558" t="s">
        <v>651</v>
      </c>
      <c r="C558" t="s">
        <v>81</v>
      </c>
      <c r="D558" t="s">
        <v>5</v>
      </c>
      <c r="E558" t="s">
        <v>18</v>
      </c>
      <c r="F558" t="s">
        <v>10</v>
      </c>
      <c r="G558" t="s">
        <v>78</v>
      </c>
      <c r="H558">
        <v>2026</v>
      </c>
      <c r="I558">
        <v>193</v>
      </c>
      <c r="J558">
        <v>0</v>
      </c>
      <c r="K558" t="s">
        <v>25</v>
      </c>
      <c r="L558">
        <v>5.0999999999999996</v>
      </c>
      <c r="M558">
        <v>4.3</v>
      </c>
      <c r="N558">
        <v>2362</v>
      </c>
      <c r="O558" t="s">
        <v>55</v>
      </c>
      <c r="P558">
        <v>25.9</v>
      </c>
      <c r="Q558" t="s">
        <v>125</v>
      </c>
      <c r="R558">
        <v>46.3</v>
      </c>
      <c r="S558">
        <v>15.1</v>
      </c>
      <c r="T558">
        <v>16.2</v>
      </c>
      <c r="U558">
        <v>3.6</v>
      </c>
      <c r="V558">
        <v>7</v>
      </c>
      <c r="W558">
        <v>7.1</v>
      </c>
      <c r="X558" t="s">
        <v>57</v>
      </c>
    </row>
    <row r="559" spans="2:24" x14ac:dyDescent="0.3">
      <c r="B559" t="s">
        <v>652</v>
      </c>
      <c r="C559" t="s">
        <v>137</v>
      </c>
      <c r="D559" t="s">
        <v>3</v>
      </c>
      <c r="E559" t="s">
        <v>16</v>
      </c>
      <c r="F559" t="s">
        <v>9</v>
      </c>
      <c r="G559" t="s">
        <v>104</v>
      </c>
      <c r="H559">
        <v>2025</v>
      </c>
      <c r="I559">
        <v>7525</v>
      </c>
      <c r="J559">
        <v>25.3</v>
      </c>
      <c r="K559" t="s">
        <v>21</v>
      </c>
      <c r="L559">
        <v>4.8</v>
      </c>
      <c r="M559">
        <v>9.1999999999999993</v>
      </c>
      <c r="N559">
        <v>1871</v>
      </c>
      <c r="O559" t="s">
        <v>64</v>
      </c>
      <c r="P559">
        <v>32.1</v>
      </c>
      <c r="Q559" t="s">
        <v>86</v>
      </c>
      <c r="R559">
        <v>-17.399999999999999</v>
      </c>
      <c r="S559">
        <v>34</v>
      </c>
      <c r="T559">
        <v>-1.4</v>
      </c>
      <c r="U559">
        <v>5</v>
      </c>
      <c r="V559">
        <v>6.2</v>
      </c>
      <c r="W559">
        <v>4.5</v>
      </c>
      <c r="X559" t="s">
        <v>66</v>
      </c>
    </row>
    <row r="560" spans="2:24" x14ac:dyDescent="0.3">
      <c r="B560" t="s">
        <v>653</v>
      </c>
      <c r="C560" t="s">
        <v>53</v>
      </c>
      <c r="D560" t="s">
        <v>7</v>
      </c>
      <c r="E560" t="s">
        <v>15</v>
      </c>
      <c r="F560" t="s">
        <v>10</v>
      </c>
      <c r="G560" t="s">
        <v>131</v>
      </c>
      <c r="H560">
        <v>2026</v>
      </c>
      <c r="I560">
        <v>9545</v>
      </c>
      <c r="J560">
        <v>27.6</v>
      </c>
      <c r="K560" t="s">
        <v>21</v>
      </c>
      <c r="L560">
        <v>3.8</v>
      </c>
      <c r="M560">
        <v>9.6</v>
      </c>
      <c r="N560">
        <v>1137</v>
      </c>
      <c r="O560" t="s">
        <v>75</v>
      </c>
      <c r="P560">
        <v>52.6</v>
      </c>
      <c r="Q560" t="s">
        <v>76</v>
      </c>
      <c r="R560">
        <v>12.4</v>
      </c>
      <c r="S560">
        <v>-4.5</v>
      </c>
      <c r="T560">
        <v>0.9</v>
      </c>
      <c r="U560">
        <v>3.5</v>
      </c>
      <c r="V560">
        <v>4.3</v>
      </c>
      <c r="W560">
        <v>3.6</v>
      </c>
      <c r="X560" t="s">
        <v>66</v>
      </c>
    </row>
    <row r="561" spans="2:24" x14ac:dyDescent="0.3">
      <c r="B561" t="s">
        <v>654</v>
      </c>
      <c r="C561" t="s">
        <v>68</v>
      </c>
      <c r="D561" t="s">
        <v>8</v>
      </c>
      <c r="E561" t="s">
        <v>17</v>
      </c>
      <c r="F561" t="s">
        <v>10</v>
      </c>
      <c r="G561" t="s">
        <v>131</v>
      </c>
      <c r="H561">
        <v>2025</v>
      </c>
      <c r="I561">
        <v>17570</v>
      </c>
      <c r="J561">
        <v>27.6</v>
      </c>
      <c r="K561" t="s">
        <v>23</v>
      </c>
      <c r="L561">
        <v>1.6</v>
      </c>
      <c r="M561">
        <v>9</v>
      </c>
      <c r="N561">
        <v>799</v>
      </c>
      <c r="O561" t="s">
        <v>64</v>
      </c>
      <c r="P561">
        <v>12</v>
      </c>
      <c r="Q561" t="s">
        <v>56</v>
      </c>
      <c r="R561">
        <v>-28</v>
      </c>
      <c r="S561">
        <v>34.9</v>
      </c>
      <c r="T561">
        <v>10.1</v>
      </c>
      <c r="U561">
        <v>2.7</v>
      </c>
      <c r="V561">
        <v>5.2</v>
      </c>
      <c r="W561">
        <v>3.9</v>
      </c>
      <c r="X561" t="s">
        <v>66</v>
      </c>
    </row>
    <row r="562" spans="2:24" x14ac:dyDescent="0.3">
      <c r="B562" t="s">
        <v>655</v>
      </c>
      <c r="C562" t="s">
        <v>106</v>
      </c>
      <c r="D562" t="s">
        <v>3</v>
      </c>
      <c r="E562" t="s">
        <v>15</v>
      </c>
      <c r="F562" t="s">
        <v>11</v>
      </c>
      <c r="G562" t="s">
        <v>63</v>
      </c>
      <c r="H562">
        <v>2024</v>
      </c>
      <c r="I562">
        <v>6777</v>
      </c>
      <c r="J562">
        <v>14.2</v>
      </c>
      <c r="K562" t="s">
        <v>25</v>
      </c>
      <c r="L562">
        <v>4.5999999999999996</v>
      </c>
      <c r="M562">
        <v>7.1</v>
      </c>
      <c r="N562">
        <v>1783</v>
      </c>
      <c r="O562" t="s">
        <v>64</v>
      </c>
      <c r="P562">
        <v>28.8</v>
      </c>
      <c r="Q562" t="s">
        <v>65</v>
      </c>
      <c r="R562">
        <v>84.9</v>
      </c>
      <c r="S562">
        <v>-16.2</v>
      </c>
      <c r="T562">
        <v>-16.8</v>
      </c>
      <c r="U562">
        <v>3.1</v>
      </c>
      <c r="V562">
        <v>6.2</v>
      </c>
      <c r="W562">
        <v>5</v>
      </c>
      <c r="X562" t="s">
        <v>116</v>
      </c>
    </row>
    <row r="563" spans="2:24" x14ac:dyDescent="0.3">
      <c r="B563" t="s">
        <v>656</v>
      </c>
      <c r="C563" t="s">
        <v>62</v>
      </c>
      <c r="D563" t="s">
        <v>2</v>
      </c>
      <c r="E563" t="s">
        <v>16</v>
      </c>
      <c r="F563" t="s">
        <v>12</v>
      </c>
      <c r="G563" t="s">
        <v>131</v>
      </c>
      <c r="H563">
        <v>2026</v>
      </c>
      <c r="I563">
        <v>6169</v>
      </c>
      <c r="J563">
        <v>12.6</v>
      </c>
      <c r="K563" t="s">
        <v>22</v>
      </c>
      <c r="L563">
        <v>2.2000000000000002</v>
      </c>
      <c r="M563">
        <v>3.1</v>
      </c>
      <c r="N563">
        <v>5204</v>
      </c>
      <c r="O563" t="s">
        <v>64</v>
      </c>
      <c r="P563">
        <v>29.7</v>
      </c>
      <c r="Q563" t="s">
        <v>56</v>
      </c>
      <c r="R563">
        <v>55.8</v>
      </c>
      <c r="S563">
        <v>22.1</v>
      </c>
      <c r="T563">
        <v>7.9</v>
      </c>
      <c r="U563">
        <v>1.4</v>
      </c>
      <c r="V563">
        <v>6.5</v>
      </c>
      <c r="W563">
        <v>6.4</v>
      </c>
      <c r="X563" t="s">
        <v>116</v>
      </c>
    </row>
    <row r="564" spans="2:24" x14ac:dyDescent="0.3">
      <c r="B564" t="s">
        <v>657</v>
      </c>
      <c r="C564" t="s">
        <v>62</v>
      </c>
      <c r="D564" t="s">
        <v>2</v>
      </c>
      <c r="E564" t="s">
        <v>19</v>
      </c>
      <c r="F564" t="s">
        <v>11</v>
      </c>
      <c r="G564" t="s">
        <v>101</v>
      </c>
      <c r="H564">
        <v>2026</v>
      </c>
      <c r="I564">
        <v>796</v>
      </c>
      <c r="J564">
        <v>4.5</v>
      </c>
      <c r="K564" t="s">
        <v>21</v>
      </c>
      <c r="L564">
        <v>5.2</v>
      </c>
      <c r="M564">
        <v>3.4</v>
      </c>
      <c r="N564">
        <v>7144</v>
      </c>
      <c r="O564" t="s">
        <v>55</v>
      </c>
      <c r="P564">
        <v>58.4</v>
      </c>
      <c r="Q564" t="s">
        <v>56</v>
      </c>
      <c r="R564">
        <v>-36.9</v>
      </c>
      <c r="S564">
        <v>51.3</v>
      </c>
      <c r="T564">
        <v>22.9</v>
      </c>
      <c r="U564">
        <v>6</v>
      </c>
      <c r="V564">
        <v>6.7</v>
      </c>
      <c r="W564">
        <v>7.5</v>
      </c>
      <c r="X564" t="s">
        <v>57</v>
      </c>
    </row>
    <row r="565" spans="2:24" x14ac:dyDescent="0.3">
      <c r="B565" t="s">
        <v>658</v>
      </c>
      <c r="C565" t="s">
        <v>73</v>
      </c>
      <c r="D565" t="s">
        <v>2</v>
      </c>
      <c r="E565" t="s">
        <v>17</v>
      </c>
      <c r="F565" t="s">
        <v>9</v>
      </c>
      <c r="G565" t="s">
        <v>74</v>
      </c>
      <c r="H565">
        <v>2025</v>
      </c>
      <c r="I565">
        <v>57</v>
      </c>
      <c r="J565">
        <v>3.6</v>
      </c>
      <c r="K565" t="s">
        <v>22</v>
      </c>
      <c r="L565">
        <v>6.8</v>
      </c>
      <c r="M565">
        <v>4.2</v>
      </c>
      <c r="N565">
        <v>7499</v>
      </c>
      <c r="O565" t="s">
        <v>55</v>
      </c>
      <c r="P565">
        <v>20.8</v>
      </c>
      <c r="Q565" t="s">
        <v>56</v>
      </c>
      <c r="R565">
        <v>-37.4</v>
      </c>
      <c r="S565">
        <v>15.4</v>
      </c>
      <c r="T565">
        <v>1.7</v>
      </c>
      <c r="U565">
        <v>4.8</v>
      </c>
      <c r="V565">
        <v>5.5</v>
      </c>
      <c r="W565">
        <v>7.1</v>
      </c>
      <c r="X565" t="s">
        <v>57</v>
      </c>
    </row>
    <row r="566" spans="2:24" x14ac:dyDescent="0.3">
      <c r="B566" t="s">
        <v>659</v>
      </c>
      <c r="C566" t="s">
        <v>27</v>
      </c>
      <c r="D566" t="s">
        <v>2</v>
      </c>
      <c r="E566" t="s">
        <v>14</v>
      </c>
      <c r="F566" t="s">
        <v>10</v>
      </c>
      <c r="G566" t="s">
        <v>74</v>
      </c>
      <c r="H566">
        <v>2026</v>
      </c>
      <c r="I566">
        <v>801</v>
      </c>
      <c r="J566">
        <v>5</v>
      </c>
      <c r="K566" t="s">
        <v>23</v>
      </c>
      <c r="L566">
        <v>7.5</v>
      </c>
      <c r="M566">
        <v>6.4</v>
      </c>
      <c r="N566">
        <v>3003</v>
      </c>
      <c r="O566" t="s">
        <v>55</v>
      </c>
      <c r="P566">
        <v>16.3</v>
      </c>
      <c r="Q566" t="s">
        <v>56</v>
      </c>
      <c r="R566">
        <v>38.200000000000003</v>
      </c>
      <c r="S566">
        <v>1.9</v>
      </c>
      <c r="T566">
        <v>-7.2</v>
      </c>
      <c r="U566">
        <v>5.3</v>
      </c>
      <c r="V566">
        <v>7.2</v>
      </c>
      <c r="W566">
        <v>6</v>
      </c>
      <c r="X566" t="s">
        <v>57</v>
      </c>
    </row>
    <row r="567" spans="2:24" x14ac:dyDescent="0.3">
      <c r="B567" t="s">
        <v>660</v>
      </c>
      <c r="C567" t="s">
        <v>100</v>
      </c>
      <c r="D567" t="s">
        <v>3</v>
      </c>
      <c r="E567" t="s">
        <v>15</v>
      </c>
      <c r="F567" t="s">
        <v>9</v>
      </c>
      <c r="G567" t="s">
        <v>78</v>
      </c>
      <c r="H567">
        <v>2024</v>
      </c>
      <c r="I567">
        <v>2139</v>
      </c>
      <c r="J567">
        <v>6.6</v>
      </c>
      <c r="K567" t="s">
        <v>22</v>
      </c>
      <c r="L567">
        <v>8.4</v>
      </c>
      <c r="M567">
        <v>6.7</v>
      </c>
      <c r="N567">
        <v>5980</v>
      </c>
      <c r="O567" t="s">
        <v>55</v>
      </c>
      <c r="P567">
        <v>27.9</v>
      </c>
      <c r="Q567" t="s">
        <v>65</v>
      </c>
      <c r="R567">
        <v>42.6</v>
      </c>
      <c r="S567">
        <v>23</v>
      </c>
      <c r="T567">
        <v>7.2</v>
      </c>
      <c r="U567">
        <v>5.4</v>
      </c>
      <c r="V567">
        <v>7.7</v>
      </c>
      <c r="W567">
        <v>5.7</v>
      </c>
      <c r="X567" t="s">
        <v>116</v>
      </c>
    </row>
    <row r="568" spans="2:24" x14ac:dyDescent="0.3">
      <c r="B568" t="s">
        <v>661</v>
      </c>
      <c r="C568" t="s">
        <v>53</v>
      </c>
      <c r="D568" t="s">
        <v>2</v>
      </c>
      <c r="E568" t="s">
        <v>17</v>
      </c>
      <c r="F568" t="s">
        <v>11</v>
      </c>
      <c r="G568" t="s">
        <v>101</v>
      </c>
      <c r="H568">
        <v>2024</v>
      </c>
      <c r="I568">
        <v>1698</v>
      </c>
      <c r="J568">
        <v>7</v>
      </c>
      <c r="K568" t="s">
        <v>21</v>
      </c>
      <c r="L568">
        <v>4.2</v>
      </c>
      <c r="M568">
        <v>4.9000000000000004</v>
      </c>
      <c r="N568">
        <v>5406</v>
      </c>
      <c r="O568" t="s">
        <v>55</v>
      </c>
      <c r="P568">
        <v>19.100000000000001</v>
      </c>
      <c r="Q568" t="s">
        <v>56</v>
      </c>
      <c r="R568">
        <v>36.799999999999997</v>
      </c>
      <c r="S568">
        <v>5.9</v>
      </c>
      <c r="T568">
        <v>-2.6</v>
      </c>
      <c r="U568">
        <v>4.3</v>
      </c>
      <c r="V568">
        <v>6.9</v>
      </c>
      <c r="W568">
        <v>7.3</v>
      </c>
      <c r="X568" t="s">
        <v>116</v>
      </c>
    </row>
    <row r="569" spans="2:24" x14ac:dyDescent="0.3">
      <c r="B569" t="s">
        <v>662</v>
      </c>
      <c r="C569" t="s">
        <v>142</v>
      </c>
      <c r="D569" t="s">
        <v>2</v>
      </c>
      <c r="E569" t="s">
        <v>16</v>
      </c>
      <c r="F569" t="s">
        <v>10</v>
      </c>
      <c r="G569" t="s">
        <v>131</v>
      </c>
      <c r="H569">
        <v>2025</v>
      </c>
      <c r="I569">
        <v>5512</v>
      </c>
      <c r="J569">
        <v>23</v>
      </c>
      <c r="K569" t="s">
        <v>24</v>
      </c>
      <c r="L569">
        <v>8.4</v>
      </c>
      <c r="M569">
        <v>10</v>
      </c>
      <c r="N569">
        <v>4512</v>
      </c>
      <c r="O569" t="s">
        <v>64</v>
      </c>
      <c r="P569">
        <v>65.599999999999994</v>
      </c>
      <c r="Q569" t="s">
        <v>56</v>
      </c>
      <c r="R569">
        <v>-1.8</v>
      </c>
      <c r="S569">
        <v>41.7</v>
      </c>
      <c r="T569">
        <v>3.8</v>
      </c>
      <c r="U569">
        <v>5.9</v>
      </c>
      <c r="V569">
        <v>7.4</v>
      </c>
      <c r="W569">
        <v>5.6</v>
      </c>
      <c r="X569" t="s">
        <v>66</v>
      </c>
    </row>
    <row r="570" spans="2:24" x14ac:dyDescent="0.3">
      <c r="B570" t="s">
        <v>663</v>
      </c>
      <c r="C570" t="s">
        <v>106</v>
      </c>
      <c r="D570" t="s">
        <v>4</v>
      </c>
      <c r="E570" t="s">
        <v>19</v>
      </c>
      <c r="F570" t="s">
        <v>10</v>
      </c>
      <c r="G570" t="s">
        <v>112</v>
      </c>
      <c r="H570">
        <v>2025</v>
      </c>
      <c r="I570">
        <v>2210</v>
      </c>
      <c r="J570">
        <v>37.9</v>
      </c>
      <c r="K570" t="s">
        <v>22</v>
      </c>
      <c r="L570">
        <v>5.9</v>
      </c>
      <c r="M570">
        <v>10</v>
      </c>
      <c r="N570">
        <v>1227</v>
      </c>
      <c r="O570" t="s">
        <v>75</v>
      </c>
      <c r="P570">
        <v>29.2</v>
      </c>
      <c r="Q570" t="s">
        <v>76</v>
      </c>
      <c r="R570">
        <v>16.399999999999999</v>
      </c>
      <c r="S570">
        <v>-18.899999999999999</v>
      </c>
      <c r="T570">
        <v>-7.5</v>
      </c>
      <c r="U570">
        <v>7.2</v>
      </c>
      <c r="V570">
        <v>2.1</v>
      </c>
      <c r="W570">
        <v>1.5</v>
      </c>
      <c r="X570" t="s">
        <v>66</v>
      </c>
    </row>
    <row r="571" spans="2:24" x14ac:dyDescent="0.3">
      <c r="B571" t="s">
        <v>664</v>
      </c>
      <c r="C571" t="s">
        <v>106</v>
      </c>
      <c r="D571" t="s">
        <v>7</v>
      </c>
      <c r="E571" t="s">
        <v>14</v>
      </c>
      <c r="F571" t="s">
        <v>10</v>
      </c>
      <c r="G571" t="s">
        <v>54</v>
      </c>
      <c r="H571">
        <v>2024</v>
      </c>
      <c r="I571">
        <v>5667</v>
      </c>
      <c r="J571">
        <v>31.9</v>
      </c>
      <c r="K571" t="s">
        <v>21</v>
      </c>
      <c r="L571">
        <v>9.4</v>
      </c>
      <c r="M571">
        <v>10</v>
      </c>
      <c r="N571">
        <v>981</v>
      </c>
      <c r="O571" t="s">
        <v>75</v>
      </c>
      <c r="P571">
        <v>11.8</v>
      </c>
      <c r="Q571" t="s">
        <v>79</v>
      </c>
      <c r="R571">
        <v>-0.3</v>
      </c>
      <c r="S571">
        <v>34.5</v>
      </c>
      <c r="T571">
        <v>9.1</v>
      </c>
      <c r="U571">
        <v>8.3000000000000007</v>
      </c>
      <c r="V571">
        <v>6.9</v>
      </c>
      <c r="W571">
        <v>3.2</v>
      </c>
      <c r="X571" t="s">
        <v>66</v>
      </c>
    </row>
    <row r="572" spans="2:24" x14ac:dyDescent="0.3">
      <c r="B572" t="s">
        <v>665</v>
      </c>
      <c r="C572" t="s">
        <v>106</v>
      </c>
      <c r="D572" t="s">
        <v>7</v>
      </c>
      <c r="E572" t="s">
        <v>16</v>
      </c>
      <c r="F572" t="s">
        <v>9</v>
      </c>
      <c r="G572" t="s">
        <v>101</v>
      </c>
      <c r="H572">
        <v>2026</v>
      </c>
      <c r="I572">
        <v>1871</v>
      </c>
      <c r="J572">
        <v>6.9</v>
      </c>
      <c r="K572" t="s">
        <v>22</v>
      </c>
      <c r="L572">
        <v>8.6999999999999993</v>
      </c>
      <c r="M572">
        <v>5.5</v>
      </c>
      <c r="N572">
        <v>879</v>
      </c>
      <c r="O572" t="s">
        <v>55</v>
      </c>
      <c r="P572">
        <v>87.4</v>
      </c>
      <c r="Q572" t="s">
        <v>88</v>
      </c>
      <c r="R572">
        <v>3.6</v>
      </c>
      <c r="S572">
        <v>41.3</v>
      </c>
      <c r="T572">
        <v>25.5</v>
      </c>
      <c r="U572">
        <v>5.3</v>
      </c>
      <c r="V572">
        <v>6.7</v>
      </c>
      <c r="W572">
        <v>8.1</v>
      </c>
      <c r="X572" t="s">
        <v>57</v>
      </c>
    </row>
    <row r="573" spans="2:24" x14ac:dyDescent="0.3">
      <c r="B573" t="s">
        <v>666</v>
      </c>
      <c r="C573" t="s">
        <v>137</v>
      </c>
      <c r="D573" t="s">
        <v>4</v>
      </c>
      <c r="E573" t="s">
        <v>15</v>
      </c>
      <c r="F573" t="s">
        <v>9</v>
      </c>
      <c r="G573" t="s">
        <v>60</v>
      </c>
      <c r="H573">
        <v>2025</v>
      </c>
      <c r="I573">
        <v>1604</v>
      </c>
      <c r="J573">
        <v>10</v>
      </c>
      <c r="K573" t="s">
        <v>22</v>
      </c>
      <c r="L573">
        <v>3.6</v>
      </c>
      <c r="M573">
        <v>4.5</v>
      </c>
      <c r="N573">
        <v>2143</v>
      </c>
      <c r="O573" t="s">
        <v>64</v>
      </c>
      <c r="P573">
        <v>19.899999999999999</v>
      </c>
      <c r="Q573" t="s">
        <v>88</v>
      </c>
      <c r="R573">
        <v>31</v>
      </c>
      <c r="S573">
        <v>24.6</v>
      </c>
      <c r="T573">
        <v>10.1</v>
      </c>
      <c r="U573">
        <v>3.4</v>
      </c>
      <c r="V573">
        <v>5.2</v>
      </c>
      <c r="W573">
        <v>7.3</v>
      </c>
      <c r="X573" t="s">
        <v>57</v>
      </c>
    </row>
    <row r="574" spans="2:24" x14ac:dyDescent="0.3">
      <c r="B574" t="s">
        <v>667</v>
      </c>
      <c r="C574" t="s">
        <v>106</v>
      </c>
      <c r="D574" t="s">
        <v>4</v>
      </c>
      <c r="E574" t="s">
        <v>19</v>
      </c>
      <c r="F574" t="s">
        <v>9</v>
      </c>
      <c r="G574" t="s">
        <v>74</v>
      </c>
      <c r="H574">
        <v>2024</v>
      </c>
      <c r="I574">
        <v>9003</v>
      </c>
      <c r="J574">
        <v>22</v>
      </c>
      <c r="K574" t="s">
        <v>24</v>
      </c>
      <c r="L574">
        <v>3</v>
      </c>
      <c r="M574">
        <v>8.4</v>
      </c>
      <c r="N574">
        <v>1115</v>
      </c>
      <c r="O574" t="s">
        <v>75</v>
      </c>
      <c r="P574">
        <v>49.8</v>
      </c>
      <c r="Q574" t="s">
        <v>86</v>
      </c>
      <c r="R574">
        <v>84.3</v>
      </c>
      <c r="S574">
        <v>3.1</v>
      </c>
      <c r="T574">
        <v>1.2</v>
      </c>
      <c r="U574">
        <v>2.6</v>
      </c>
      <c r="V574">
        <v>5.5</v>
      </c>
      <c r="W574">
        <v>3.7</v>
      </c>
      <c r="X574" t="s">
        <v>66</v>
      </c>
    </row>
    <row r="575" spans="2:24" x14ac:dyDescent="0.3">
      <c r="B575" t="s">
        <v>668</v>
      </c>
      <c r="C575" t="s">
        <v>73</v>
      </c>
      <c r="D575" t="s">
        <v>3</v>
      </c>
      <c r="E575" t="s">
        <v>19</v>
      </c>
      <c r="F575" t="s">
        <v>9</v>
      </c>
      <c r="G575" t="s">
        <v>74</v>
      </c>
      <c r="H575">
        <v>2024</v>
      </c>
      <c r="I575">
        <v>916</v>
      </c>
      <c r="J575">
        <v>3</v>
      </c>
      <c r="K575" t="s">
        <v>22</v>
      </c>
      <c r="L575">
        <v>2.5</v>
      </c>
      <c r="M575">
        <v>3.4</v>
      </c>
      <c r="N575">
        <v>5246</v>
      </c>
      <c r="O575" t="s">
        <v>64</v>
      </c>
      <c r="P575">
        <v>20.8</v>
      </c>
      <c r="Q575" t="s">
        <v>79</v>
      </c>
      <c r="R575">
        <v>76.900000000000006</v>
      </c>
      <c r="S575">
        <v>-15.7</v>
      </c>
      <c r="T575">
        <v>-8.4</v>
      </c>
      <c r="U575">
        <v>1.6</v>
      </c>
      <c r="V575">
        <v>7.3</v>
      </c>
      <c r="W575">
        <v>7.3</v>
      </c>
      <c r="X575" t="s">
        <v>57</v>
      </c>
    </row>
    <row r="576" spans="2:24" x14ac:dyDescent="0.3">
      <c r="B576" t="s">
        <v>669</v>
      </c>
      <c r="C576" t="s">
        <v>100</v>
      </c>
      <c r="D576" t="s">
        <v>3</v>
      </c>
      <c r="E576" t="s">
        <v>15</v>
      </c>
      <c r="F576" t="s">
        <v>9</v>
      </c>
      <c r="G576" t="s">
        <v>74</v>
      </c>
      <c r="H576">
        <v>2024</v>
      </c>
      <c r="I576">
        <v>6020</v>
      </c>
      <c r="J576">
        <v>19.7</v>
      </c>
      <c r="K576" t="s">
        <v>24</v>
      </c>
      <c r="L576">
        <v>4.0999999999999996</v>
      </c>
      <c r="M576">
        <v>5.3</v>
      </c>
      <c r="N576">
        <v>164</v>
      </c>
      <c r="O576" t="s">
        <v>75</v>
      </c>
      <c r="P576">
        <v>66.8</v>
      </c>
      <c r="Q576" t="s">
        <v>125</v>
      </c>
      <c r="R576">
        <v>78.5</v>
      </c>
      <c r="S576">
        <v>9.6999999999999993</v>
      </c>
      <c r="T576">
        <v>-1.1000000000000001</v>
      </c>
      <c r="U576">
        <v>4</v>
      </c>
      <c r="V576">
        <v>4.2</v>
      </c>
      <c r="W576">
        <v>4.9000000000000004</v>
      </c>
      <c r="X576" t="s">
        <v>66</v>
      </c>
    </row>
    <row r="577" spans="2:24" x14ac:dyDescent="0.3">
      <c r="B577" t="s">
        <v>670</v>
      </c>
      <c r="C577" t="s">
        <v>71</v>
      </c>
      <c r="D577" t="s">
        <v>5</v>
      </c>
      <c r="E577" t="s">
        <v>19</v>
      </c>
      <c r="F577" t="s">
        <v>10</v>
      </c>
      <c r="G577" t="s">
        <v>104</v>
      </c>
      <c r="H577">
        <v>2024</v>
      </c>
      <c r="I577">
        <v>5265</v>
      </c>
      <c r="J577">
        <v>5</v>
      </c>
      <c r="K577" t="s">
        <v>24</v>
      </c>
      <c r="L577">
        <v>7.7</v>
      </c>
      <c r="M577">
        <v>5.2</v>
      </c>
      <c r="N577">
        <v>365</v>
      </c>
      <c r="O577" t="s">
        <v>64</v>
      </c>
      <c r="P577">
        <v>70.8</v>
      </c>
      <c r="Q577" t="s">
        <v>84</v>
      </c>
      <c r="R577">
        <v>-12.4</v>
      </c>
      <c r="S577">
        <v>-17.899999999999999</v>
      </c>
      <c r="T577">
        <v>0.5</v>
      </c>
      <c r="U577">
        <v>4.5999999999999996</v>
      </c>
      <c r="V577">
        <v>5.0999999999999996</v>
      </c>
      <c r="W577">
        <v>5.2</v>
      </c>
      <c r="X577" t="s">
        <v>116</v>
      </c>
    </row>
    <row r="578" spans="2:24" x14ac:dyDescent="0.3">
      <c r="B578" t="s">
        <v>671</v>
      </c>
      <c r="C578" t="s">
        <v>94</v>
      </c>
      <c r="D578" t="s">
        <v>6</v>
      </c>
      <c r="E578" t="s">
        <v>19</v>
      </c>
      <c r="F578" t="s">
        <v>11</v>
      </c>
      <c r="G578" t="s">
        <v>131</v>
      </c>
      <c r="H578">
        <v>2024</v>
      </c>
      <c r="I578">
        <v>546</v>
      </c>
      <c r="J578">
        <v>14.4</v>
      </c>
      <c r="K578" t="s">
        <v>21</v>
      </c>
      <c r="L578">
        <v>6.1</v>
      </c>
      <c r="M578">
        <v>4.5</v>
      </c>
      <c r="N578">
        <v>702</v>
      </c>
      <c r="O578" t="s">
        <v>64</v>
      </c>
      <c r="P578">
        <v>90</v>
      </c>
      <c r="Q578" t="s">
        <v>84</v>
      </c>
      <c r="R578">
        <v>88</v>
      </c>
      <c r="S578">
        <v>-13</v>
      </c>
      <c r="T578">
        <v>-11.5</v>
      </c>
      <c r="U578">
        <v>4.2</v>
      </c>
      <c r="V578">
        <v>4.0999999999999996</v>
      </c>
      <c r="W578">
        <v>5.2</v>
      </c>
      <c r="X578" t="s">
        <v>116</v>
      </c>
    </row>
    <row r="579" spans="2:24" x14ac:dyDescent="0.3">
      <c r="B579" t="s">
        <v>672</v>
      </c>
      <c r="C579" t="s">
        <v>53</v>
      </c>
      <c r="D579" t="s">
        <v>7</v>
      </c>
      <c r="E579" t="s">
        <v>14</v>
      </c>
      <c r="F579" t="s">
        <v>11</v>
      </c>
      <c r="G579" t="s">
        <v>74</v>
      </c>
      <c r="H579">
        <v>2024</v>
      </c>
      <c r="I579">
        <v>12118</v>
      </c>
      <c r="J579">
        <v>24.2</v>
      </c>
      <c r="K579" t="s">
        <v>25</v>
      </c>
      <c r="L579">
        <v>2.7</v>
      </c>
      <c r="M579">
        <v>6.8</v>
      </c>
      <c r="N579">
        <v>168</v>
      </c>
      <c r="O579" t="s">
        <v>75</v>
      </c>
      <c r="P579">
        <v>14.9</v>
      </c>
      <c r="Q579" t="s">
        <v>125</v>
      </c>
      <c r="R579">
        <v>-43.7</v>
      </c>
      <c r="S579">
        <v>23.1</v>
      </c>
      <c r="T579">
        <v>5.9</v>
      </c>
      <c r="U579">
        <v>2.7</v>
      </c>
      <c r="V579">
        <v>4</v>
      </c>
      <c r="W579">
        <v>4.5</v>
      </c>
      <c r="X579" t="s">
        <v>66</v>
      </c>
    </row>
    <row r="580" spans="2:24" x14ac:dyDescent="0.3">
      <c r="B580" t="s">
        <v>673</v>
      </c>
      <c r="C580" t="s">
        <v>92</v>
      </c>
      <c r="D580" t="s">
        <v>7</v>
      </c>
      <c r="E580" t="s">
        <v>19</v>
      </c>
      <c r="F580" t="s">
        <v>10</v>
      </c>
      <c r="G580" t="s">
        <v>131</v>
      </c>
      <c r="H580">
        <v>2024</v>
      </c>
      <c r="I580">
        <v>1979</v>
      </c>
      <c r="J580">
        <v>9.5</v>
      </c>
      <c r="K580" t="s">
        <v>21</v>
      </c>
      <c r="L580">
        <v>3</v>
      </c>
      <c r="M580">
        <v>2.6</v>
      </c>
      <c r="N580">
        <v>5702</v>
      </c>
      <c r="O580" t="s">
        <v>64</v>
      </c>
      <c r="P580">
        <v>85.5</v>
      </c>
      <c r="Q580" t="s">
        <v>65</v>
      </c>
      <c r="R580">
        <v>36.1</v>
      </c>
      <c r="S580">
        <v>31.7</v>
      </c>
      <c r="T580">
        <v>4.3</v>
      </c>
      <c r="U580">
        <v>2.1</v>
      </c>
      <c r="V580">
        <v>7.4</v>
      </c>
      <c r="W580">
        <v>7.2</v>
      </c>
      <c r="X580" t="s">
        <v>57</v>
      </c>
    </row>
    <row r="581" spans="2:24" x14ac:dyDescent="0.3">
      <c r="B581" t="s">
        <v>674</v>
      </c>
      <c r="C581" t="s">
        <v>106</v>
      </c>
      <c r="D581" t="s">
        <v>7</v>
      </c>
      <c r="E581" t="s">
        <v>18</v>
      </c>
      <c r="F581" t="s">
        <v>9</v>
      </c>
      <c r="G581" t="s">
        <v>74</v>
      </c>
      <c r="H581">
        <v>2026</v>
      </c>
      <c r="I581">
        <v>1232</v>
      </c>
      <c r="J581">
        <v>6.8</v>
      </c>
      <c r="K581" t="s">
        <v>24</v>
      </c>
      <c r="L581">
        <v>2.2000000000000002</v>
      </c>
      <c r="M581">
        <v>1.7</v>
      </c>
      <c r="N581">
        <v>3816</v>
      </c>
      <c r="O581" t="s">
        <v>64</v>
      </c>
      <c r="P581">
        <v>15.6</v>
      </c>
      <c r="Q581" t="s">
        <v>84</v>
      </c>
      <c r="R581">
        <v>36.4</v>
      </c>
      <c r="S581">
        <v>-7.6</v>
      </c>
      <c r="T581">
        <v>-0.9</v>
      </c>
      <c r="U581">
        <v>1.5</v>
      </c>
      <c r="V581">
        <v>4.8</v>
      </c>
      <c r="W581">
        <v>5.8</v>
      </c>
      <c r="X581" t="s">
        <v>57</v>
      </c>
    </row>
    <row r="582" spans="2:24" x14ac:dyDescent="0.3">
      <c r="B582" t="s">
        <v>675</v>
      </c>
      <c r="C582" t="s">
        <v>62</v>
      </c>
      <c r="D582" t="s">
        <v>2</v>
      </c>
      <c r="E582" t="s">
        <v>15</v>
      </c>
      <c r="F582" t="s">
        <v>11</v>
      </c>
      <c r="G582" t="s">
        <v>69</v>
      </c>
      <c r="H582">
        <v>2024</v>
      </c>
      <c r="I582">
        <v>6976</v>
      </c>
      <c r="J582">
        <v>13.6</v>
      </c>
      <c r="K582" t="s">
        <v>25</v>
      </c>
      <c r="L582">
        <v>1</v>
      </c>
      <c r="M582">
        <v>3.9</v>
      </c>
      <c r="N582">
        <v>8088</v>
      </c>
      <c r="O582" t="s">
        <v>55</v>
      </c>
      <c r="P582">
        <v>64.2</v>
      </c>
      <c r="Q582" t="s">
        <v>56</v>
      </c>
      <c r="R582">
        <v>8.8000000000000007</v>
      </c>
      <c r="S582">
        <v>15.6</v>
      </c>
      <c r="T582">
        <v>8</v>
      </c>
      <c r="U582">
        <v>1.4</v>
      </c>
      <c r="V582">
        <v>5.8</v>
      </c>
      <c r="W582">
        <v>6.9</v>
      </c>
      <c r="X582" t="s">
        <v>66</v>
      </c>
    </row>
    <row r="583" spans="2:24" x14ac:dyDescent="0.3">
      <c r="B583" t="s">
        <v>676</v>
      </c>
      <c r="C583" t="s">
        <v>106</v>
      </c>
      <c r="D583" t="s">
        <v>8</v>
      </c>
      <c r="E583" t="s">
        <v>18</v>
      </c>
      <c r="F583" t="s">
        <v>9</v>
      </c>
      <c r="G583" t="s">
        <v>98</v>
      </c>
      <c r="H583">
        <v>2025</v>
      </c>
      <c r="I583">
        <v>3582</v>
      </c>
      <c r="J583">
        <v>14.8</v>
      </c>
      <c r="K583" t="s">
        <v>22</v>
      </c>
      <c r="L583">
        <v>11.4</v>
      </c>
      <c r="M583">
        <v>10</v>
      </c>
      <c r="N583">
        <v>3972</v>
      </c>
      <c r="O583" t="s">
        <v>55</v>
      </c>
      <c r="P583">
        <v>73.900000000000006</v>
      </c>
      <c r="Q583" t="s">
        <v>125</v>
      </c>
      <c r="R583">
        <v>69.3</v>
      </c>
      <c r="S583">
        <v>-3.3</v>
      </c>
      <c r="T583">
        <v>-10.7</v>
      </c>
      <c r="U583">
        <v>9.6999999999999993</v>
      </c>
      <c r="V583">
        <v>6.2</v>
      </c>
      <c r="W583">
        <v>4.3</v>
      </c>
      <c r="X583" t="s">
        <v>116</v>
      </c>
    </row>
    <row r="584" spans="2:24" x14ac:dyDescent="0.3">
      <c r="B584" t="s">
        <v>677</v>
      </c>
      <c r="C584" t="s">
        <v>142</v>
      </c>
      <c r="D584" t="s">
        <v>2</v>
      </c>
      <c r="E584" t="s">
        <v>17</v>
      </c>
      <c r="F584" t="s">
        <v>12</v>
      </c>
      <c r="G584" t="s">
        <v>131</v>
      </c>
      <c r="H584">
        <v>2024</v>
      </c>
      <c r="I584">
        <v>291</v>
      </c>
      <c r="J584">
        <v>1.7</v>
      </c>
      <c r="K584" t="s">
        <v>25</v>
      </c>
      <c r="L584">
        <v>1.9</v>
      </c>
      <c r="M584">
        <v>1</v>
      </c>
      <c r="N584">
        <v>6303</v>
      </c>
      <c r="O584" t="s">
        <v>55</v>
      </c>
      <c r="P584">
        <v>55.6</v>
      </c>
      <c r="Q584" t="s">
        <v>76</v>
      </c>
      <c r="R584">
        <v>-39.700000000000003</v>
      </c>
      <c r="S584">
        <v>-16.600000000000001</v>
      </c>
      <c r="T584">
        <v>-14.4</v>
      </c>
      <c r="U584">
        <v>1.5</v>
      </c>
      <c r="V584">
        <v>5.4</v>
      </c>
      <c r="W584">
        <v>6.6</v>
      </c>
      <c r="X584" t="s">
        <v>57</v>
      </c>
    </row>
    <row r="585" spans="2:24" x14ac:dyDescent="0.3">
      <c r="B585" t="s">
        <v>678</v>
      </c>
      <c r="C585" t="s">
        <v>71</v>
      </c>
      <c r="D585" t="s">
        <v>6</v>
      </c>
      <c r="E585" t="s">
        <v>17</v>
      </c>
      <c r="F585" t="s">
        <v>12</v>
      </c>
      <c r="G585" t="s">
        <v>60</v>
      </c>
      <c r="H585">
        <v>2025</v>
      </c>
      <c r="I585">
        <v>2117</v>
      </c>
      <c r="J585">
        <v>28.9</v>
      </c>
      <c r="K585" t="s">
        <v>22</v>
      </c>
      <c r="L585">
        <v>6.4</v>
      </c>
      <c r="M585">
        <v>9.5</v>
      </c>
      <c r="N585">
        <v>435</v>
      </c>
      <c r="O585" t="s">
        <v>75</v>
      </c>
      <c r="P585">
        <v>66.7</v>
      </c>
      <c r="Q585" t="s">
        <v>76</v>
      </c>
      <c r="R585">
        <v>30.1</v>
      </c>
      <c r="S585">
        <v>13.7</v>
      </c>
      <c r="T585">
        <v>6.8</v>
      </c>
      <c r="U585">
        <v>4.3</v>
      </c>
      <c r="V585">
        <v>5.3</v>
      </c>
      <c r="W585">
        <v>4.5</v>
      </c>
      <c r="X585" t="s">
        <v>66</v>
      </c>
    </row>
    <row r="586" spans="2:24" x14ac:dyDescent="0.3">
      <c r="B586" t="s">
        <v>679</v>
      </c>
      <c r="C586" t="s">
        <v>142</v>
      </c>
      <c r="D586" t="s">
        <v>2</v>
      </c>
      <c r="E586" t="s">
        <v>18</v>
      </c>
      <c r="F586" t="s">
        <v>11</v>
      </c>
      <c r="G586" t="s">
        <v>60</v>
      </c>
      <c r="H586">
        <v>2025</v>
      </c>
      <c r="I586">
        <v>6681</v>
      </c>
      <c r="J586">
        <v>6.7</v>
      </c>
      <c r="K586" t="s">
        <v>25</v>
      </c>
      <c r="L586">
        <v>2.2000000000000002</v>
      </c>
      <c r="M586">
        <v>1</v>
      </c>
      <c r="N586">
        <v>7426</v>
      </c>
      <c r="O586" t="s">
        <v>55</v>
      </c>
      <c r="P586">
        <v>22.8</v>
      </c>
      <c r="Q586" t="s">
        <v>76</v>
      </c>
      <c r="R586">
        <v>-30.6</v>
      </c>
      <c r="S586">
        <v>-8.1999999999999993</v>
      </c>
      <c r="T586">
        <v>1</v>
      </c>
      <c r="U586">
        <v>2</v>
      </c>
      <c r="V586">
        <v>7.3</v>
      </c>
      <c r="W586">
        <v>7.5</v>
      </c>
      <c r="X586" t="s">
        <v>116</v>
      </c>
    </row>
    <row r="587" spans="2:24" x14ac:dyDescent="0.3">
      <c r="B587" t="s">
        <v>680</v>
      </c>
      <c r="C587" t="s">
        <v>83</v>
      </c>
      <c r="D587" t="s">
        <v>4</v>
      </c>
      <c r="E587" t="s">
        <v>16</v>
      </c>
      <c r="F587" t="s">
        <v>9</v>
      </c>
      <c r="G587" t="s">
        <v>63</v>
      </c>
      <c r="H587">
        <v>2025</v>
      </c>
      <c r="I587">
        <v>4333</v>
      </c>
      <c r="J587">
        <v>2.6</v>
      </c>
      <c r="K587" t="s">
        <v>23</v>
      </c>
      <c r="L587">
        <v>2.9</v>
      </c>
      <c r="M587">
        <v>4.8</v>
      </c>
      <c r="N587">
        <v>3841</v>
      </c>
      <c r="O587" t="s">
        <v>55</v>
      </c>
      <c r="P587">
        <v>63.4</v>
      </c>
      <c r="Q587" t="s">
        <v>76</v>
      </c>
      <c r="R587">
        <v>29.8</v>
      </c>
      <c r="S587">
        <v>33.700000000000003</v>
      </c>
      <c r="T587">
        <v>16</v>
      </c>
      <c r="U587">
        <v>1.8</v>
      </c>
      <c r="V587">
        <v>9.1</v>
      </c>
      <c r="W587">
        <v>8.5</v>
      </c>
      <c r="X587" t="s">
        <v>116</v>
      </c>
    </row>
    <row r="588" spans="2:24" x14ac:dyDescent="0.3">
      <c r="B588" t="s">
        <v>681</v>
      </c>
      <c r="C588" t="s">
        <v>106</v>
      </c>
      <c r="D588" t="s">
        <v>3</v>
      </c>
      <c r="E588" t="s">
        <v>18</v>
      </c>
      <c r="F588" t="s">
        <v>11</v>
      </c>
      <c r="G588" t="s">
        <v>63</v>
      </c>
      <c r="H588">
        <v>2024</v>
      </c>
      <c r="I588">
        <v>3866</v>
      </c>
      <c r="J588">
        <v>16.2</v>
      </c>
      <c r="K588" t="s">
        <v>22</v>
      </c>
      <c r="L588">
        <v>9.9</v>
      </c>
      <c r="M588">
        <v>10</v>
      </c>
      <c r="N588">
        <v>5779</v>
      </c>
      <c r="O588" t="s">
        <v>55</v>
      </c>
      <c r="P588">
        <v>80</v>
      </c>
      <c r="Q588" t="s">
        <v>84</v>
      </c>
      <c r="R588">
        <v>28.8</v>
      </c>
      <c r="S588">
        <v>59.1</v>
      </c>
      <c r="T588">
        <v>23.4</v>
      </c>
      <c r="U588">
        <v>9.4</v>
      </c>
      <c r="V588">
        <v>8.9</v>
      </c>
      <c r="W588">
        <v>5.5</v>
      </c>
      <c r="X588" t="s">
        <v>116</v>
      </c>
    </row>
    <row r="589" spans="2:24" x14ac:dyDescent="0.3">
      <c r="B589" t="s">
        <v>682</v>
      </c>
      <c r="C589" t="s">
        <v>53</v>
      </c>
      <c r="D589" t="s">
        <v>3</v>
      </c>
      <c r="E589" t="s">
        <v>18</v>
      </c>
      <c r="F589" t="s">
        <v>9</v>
      </c>
      <c r="G589" t="s">
        <v>131</v>
      </c>
      <c r="H589">
        <v>2024</v>
      </c>
      <c r="I589">
        <v>8542</v>
      </c>
      <c r="J589">
        <v>32.799999999999997</v>
      </c>
      <c r="K589" t="s">
        <v>24</v>
      </c>
      <c r="L589">
        <v>5.0999999999999996</v>
      </c>
      <c r="M589">
        <v>10</v>
      </c>
      <c r="N589">
        <v>1600</v>
      </c>
      <c r="O589" t="s">
        <v>75</v>
      </c>
      <c r="P589">
        <v>13.4</v>
      </c>
      <c r="Q589" t="s">
        <v>88</v>
      </c>
      <c r="R589">
        <v>2.4</v>
      </c>
      <c r="S589">
        <v>5.2</v>
      </c>
      <c r="T589">
        <v>-13.8</v>
      </c>
      <c r="U589">
        <v>4.5999999999999996</v>
      </c>
      <c r="V589">
        <v>4.3</v>
      </c>
      <c r="W589">
        <v>3.3</v>
      </c>
      <c r="X589" t="s">
        <v>66</v>
      </c>
    </row>
    <row r="590" spans="2:24" x14ac:dyDescent="0.3">
      <c r="B590" t="s">
        <v>683</v>
      </c>
      <c r="C590" t="s">
        <v>142</v>
      </c>
      <c r="D590" t="s">
        <v>2</v>
      </c>
      <c r="E590" t="s">
        <v>18</v>
      </c>
      <c r="F590" t="s">
        <v>9</v>
      </c>
      <c r="G590" t="s">
        <v>131</v>
      </c>
      <c r="H590">
        <v>2026</v>
      </c>
      <c r="I590">
        <v>5378</v>
      </c>
      <c r="J590">
        <v>18.100000000000001</v>
      </c>
      <c r="K590" t="s">
        <v>22</v>
      </c>
      <c r="L590">
        <v>1.4</v>
      </c>
      <c r="M590">
        <v>4.8</v>
      </c>
      <c r="N590">
        <v>6967</v>
      </c>
      <c r="O590" t="s">
        <v>55</v>
      </c>
      <c r="P590">
        <v>64.099999999999994</v>
      </c>
      <c r="Q590" t="s">
        <v>76</v>
      </c>
      <c r="R590">
        <v>33.9</v>
      </c>
      <c r="S590">
        <v>-1.5</v>
      </c>
      <c r="T590">
        <v>-5.2</v>
      </c>
      <c r="U590">
        <v>1.4</v>
      </c>
      <c r="V590">
        <v>4.5</v>
      </c>
      <c r="W590">
        <v>6</v>
      </c>
      <c r="X590" t="s">
        <v>66</v>
      </c>
    </row>
    <row r="591" spans="2:24" x14ac:dyDescent="0.3">
      <c r="B591" t="s">
        <v>684</v>
      </c>
      <c r="C591" t="s">
        <v>27</v>
      </c>
      <c r="D591" t="s">
        <v>3</v>
      </c>
      <c r="E591" t="s">
        <v>15</v>
      </c>
      <c r="F591" t="s">
        <v>12</v>
      </c>
      <c r="G591" t="s">
        <v>60</v>
      </c>
      <c r="H591">
        <v>2025</v>
      </c>
      <c r="I591">
        <v>1289</v>
      </c>
      <c r="J591">
        <v>11.2</v>
      </c>
      <c r="K591" t="s">
        <v>21</v>
      </c>
      <c r="L591">
        <v>3.3</v>
      </c>
      <c r="M591">
        <v>4.3</v>
      </c>
      <c r="N591">
        <v>1877</v>
      </c>
      <c r="O591" t="s">
        <v>64</v>
      </c>
      <c r="P591">
        <v>73.8</v>
      </c>
      <c r="Q591" t="s">
        <v>125</v>
      </c>
      <c r="R591">
        <v>-20.399999999999999</v>
      </c>
      <c r="S591">
        <v>10</v>
      </c>
      <c r="T591">
        <v>2.4</v>
      </c>
      <c r="U591">
        <v>2.1</v>
      </c>
      <c r="V591">
        <v>5.8</v>
      </c>
      <c r="W591">
        <v>5.7</v>
      </c>
      <c r="X591" t="s">
        <v>66</v>
      </c>
    </row>
    <row r="592" spans="2:24" x14ac:dyDescent="0.3">
      <c r="B592" t="s">
        <v>685</v>
      </c>
      <c r="C592" t="s">
        <v>122</v>
      </c>
      <c r="D592" t="s">
        <v>2</v>
      </c>
      <c r="E592" t="s">
        <v>16</v>
      </c>
      <c r="F592" t="s">
        <v>9</v>
      </c>
      <c r="G592" t="s">
        <v>54</v>
      </c>
      <c r="H592">
        <v>2025</v>
      </c>
      <c r="I592">
        <v>1590</v>
      </c>
      <c r="J592">
        <v>0.6</v>
      </c>
      <c r="K592" t="s">
        <v>21</v>
      </c>
      <c r="L592">
        <v>6.6</v>
      </c>
      <c r="M592">
        <v>10</v>
      </c>
      <c r="N592">
        <v>5047</v>
      </c>
      <c r="O592" t="s">
        <v>118</v>
      </c>
      <c r="P592">
        <v>53.1</v>
      </c>
      <c r="Q592" t="s">
        <v>56</v>
      </c>
      <c r="R592">
        <v>68</v>
      </c>
      <c r="S592">
        <v>24.6</v>
      </c>
      <c r="T592">
        <v>7.9</v>
      </c>
      <c r="U592">
        <v>9.1</v>
      </c>
      <c r="V592">
        <v>9.5</v>
      </c>
      <c r="W592">
        <v>5.9</v>
      </c>
      <c r="X592" t="s">
        <v>57</v>
      </c>
    </row>
    <row r="593" spans="2:24" x14ac:dyDescent="0.3">
      <c r="B593" t="s">
        <v>686</v>
      </c>
      <c r="C593" t="s">
        <v>53</v>
      </c>
      <c r="D593" t="s">
        <v>2</v>
      </c>
      <c r="E593" t="s">
        <v>15</v>
      </c>
      <c r="F593" t="s">
        <v>9</v>
      </c>
      <c r="G593" t="s">
        <v>54</v>
      </c>
      <c r="H593">
        <v>2024</v>
      </c>
      <c r="I593">
        <v>868</v>
      </c>
      <c r="J593">
        <v>0.1</v>
      </c>
      <c r="K593" t="s">
        <v>21</v>
      </c>
      <c r="L593">
        <v>7.1</v>
      </c>
      <c r="M593">
        <v>6</v>
      </c>
      <c r="N593">
        <v>7084</v>
      </c>
      <c r="O593" t="s">
        <v>55</v>
      </c>
      <c r="P593">
        <v>82.3</v>
      </c>
      <c r="Q593" t="s">
        <v>56</v>
      </c>
      <c r="R593">
        <v>68.8</v>
      </c>
      <c r="S593">
        <v>-17.5</v>
      </c>
      <c r="T593">
        <v>-12.6</v>
      </c>
      <c r="U593">
        <v>7.9</v>
      </c>
      <c r="V593">
        <v>5.4</v>
      </c>
      <c r="W593">
        <v>5.9</v>
      </c>
      <c r="X593" t="s">
        <v>57</v>
      </c>
    </row>
    <row r="594" spans="2:24" x14ac:dyDescent="0.3">
      <c r="B594" t="s">
        <v>687</v>
      </c>
      <c r="C594" t="s">
        <v>97</v>
      </c>
      <c r="D594" t="s">
        <v>3</v>
      </c>
      <c r="E594" t="s">
        <v>16</v>
      </c>
      <c r="F594" t="s">
        <v>11</v>
      </c>
      <c r="G594" t="s">
        <v>104</v>
      </c>
      <c r="H594">
        <v>2024</v>
      </c>
      <c r="I594">
        <v>693</v>
      </c>
      <c r="J594">
        <v>6.4</v>
      </c>
      <c r="K594" t="s">
        <v>23</v>
      </c>
      <c r="L594">
        <v>10.9</v>
      </c>
      <c r="M594">
        <v>6.1</v>
      </c>
      <c r="N594">
        <v>1955</v>
      </c>
      <c r="O594" t="s">
        <v>55</v>
      </c>
      <c r="P594">
        <v>43.9</v>
      </c>
      <c r="Q594" t="s">
        <v>84</v>
      </c>
      <c r="R594">
        <v>28.8</v>
      </c>
      <c r="S594">
        <v>5.3</v>
      </c>
      <c r="T594">
        <v>10.1</v>
      </c>
      <c r="U594">
        <v>8</v>
      </c>
      <c r="V594">
        <v>7.2</v>
      </c>
      <c r="W594">
        <v>6.7</v>
      </c>
      <c r="X594" t="s">
        <v>57</v>
      </c>
    </row>
    <row r="595" spans="2:24" x14ac:dyDescent="0.3">
      <c r="B595" t="s">
        <v>688</v>
      </c>
      <c r="C595" t="s">
        <v>62</v>
      </c>
      <c r="D595" t="s">
        <v>2</v>
      </c>
      <c r="E595" t="s">
        <v>16</v>
      </c>
      <c r="F595" t="s">
        <v>10</v>
      </c>
      <c r="G595" t="s">
        <v>60</v>
      </c>
      <c r="H595">
        <v>2025</v>
      </c>
      <c r="I595">
        <v>1345</v>
      </c>
      <c r="J595">
        <v>2.5</v>
      </c>
      <c r="K595" t="s">
        <v>21</v>
      </c>
      <c r="L595">
        <v>2.7</v>
      </c>
      <c r="M595">
        <v>1.5</v>
      </c>
      <c r="N595">
        <v>4812</v>
      </c>
      <c r="O595" t="s">
        <v>64</v>
      </c>
      <c r="P595">
        <v>68</v>
      </c>
      <c r="Q595" t="s">
        <v>56</v>
      </c>
      <c r="R595">
        <v>57.2</v>
      </c>
      <c r="S595">
        <v>34.5</v>
      </c>
      <c r="T595">
        <v>8.1999999999999993</v>
      </c>
      <c r="U595">
        <v>2.4</v>
      </c>
      <c r="V595">
        <v>8.4</v>
      </c>
      <c r="W595">
        <v>8.3000000000000007</v>
      </c>
      <c r="X595" t="s">
        <v>57</v>
      </c>
    </row>
    <row r="596" spans="2:24" x14ac:dyDescent="0.3">
      <c r="B596" t="s">
        <v>689</v>
      </c>
      <c r="C596" t="s">
        <v>106</v>
      </c>
      <c r="D596" t="s">
        <v>3</v>
      </c>
      <c r="E596" t="s">
        <v>15</v>
      </c>
      <c r="F596" t="s">
        <v>12</v>
      </c>
      <c r="G596" t="s">
        <v>69</v>
      </c>
      <c r="H596">
        <v>2026</v>
      </c>
      <c r="I596">
        <v>3503</v>
      </c>
      <c r="J596">
        <v>1.5</v>
      </c>
      <c r="K596" t="s">
        <v>24</v>
      </c>
      <c r="L596">
        <v>9.6</v>
      </c>
      <c r="M596">
        <v>6.8</v>
      </c>
      <c r="N596">
        <v>5414</v>
      </c>
      <c r="O596" t="s">
        <v>118</v>
      </c>
      <c r="P596">
        <v>15.3</v>
      </c>
      <c r="Q596" t="s">
        <v>76</v>
      </c>
      <c r="R596">
        <v>15.8</v>
      </c>
      <c r="S596">
        <v>54.1</v>
      </c>
      <c r="T596">
        <v>33</v>
      </c>
      <c r="U596">
        <v>8.5</v>
      </c>
      <c r="V596">
        <v>9.8000000000000007</v>
      </c>
      <c r="W596">
        <v>8.3000000000000007</v>
      </c>
      <c r="X596" t="s">
        <v>116</v>
      </c>
    </row>
    <row r="597" spans="2:24" x14ac:dyDescent="0.3">
      <c r="B597" t="s">
        <v>690</v>
      </c>
      <c r="C597" t="s">
        <v>53</v>
      </c>
      <c r="D597" t="s">
        <v>2</v>
      </c>
      <c r="E597" t="s">
        <v>14</v>
      </c>
      <c r="F597" t="s">
        <v>10</v>
      </c>
      <c r="G597" t="s">
        <v>104</v>
      </c>
      <c r="H597">
        <v>2026</v>
      </c>
      <c r="I597">
        <v>1843</v>
      </c>
      <c r="J597">
        <v>10.4</v>
      </c>
      <c r="K597" t="s">
        <v>23</v>
      </c>
      <c r="L597">
        <v>6.4</v>
      </c>
      <c r="M597">
        <v>6.5</v>
      </c>
      <c r="N597">
        <v>5664</v>
      </c>
      <c r="O597" t="s">
        <v>55</v>
      </c>
      <c r="P597">
        <v>42.3</v>
      </c>
      <c r="Q597" t="s">
        <v>76</v>
      </c>
      <c r="R597">
        <v>-14.7</v>
      </c>
      <c r="S597">
        <v>33.200000000000003</v>
      </c>
      <c r="T597">
        <v>5.2</v>
      </c>
      <c r="U597">
        <v>4.5</v>
      </c>
      <c r="V597">
        <v>6.6</v>
      </c>
      <c r="W597">
        <v>6.3</v>
      </c>
      <c r="X597" t="s">
        <v>116</v>
      </c>
    </row>
    <row r="598" spans="2:24" x14ac:dyDescent="0.3">
      <c r="B598" t="s">
        <v>691</v>
      </c>
      <c r="C598" t="s">
        <v>62</v>
      </c>
      <c r="D598" t="s">
        <v>2</v>
      </c>
      <c r="E598" t="s">
        <v>19</v>
      </c>
      <c r="F598" t="s">
        <v>11</v>
      </c>
      <c r="G598" t="s">
        <v>131</v>
      </c>
      <c r="H598">
        <v>2024</v>
      </c>
      <c r="I598">
        <v>2272</v>
      </c>
      <c r="J598">
        <v>5.5</v>
      </c>
      <c r="K598" t="s">
        <v>21</v>
      </c>
      <c r="L598">
        <v>4.4000000000000004</v>
      </c>
      <c r="M598">
        <v>4.7</v>
      </c>
      <c r="N598">
        <v>3377</v>
      </c>
      <c r="O598" t="s">
        <v>55</v>
      </c>
      <c r="P598">
        <v>60.2</v>
      </c>
      <c r="Q598" t="s">
        <v>76</v>
      </c>
      <c r="R598">
        <v>63.3</v>
      </c>
      <c r="S598">
        <v>47</v>
      </c>
      <c r="T598">
        <v>12.7</v>
      </c>
      <c r="U598">
        <v>4.7</v>
      </c>
      <c r="V598">
        <v>6.5</v>
      </c>
      <c r="W598">
        <v>8.1</v>
      </c>
      <c r="X598" t="s">
        <v>57</v>
      </c>
    </row>
    <row r="599" spans="2:24" x14ac:dyDescent="0.3">
      <c r="B599" t="s">
        <v>692</v>
      </c>
      <c r="C599" t="s">
        <v>62</v>
      </c>
      <c r="D599" t="s">
        <v>2</v>
      </c>
      <c r="E599" t="s">
        <v>15</v>
      </c>
      <c r="F599" t="s">
        <v>9</v>
      </c>
      <c r="G599" t="s">
        <v>101</v>
      </c>
      <c r="H599">
        <v>2025</v>
      </c>
      <c r="I599">
        <v>2331</v>
      </c>
      <c r="J599">
        <v>6.3</v>
      </c>
      <c r="K599" t="s">
        <v>24</v>
      </c>
      <c r="L599">
        <v>5.6</v>
      </c>
      <c r="M599">
        <v>10</v>
      </c>
      <c r="N599">
        <v>8809</v>
      </c>
      <c r="O599" t="s">
        <v>118</v>
      </c>
      <c r="P599">
        <v>69.5</v>
      </c>
      <c r="Q599" t="s">
        <v>56</v>
      </c>
      <c r="R599">
        <v>28.4</v>
      </c>
      <c r="S599">
        <v>-12.3</v>
      </c>
      <c r="T599">
        <v>3.3</v>
      </c>
      <c r="U599">
        <v>8.6999999999999993</v>
      </c>
      <c r="V599">
        <v>5.4</v>
      </c>
      <c r="W599">
        <v>4.4000000000000004</v>
      </c>
      <c r="X599" t="s">
        <v>57</v>
      </c>
    </row>
    <row r="600" spans="2:24" x14ac:dyDescent="0.3">
      <c r="B600" t="s">
        <v>693</v>
      </c>
      <c r="C600" t="s">
        <v>83</v>
      </c>
      <c r="D600" t="s">
        <v>4</v>
      </c>
      <c r="E600" t="s">
        <v>14</v>
      </c>
      <c r="F600" t="s">
        <v>10</v>
      </c>
      <c r="G600" t="s">
        <v>78</v>
      </c>
      <c r="H600">
        <v>2025</v>
      </c>
      <c r="I600">
        <v>5011</v>
      </c>
      <c r="J600">
        <v>17.399999999999999</v>
      </c>
      <c r="K600" t="s">
        <v>22</v>
      </c>
      <c r="L600">
        <v>5.7</v>
      </c>
      <c r="M600">
        <v>5.9</v>
      </c>
      <c r="N600">
        <v>2158</v>
      </c>
      <c r="O600" t="s">
        <v>64</v>
      </c>
      <c r="P600">
        <v>76.2</v>
      </c>
      <c r="Q600" t="s">
        <v>65</v>
      </c>
      <c r="R600">
        <v>-9.4</v>
      </c>
      <c r="S600">
        <v>22.4</v>
      </c>
      <c r="T600">
        <v>-3.3</v>
      </c>
      <c r="U600">
        <v>3.4</v>
      </c>
      <c r="V600">
        <v>6.6</v>
      </c>
      <c r="W600">
        <v>5.5</v>
      </c>
      <c r="X600" t="s">
        <v>116</v>
      </c>
    </row>
    <row r="601" spans="2:24" x14ac:dyDescent="0.3">
      <c r="B601" t="s">
        <v>694</v>
      </c>
      <c r="C601" t="s">
        <v>90</v>
      </c>
      <c r="D601" t="s">
        <v>6</v>
      </c>
      <c r="E601" t="s">
        <v>14</v>
      </c>
      <c r="F601" t="s">
        <v>12</v>
      </c>
      <c r="G601" t="s">
        <v>54</v>
      </c>
      <c r="H601">
        <v>2026</v>
      </c>
      <c r="I601">
        <v>13171</v>
      </c>
      <c r="J601">
        <v>21.3</v>
      </c>
      <c r="K601" t="s">
        <v>23</v>
      </c>
      <c r="L601">
        <v>7.7</v>
      </c>
      <c r="M601">
        <v>10</v>
      </c>
      <c r="N601">
        <v>1863</v>
      </c>
      <c r="O601" t="s">
        <v>64</v>
      </c>
      <c r="P601">
        <v>12.8</v>
      </c>
      <c r="Q601" t="s">
        <v>79</v>
      </c>
      <c r="R601">
        <v>-13.2</v>
      </c>
      <c r="S601">
        <v>8.5</v>
      </c>
      <c r="T601">
        <v>-2.8</v>
      </c>
      <c r="U601">
        <v>5.5</v>
      </c>
      <c r="V601">
        <v>7.1</v>
      </c>
      <c r="W601">
        <v>4.0999999999999996</v>
      </c>
      <c r="X601" t="s">
        <v>66</v>
      </c>
    </row>
    <row r="602" spans="2:24" x14ac:dyDescent="0.3">
      <c r="B602" t="s">
        <v>695</v>
      </c>
      <c r="C602" t="s">
        <v>106</v>
      </c>
      <c r="D602" t="s">
        <v>2</v>
      </c>
      <c r="E602" t="s">
        <v>19</v>
      </c>
      <c r="F602" t="s">
        <v>10</v>
      </c>
      <c r="G602" t="s">
        <v>74</v>
      </c>
      <c r="H602">
        <v>2024</v>
      </c>
      <c r="I602">
        <v>6226</v>
      </c>
      <c r="J602">
        <v>10.4</v>
      </c>
      <c r="K602" t="s">
        <v>25</v>
      </c>
      <c r="L602">
        <v>5.5</v>
      </c>
      <c r="M602">
        <v>3.9</v>
      </c>
      <c r="N602">
        <v>2904</v>
      </c>
      <c r="O602" t="s">
        <v>64</v>
      </c>
      <c r="P602">
        <v>67.5</v>
      </c>
      <c r="Q602" t="s">
        <v>76</v>
      </c>
      <c r="R602">
        <v>32</v>
      </c>
      <c r="S602">
        <v>-18</v>
      </c>
      <c r="T602">
        <v>-15.4</v>
      </c>
      <c r="U602">
        <v>5</v>
      </c>
      <c r="V602">
        <v>3.7</v>
      </c>
      <c r="W602">
        <v>6</v>
      </c>
      <c r="X602" t="s">
        <v>116</v>
      </c>
    </row>
    <row r="603" spans="2:24" x14ac:dyDescent="0.3">
      <c r="B603" t="s">
        <v>696</v>
      </c>
      <c r="C603" t="s">
        <v>71</v>
      </c>
      <c r="D603" t="s">
        <v>5</v>
      </c>
      <c r="E603" t="s">
        <v>18</v>
      </c>
      <c r="F603" t="s">
        <v>12</v>
      </c>
      <c r="G603" t="s">
        <v>104</v>
      </c>
      <c r="H603">
        <v>2025</v>
      </c>
      <c r="I603">
        <v>4871</v>
      </c>
      <c r="J603">
        <v>8.1</v>
      </c>
      <c r="K603" t="s">
        <v>24</v>
      </c>
      <c r="L603">
        <v>8</v>
      </c>
      <c r="M603">
        <v>9.6999999999999993</v>
      </c>
      <c r="N603">
        <v>2724</v>
      </c>
      <c r="O603" t="s">
        <v>55</v>
      </c>
      <c r="P603">
        <v>66.099999999999994</v>
      </c>
      <c r="Q603" t="s">
        <v>86</v>
      </c>
      <c r="R603">
        <v>36.299999999999997</v>
      </c>
      <c r="S603">
        <v>19.899999999999999</v>
      </c>
      <c r="T603">
        <v>19.7</v>
      </c>
      <c r="U603">
        <v>9.5</v>
      </c>
      <c r="V603">
        <v>8.1999999999999993</v>
      </c>
      <c r="W603">
        <v>6.4</v>
      </c>
      <c r="X603" t="s">
        <v>116</v>
      </c>
    </row>
    <row r="604" spans="2:24" x14ac:dyDescent="0.3">
      <c r="B604" t="s">
        <v>697</v>
      </c>
      <c r="C604" t="s">
        <v>106</v>
      </c>
      <c r="D604" t="s">
        <v>8</v>
      </c>
      <c r="E604" t="s">
        <v>17</v>
      </c>
      <c r="F604" t="s">
        <v>10</v>
      </c>
      <c r="G604" t="s">
        <v>63</v>
      </c>
      <c r="H604">
        <v>2025</v>
      </c>
      <c r="I604">
        <v>10</v>
      </c>
      <c r="J604">
        <v>4.9000000000000004</v>
      </c>
      <c r="K604" t="s">
        <v>22</v>
      </c>
      <c r="L604">
        <v>7.1</v>
      </c>
      <c r="M604">
        <v>10</v>
      </c>
      <c r="N604">
        <v>4323</v>
      </c>
      <c r="O604" t="s">
        <v>55</v>
      </c>
      <c r="P604">
        <v>66.8</v>
      </c>
      <c r="Q604" t="s">
        <v>76</v>
      </c>
      <c r="R604">
        <v>-32.4</v>
      </c>
      <c r="S604">
        <v>1.4</v>
      </c>
      <c r="T604">
        <v>9.4</v>
      </c>
      <c r="U604">
        <v>9.6999999999999993</v>
      </c>
      <c r="V604">
        <v>8.1999999999999993</v>
      </c>
      <c r="W604">
        <v>6.4</v>
      </c>
      <c r="X604" t="s">
        <v>57</v>
      </c>
    </row>
    <row r="605" spans="2:24" x14ac:dyDescent="0.3">
      <c r="B605" t="s">
        <v>698</v>
      </c>
      <c r="C605" t="s">
        <v>59</v>
      </c>
      <c r="D605" t="s">
        <v>4</v>
      </c>
      <c r="E605" t="s">
        <v>17</v>
      </c>
      <c r="F605" t="s">
        <v>10</v>
      </c>
      <c r="G605" t="s">
        <v>60</v>
      </c>
      <c r="H605">
        <v>2026</v>
      </c>
      <c r="I605">
        <v>11756</v>
      </c>
      <c r="J605">
        <v>38.200000000000003</v>
      </c>
      <c r="K605" t="s">
        <v>23</v>
      </c>
      <c r="L605">
        <v>4.4000000000000004</v>
      </c>
      <c r="M605">
        <v>8.6</v>
      </c>
      <c r="N605">
        <v>162</v>
      </c>
      <c r="O605" t="s">
        <v>75</v>
      </c>
      <c r="P605">
        <v>39.9</v>
      </c>
      <c r="Q605" t="s">
        <v>88</v>
      </c>
      <c r="R605">
        <v>-6.8</v>
      </c>
      <c r="S605">
        <v>9.1999999999999993</v>
      </c>
      <c r="T605">
        <v>-3.1</v>
      </c>
      <c r="U605">
        <v>3.5</v>
      </c>
      <c r="V605">
        <v>2.2000000000000002</v>
      </c>
      <c r="W605">
        <v>3.4</v>
      </c>
      <c r="X605" t="s">
        <v>66</v>
      </c>
    </row>
    <row r="606" spans="2:24" x14ac:dyDescent="0.3">
      <c r="B606" t="s">
        <v>699</v>
      </c>
      <c r="C606" t="s">
        <v>90</v>
      </c>
      <c r="D606" t="s">
        <v>2</v>
      </c>
      <c r="E606" t="s">
        <v>18</v>
      </c>
      <c r="F606" t="s">
        <v>12</v>
      </c>
      <c r="G606" t="s">
        <v>104</v>
      </c>
      <c r="H606">
        <v>2026</v>
      </c>
      <c r="I606">
        <v>1950</v>
      </c>
      <c r="J606">
        <v>1</v>
      </c>
      <c r="K606" t="s">
        <v>24</v>
      </c>
      <c r="L606">
        <v>5.8</v>
      </c>
      <c r="M606">
        <v>3.7</v>
      </c>
      <c r="N606">
        <v>1436</v>
      </c>
      <c r="O606" t="s">
        <v>55</v>
      </c>
      <c r="P606">
        <v>48.7</v>
      </c>
      <c r="Q606" t="s">
        <v>56</v>
      </c>
      <c r="R606">
        <v>-33.1</v>
      </c>
      <c r="S606">
        <v>43.2</v>
      </c>
      <c r="T606">
        <v>19.3</v>
      </c>
      <c r="U606">
        <v>5.3</v>
      </c>
      <c r="V606">
        <v>9.5</v>
      </c>
      <c r="W606">
        <v>9.1</v>
      </c>
      <c r="X606" t="s">
        <v>57</v>
      </c>
    </row>
    <row r="607" spans="2:24" x14ac:dyDescent="0.3">
      <c r="B607" t="s">
        <v>700</v>
      </c>
      <c r="C607" t="s">
        <v>122</v>
      </c>
      <c r="D607" t="s">
        <v>2</v>
      </c>
      <c r="E607" t="s">
        <v>19</v>
      </c>
      <c r="F607" t="s">
        <v>12</v>
      </c>
      <c r="G607" t="s">
        <v>54</v>
      </c>
      <c r="H607">
        <v>2025</v>
      </c>
      <c r="I607">
        <v>13880</v>
      </c>
      <c r="J607">
        <v>27.7</v>
      </c>
      <c r="K607" t="s">
        <v>22</v>
      </c>
      <c r="L607">
        <v>7.7</v>
      </c>
      <c r="M607">
        <v>10</v>
      </c>
      <c r="N607">
        <v>5899</v>
      </c>
      <c r="O607" t="s">
        <v>64</v>
      </c>
      <c r="P607">
        <v>61</v>
      </c>
      <c r="Q607" t="s">
        <v>76</v>
      </c>
      <c r="R607">
        <v>-20.3</v>
      </c>
      <c r="S607">
        <v>-14.5</v>
      </c>
      <c r="T607">
        <v>-11.2</v>
      </c>
      <c r="U607">
        <v>6.4</v>
      </c>
      <c r="V607">
        <v>3</v>
      </c>
      <c r="W607">
        <v>2.9</v>
      </c>
      <c r="X607" t="s">
        <v>66</v>
      </c>
    </row>
    <row r="608" spans="2:24" x14ac:dyDescent="0.3">
      <c r="B608" t="s">
        <v>701</v>
      </c>
      <c r="C608" t="s">
        <v>94</v>
      </c>
      <c r="D608" t="s">
        <v>6</v>
      </c>
      <c r="E608" t="s">
        <v>16</v>
      </c>
      <c r="F608" t="s">
        <v>12</v>
      </c>
      <c r="G608" t="s">
        <v>74</v>
      </c>
      <c r="H608">
        <v>2026</v>
      </c>
      <c r="I608">
        <v>6264</v>
      </c>
      <c r="J608">
        <v>1.6</v>
      </c>
      <c r="K608" t="s">
        <v>25</v>
      </c>
      <c r="L608">
        <v>4.5</v>
      </c>
      <c r="M608">
        <v>3.1</v>
      </c>
      <c r="N608">
        <v>4927</v>
      </c>
      <c r="O608" t="s">
        <v>55</v>
      </c>
      <c r="P608">
        <v>42.5</v>
      </c>
      <c r="Q608" t="s">
        <v>65</v>
      </c>
      <c r="R608">
        <v>69.3</v>
      </c>
      <c r="S608">
        <v>-17.399999999999999</v>
      </c>
      <c r="T608">
        <v>-6.2</v>
      </c>
      <c r="U608">
        <v>6.8</v>
      </c>
      <c r="V608">
        <v>6</v>
      </c>
      <c r="W608">
        <v>6.7</v>
      </c>
      <c r="X608" t="s">
        <v>116</v>
      </c>
    </row>
    <row r="609" spans="2:24" x14ac:dyDescent="0.3">
      <c r="B609" t="s">
        <v>702</v>
      </c>
      <c r="C609" t="s">
        <v>59</v>
      </c>
      <c r="D609" t="s">
        <v>4</v>
      </c>
      <c r="E609" t="s">
        <v>15</v>
      </c>
      <c r="F609" t="s">
        <v>9</v>
      </c>
      <c r="G609" t="s">
        <v>101</v>
      </c>
      <c r="H609">
        <v>2025</v>
      </c>
      <c r="I609">
        <v>3945</v>
      </c>
      <c r="J609">
        <v>4.9000000000000004</v>
      </c>
      <c r="K609" t="s">
        <v>23</v>
      </c>
      <c r="L609">
        <v>2.2999999999999998</v>
      </c>
      <c r="M609">
        <v>2.2999999999999998</v>
      </c>
      <c r="N609">
        <v>773</v>
      </c>
      <c r="O609" t="s">
        <v>75</v>
      </c>
      <c r="P609">
        <v>49.2</v>
      </c>
      <c r="Q609" t="s">
        <v>65</v>
      </c>
      <c r="R609">
        <v>46.2</v>
      </c>
      <c r="S609">
        <v>47.7</v>
      </c>
      <c r="T609">
        <v>22.7</v>
      </c>
      <c r="U609">
        <v>2</v>
      </c>
      <c r="V609">
        <v>9.3000000000000007</v>
      </c>
      <c r="W609">
        <v>8.8000000000000007</v>
      </c>
      <c r="X609" t="s">
        <v>116</v>
      </c>
    </row>
    <row r="610" spans="2:24" x14ac:dyDescent="0.3">
      <c r="B610" t="s">
        <v>703</v>
      </c>
      <c r="C610" t="s">
        <v>73</v>
      </c>
      <c r="D610" t="s">
        <v>2</v>
      </c>
      <c r="E610" t="s">
        <v>15</v>
      </c>
      <c r="F610" t="s">
        <v>11</v>
      </c>
      <c r="G610" t="s">
        <v>112</v>
      </c>
      <c r="H610">
        <v>2025</v>
      </c>
      <c r="I610">
        <v>2206</v>
      </c>
      <c r="J610">
        <v>4.0999999999999996</v>
      </c>
      <c r="K610" t="s">
        <v>23</v>
      </c>
      <c r="L610">
        <v>3.4</v>
      </c>
      <c r="M610">
        <v>5.5</v>
      </c>
      <c r="N610">
        <v>6475</v>
      </c>
      <c r="O610" t="s">
        <v>55</v>
      </c>
      <c r="P610">
        <v>73</v>
      </c>
      <c r="Q610" t="s">
        <v>76</v>
      </c>
      <c r="R610">
        <v>-32.200000000000003</v>
      </c>
      <c r="S610">
        <v>-7.2</v>
      </c>
      <c r="T610">
        <v>3.7</v>
      </c>
      <c r="U610">
        <v>4</v>
      </c>
      <c r="V610">
        <v>7.2</v>
      </c>
      <c r="W610">
        <v>5.5</v>
      </c>
      <c r="X610" t="s">
        <v>57</v>
      </c>
    </row>
    <row r="611" spans="2:24" x14ac:dyDescent="0.3">
      <c r="B611" t="s">
        <v>704</v>
      </c>
      <c r="C611" t="s">
        <v>92</v>
      </c>
      <c r="D611" t="s">
        <v>7</v>
      </c>
      <c r="E611" t="s">
        <v>17</v>
      </c>
      <c r="F611" t="s">
        <v>11</v>
      </c>
      <c r="G611" t="s">
        <v>78</v>
      </c>
      <c r="H611">
        <v>2025</v>
      </c>
      <c r="I611">
        <v>2245</v>
      </c>
      <c r="J611">
        <v>14.9</v>
      </c>
      <c r="K611" t="s">
        <v>21</v>
      </c>
      <c r="L611">
        <v>4.5999999999999996</v>
      </c>
      <c r="M611">
        <v>7.2</v>
      </c>
      <c r="N611">
        <v>1115</v>
      </c>
      <c r="O611" t="s">
        <v>64</v>
      </c>
      <c r="P611">
        <v>52.3</v>
      </c>
      <c r="Q611" t="s">
        <v>125</v>
      </c>
      <c r="R611">
        <v>30.2</v>
      </c>
      <c r="S611">
        <v>25.4</v>
      </c>
      <c r="T611">
        <v>5.8</v>
      </c>
      <c r="U611">
        <v>7</v>
      </c>
      <c r="V611">
        <v>5.0999999999999996</v>
      </c>
      <c r="W611">
        <v>6.2</v>
      </c>
      <c r="X611" t="s">
        <v>116</v>
      </c>
    </row>
    <row r="612" spans="2:24" x14ac:dyDescent="0.3">
      <c r="B612" t="s">
        <v>705</v>
      </c>
      <c r="C612" t="s">
        <v>137</v>
      </c>
      <c r="D612" t="s">
        <v>3</v>
      </c>
      <c r="E612" t="s">
        <v>16</v>
      </c>
      <c r="F612" t="s">
        <v>12</v>
      </c>
      <c r="G612" t="s">
        <v>112</v>
      </c>
      <c r="H612">
        <v>2024</v>
      </c>
      <c r="I612">
        <v>765</v>
      </c>
      <c r="J612">
        <v>7.1</v>
      </c>
      <c r="K612" t="s">
        <v>23</v>
      </c>
      <c r="L612">
        <v>4</v>
      </c>
      <c r="M612">
        <v>5.0999999999999996</v>
      </c>
      <c r="N612">
        <v>1139</v>
      </c>
      <c r="O612" t="s">
        <v>64</v>
      </c>
      <c r="P612">
        <v>83.6</v>
      </c>
      <c r="Q612" t="s">
        <v>56</v>
      </c>
      <c r="R612">
        <v>75</v>
      </c>
      <c r="S612">
        <v>-8.1</v>
      </c>
      <c r="T612">
        <v>-8.6</v>
      </c>
      <c r="U612">
        <v>4.7</v>
      </c>
      <c r="V612">
        <v>7.6</v>
      </c>
      <c r="W612">
        <v>6.8</v>
      </c>
      <c r="X612" t="s">
        <v>57</v>
      </c>
    </row>
    <row r="613" spans="2:24" x14ac:dyDescent="0.3">
      <c r="B613" t="s">
        <v>706</v>
      </c>
      <c r="C613" t="s">
        <v>90</v>
      </c>
      <c r="D613" t="s">
        <v>5</v>
      </c>
      <c r="E613" t="s">
        <v>19</v>
      </c>
      <c r="F613" t="s">
        <v>12</v>
      </c>
      <c r="G613" t="s">
        <v>112</v>
      </c>
      <c r="H613">
        <v>2026</v>
      </c>
      <c r="I613">
        <v>1475</v>
      </c>
      <c r="J613">
        <v>0.4</v>
      </c>
      <c r="K613" t="s">
        <v>21</v>
      </c>
      <c r="L613">
        <v>8.5</v>
      </c>
      <c r="M613">
        <v>4.5999999999999996</v>
      </c>
      <c r="N613">
        <v>5518</v>
      </c>
      <c r="O613" t="s">
        <v>118</v>
      </c>
      <c r="P613">
        <v>28.6</v>
      </c>
      <c r="Q613" t="s">
        <v>56</v>
      </c>
      <c r="R613">
        <v>-9</v>
      </c>
      <c r="S613">
        <v>8.1</v>
      </c>
      <c r="T613">
        <v>4.0999999999999996</v>
      </c>
      <c r="U613">
        <v>7.3</v>
      </c>
      <c r="V613">
        <v>7.9</v>
      </c>
      <c r="W613">
        <v>6.5</v>
      </c>
      <c r="X613" t="s">
        <v>57</v>
      </c>
    </row>
    <row r="614" spans="2:24" x14ac:dyDescent="0.3">
      <c r="B614" t="s">
        <v>707</v>
      </c>
      <c r="C614" t="s">
        <v>90</v>
      </c>
      <c r="D614" t="s">
        <v>6</v>
      </c>
      <c r="E614" t="s">
        <v>14</v>
      </c>
      <c r="F614" t="s">
        <v>10</v>
      </c>
      <c r="G614" t="s">
        <v>101</v>
      </c>
      <c r="H614">
        <v>2024</v>
      </c>
      <c r="I614">
        <v>19111</v>
      </c>
      <c r="J614">
        <v>17.5</v>
      </c>
      <c r="K614" t="s">
        <v>22</v>
      </c>
      <c r="L614">
        <v>3</v>
      </c>
      <c r="M614">
        <v>7.7</v>
      </c>
      <c r="N614">
        <v>1543</v>
      </c>
      <c r="O614" t="s">
        <v>64</v>
      </c>
      <c r="P614">
        <v>62.8</v>
      </c>
      <c r="Q614" t="s">
        <v>65</v>
      </c>
      <c r="R614">
        <v>-37.9</v>
      </c>
      <c r="S614">
        <v>56.5</v>
      </c>
      <c r="T614">
        <v>12.1</v>
      </c>
      <c r="U614">
        <v>2.8</v>
      </c>
      <c r="V614">
        <v>8</v>
      </c>
      <c r="W614">
        <v>7.2</v>
      </c>
      <c r="X614" t="s">
        <v>66</v>
      </c>
    </row>
    <row r="615" spans="2:24" x14ac:dyDescent="0.3">
      <c r="B615" t="s">
        <v>708</v>
      </c>
      <c r="C615" t="s">
        <v>106</v>
      </c>
      <c r="D615" t="s">
        <v>2</v>
      </c>
      <c r="E615" t="s">
        <v>15</v>
      </c>
      <c r="F615" t="s">
        <v>9</v>
      </c>
      <c r="G615" t="s">
        <v>131</v>
      </c>
      <c r="H615">
        <v>2024</v>
      </c>
      <c r="I615">
        <v>6734</v>
      </c>
      <c r="J615">
        <v>6.1</v>
      </c>
      <c r="K615" t="s">
        <v>24</v>
      </c>
      <c r="L615">
        <v>10.199999999999999</v>
      </c>
      <c r="M615">
        <v>10</v>
      </c>
      <c r="N615">
        <v>6295</v>
      </c>
      <c r="O615" t="s">
        <v>55</v>
      </c>
      <c r="P615">
        <v>68</v>
      </c>
      <c r="Q615" t="s">
        <v>76</v>
      </c>
      <c r="R615">
        <v>65.400000000000006</v>
      </c>
      <c r="S615">
        <v>37.799999999999997</v>
      </c>
      <c r="T615">
        <v>9.8000000000000007</v>
      </c>
      <c r="U615">
        <v>7.3</v>
      </c>
      <c r="V615">
        <v>7</v>
      </c>
      <c r="W615">
        <v>6.8</v>
      </c>
      <c r="X615" t="s">
        <v>116</v>
      </c>
    </row>
    <row r="616" spans="2:24" x14ac:dyDescent="0.3">
      <c r="B616" t="s">
        <v>709</v>
      </c>
      <c r="C616" t="s">
        <v>90</v>
      </c>
      <c r="D616" t="s">
        <v>3</v>
      </c>
      <c r="E616" t="s">
        <v>14</v>
      </c>
      <c r="F616" t="s">
        <v>10</v>
      </c>
      <c r="G616" t="s">
        <v>112</v>
      </c>
      <c r="H616">
        <v>2025</v>
      </c>
      <c r="I616">
        <v>4543</v>
      </c>
      <c r="J616">
        <v>11.3</v>
      </c>
      <c r="K616" t="s">
        <v>24</v>
      </c>
      <c r="L616">
        <v>8.1999999999999993</v>
      </c>
      <c r="M616">
        <v>9.4</v>
      </c>
      <c r="N616">
        <v>4572</v>
      </c>
      <c r="O616" t="s">
        <v>55</v>
      </c>
      <c r="P616">
        <v>76.5</v>
      </c>
      <c r="Q616" t="s">
        <v>88</v>
      </c>
      <c r="R616">
        <v>36.6</v>
      </c>
      <c r="S616">
        <v>15.7</v>
      </c>
      <c r="T616">
        <v>7</v>
      </c>
      <c r="U616">
        <v>5.5</v>
      </c>
      <c r="V616">
        <v>7</v>
      </c>
      <c r="W616">
        <v>6.4</v>
      </c>
      <c r="X616" t="s">
        <v>116</v>
      </c>
    </row>
    <row r="617" spans="2:24" x14ac:dyDescent="0.3">
      <c r="B617" t="s">
        <v>710</v>
      </c>
      <c r="C617" t="s">
        <v>106</v>
      </c>
      <c r="D617" t="s">
        <v>8</v>
      </c>
      <c r="E617" t="s">
        <v>14</v>
      </c>
      <c r="F617" t="s">
        <v>12</v>
      </c>
      <c r="G617" t="s">
        <v>63</v>
      </c>
      <c r="H617">
        <v>2024</v>
      </c>
      <c r="I617">
        <v>2162</v>
      </c>
      <c r="J617">
        <v>5.4</v>
      </c>
      <c r="K617" t="s">
        <v>25</v>
      </c>
      <c r="L617">
        <v>9.8000000000000007</v>
      </c>
      <c r="M617">
        <v>3.8</v>
      </c>
      <c r="N617">
        <v>2855</v>
      </c>
      <c r="O617" t="s">
        <v>55</v>
      </c>
      <c r="P617">
        <v>73.400000000000006</v>
      </c>
      <c r="Q617" t="s">
        <v>65</v>
      </c>
      <c r="R617">
        <v>10.199999999999999</v>
      </c>
      <c r="S617">
        <v>30.7</v>
      </c>
      <c r="T617">
        <v>9</v>
      </c>
      <c r="U617">
        <v>5.9</v>
      </c>
      <c r="V617">
        <v>6.9</v>
      </c>
      <c r="W617">
        <v>8.6</v>
      </c>
      <c r="X617" t="s">
        <v>57</v>
      </c>
    </row>
    <row r="618" spans="2:24" x14ac:dyDescent="0.3">
      <c r="B618" t="s">
        <v>711</v>
      </c>
      <c r="C618" t="s">
        <v>59</v>
      </c>
      <c r="D618" t="s">
        <v>4</v>
      </c>
      <c r="E618" t="s">
        <v>16</v>
      </c>
      <c r="F618" t="s">
        <v>10</v>
      </c>
      <c r="G618" t="s">
        <v>69</v>
      </c>
      <c r="H618">
        <v>2024</v>
      </c>
      <c r="I618">
        <v>15761</v>
      </c>
      <c r="J618">
        <v>17.8</v>
      </c>
      <c r="K618" t="s">
        <v>25</v>
      </c>
      <c r="L618">
        <v>1.1000000000000001</v>
      </c>
      <c r="M618">
        <v>6.4</v>
      </c>
      <c r="N618">
        <v>1259</v>
      </c>
      <c r="O618" t="s">
        <v>75</v>
      </c>
      <c r="P618">
        <v>75.5</v>
      </c>
      <c r="Q618" t="s">
        <v>79</v>
      </c>
      <c r="R618">
        <v>1.8</v>
      </c>
      <c r="S618">
        <v>26.1</v>
      </c>
      <c r="T618">
        <v>4</v>
      </c>
      <c r="U618">
        <v>1.7</v>
      </c>
      <c r="V618">
        <v>4.5999999999999996</v>
      </c>
      <c r="W618">
        <v>6.6</v>
      </c>
      <c r="X618" t="s">
        <v>66</v>
      </c>
    </row>
    <row r="619" spans="2:24" x14ac:dyDescent="0.3">
      <c r="B619" t="s">
        <v>712</v>
      </c>
      <c r="C619" t="s">
        <v>106</v>
      </c>
      <c r="D619" t="s">
        <v>2</v>
      </c>
      <c r="E619" t="s">
        <v>17</v>
      </c>
      <c r="F619" t="s">
        <v>12</v>
      </c>
      <c r="G619" t="s">
        <v>78</v>
      </c>
      <c r="H619">
        <v>2025</v>
      </c>
      <c r="I619">
        <v>13988</v>
      </c>
      <c r="J619">
        <v>16.2</v>
      </c>
      <c r="K619" t="s">
        <v>23</v>
      </c>
      <c r="L619">
        <v>3.4</v>
      </c>
      <c r="M619">
        <v>6.4</v>
      </c>
      <c r="N619">
        <v>1630</v>
      </c>
      <c r="O619" t="s">
        <v>75</v>
      </c>
      <c r="P619">
        <v>71.5</v>
      </c>
      <c r="Q619" t="s">
        <v>56</v>
      </c>
      <c r="R619">
        <v>57.9</v>
      </c>
      <c r="S619">
        <v>-21.1</v>
      </c>
      <c r="T619">
        <v>-19.2</v>
      </c>
      <c r="U619">
        <v>4</v>
      </c>
      <c r="V619">
        <v>4.8</v>
      </c>
      <c r="W619">
        <v>4.4000000000000004</v>
      </c>
      <c r="X619" t="s">
        <v>66</v>
      </c>
    </row>
    <row r="620" spans="2:24" x14ac:dyDescent="0.3">
      <c r="B620" t="s">
        <v>713</v>
      </c>
      <c r="C620" t="s">
        <v>68</v>
      </c>
      <c r="D620" t="s">
        <v>8</v>
      </c>
      <c r="E620" t="s">
        <v>18</v>
      </c>
      <c r="F620" t="s">
        <v>10</v>
      </c>
      <c r="G620" t="s">
        <v>101</v>
      </c>
      <c r="H620">
        <v>2026</v>
      </c>
      <c r="I620">
        <v>449</v>
      </c>
      <c r="J620">
        <v>16.7</v>
      </c>
      <c r="K620" t="s">
        <v>24</v>
      </c>
      <c r="L620">
        <v>3.6</v>
      </c>
      <c r="M620">
        <v>9.1</v>
      </c>
      <c r="N620">
        <v>1951</v>
      </c>
      <c r="O620" t="s">
        <v>64</v>
      </c>
      <c r="P620">
        <v>63.8</v>
      </c>
      <c r="Q620" t="s">
        <v>65</v>
      </c>
      <c r="R620">
        <v>83.4</v>
      </c>
      <c r="S620">
        <v>-3</v>
      </c>
      <c r="T620">
        <v>3.6</v>
      </c>
      <c r="U620">
        <v>5.3</v>
      </c>
      <c r="V620">
        <v>4.8</v>
      </c>
      <c r="W620">
        <v>4.3</v>
      </c>
      <c r="X620" t="s">
        <v>116</v>
      </c>
    </row>
    <row r="621" spans="2:24" x14ac:dyDescent="0.3">
      <c r="B621" t="s">
        <v>714</v>
      </c>
      <c r="C621" t="s">
        <v>53</v>
      </c>
      <c r="D621" t="s">
        <v>2</v>
      </c>
      <c r="E621" t="s">
        <v>17</v>
      </c>
      <c r="F621" t="s">
        <v>10</v>
      </c>
      <c r="G621" t="s">
        <v>54</v>
      </c>
      <c r="H621">
        <v>2026</v>
      </c>
      <c r="I621">
        <v>1445</v>
      </c>
      <c r="J621">
        <v>7.6</v>
      </c>
      <c r="K621" t="s">
        <v>23</v>
      </c>
      <c r="L621">
        <v>7.8</v>
      </c>
      <c r="M621">
        <v>6.5</v>
      </c>
      <c r="N621">
        <v>3146</v>
      </c>
      <c r="O621" t="s">
        <v>64</v>
      </c>
      <c r="P621">
        <v>17.100000000000001</v>
      </c>
      <c r="Q621" t="s">
        <v>56</v>
      </c>
      <c r="R621">
        <v>21.8</v>
      </c>
      <c r="S621">
        <v>1.8</v>
      </c>
      <c r="T621">
        <v>-8.1999999999999993</v>
      </c>
      <c r="U621">
        <v>6.6</v>
      </c>
      <c r="V621">
        <v>5.2</v>
      </c>
      <c r="W621">
        <v>5.4</v>
      </c>
      <c r="X621" t="s">
        <v>57</v>
      </c>
    </row>
    <row r="622" spans="2:24" x14ac:dyDescent="0.3">
      <c r="B622" t="s">
        <v>715</v>
      </c>
      <c r="C622" t="s">
        <v>137</v>
      </c>
      <c r="D622" t="s">
        <v>4</v>
      </c>
      <c r="E622" t="s">
        <v>14</v>
      </c>
      <c r="F622" t="s">
        <v>11</v>
      </c>
      <c r="G622" t="s">
        <v>112</v>
      </c>
      <c r="H622">
        <v>2025</v>
      </c>
      <c r="I622">
        <v>12279</v>
      </c>
      <c r="J622">
        <v>39.799999999999997</v>
      </c>
      <c r="K622" t="s">
        <v>23</v>
      </c>
      <c r="L622">
        <v>12.2</v>
      </c>
      <c r="M622">
        <v>10</v>
      </c>
      <c r="N622">
        <v>95</v>
      </c>
      <c r="O622" t="s">
        <v>75</v>
      </c>
      <c r="P622">
        <v>82.5</v>
      </c>
      <c r="Q622" t="s">
        <v>88</v>
      </c>
      <c r="R622">
        <v>55.4</v>
      </c>
      <c r="S622">
        <v>46.7</v>
      </c>
      <c r="T622">
        <v>14.5</v>
      </c>
      <c r="U622">
        <v>8.8000000000000007</v>
      </c>
      <c r="V622">
        <v>4.9000000000000004</v>
      </c>
      <c r="W622">
        <v>2.5</v>
      </c>
      <c r="X622" t="s">
        <v>66</v>
      </c>
    </row>
    <row r="623" spans="2:24" x14ac:dyDescent="0.3">
      <c r="B623" t="s">
        <v>716</v>
      </c>
      <c r="C623" t="s">
        <v>106</v>
      </c>
      <c r="D623" t="s">
        <v>4</v>
      </c>
      <c r="E623" t="s">
        <v>17</v>
      </c>
      <c r="F623" t="s">
        <v>9</v>
      </c>
      <c r="G623" t="s">
        <v>60</v>
      </c>
      <c r="H623">
        <v>2024</v>
      </c>
      <c r="I623">
        <v>11960</v>
      </c>
      <c r="J623">
        <v>35.700000000000003</v>
      </c>
      <c r="K623" t="s">
        <v>22</v>
      </c>
      <c r="L623">
        <v>2.2999999999999998</v>
      </c>
      <c r="M623">
        <v>8.9</v>
      </c>
      <c r="N623">
        <v>1136</v>
      </c>
      <c r="O623" t="s">
        <v>75</v>
      </c>
      <c r="P623">
        <v>51.7</v>
      </c>
      <c r="Q623" t="s">
        <v>65</v>
      </c>
      <c r="R623">
        <v>-1.3</v>
      </c>
      <c r="S623">
        <v>-12.4</v>
      </c>
      <c r="T623">
        <v>-11.1</v>
      </c>
      <c r="U623">
        <v>2.5</v>
      </c>
      <c r="V623">
        <v>2.8</v>
      </c>
      <c r="W623">
        <v>2.2000000000000002</v>
      </c>
      <c r="X623" t="s">
        <v>66</v>
      </c>
    </row>
    <row r="624" spans="2:24" x14ac:dyDescent="0.3">
      <c r="B624" t="s">
        <v>717</v>
      </c>
      <c r="C624" t="s">
        <v>71</v>
      </c>
      <c r="D624" t="s">
        <v>6</v>
      </c>
      <c r="E624" t="s">
        <v>18</v>
      </c>
      <c r="F624" t="s">
        <v>9</v>
      </c>
      <c r="G624" t="s">
        <v>98</v>
      </c>
      <c r="H624">
        <v>2024</v>
      </c>
      <c r="I624">
        <v>19083</v>
      </c>
      <c r="J624">
        <v>29.3</v>
      </c>
      <c r="K624" t="s">
        <v>21</v>
      </c>
      <c r="L624">
        <v>6.2</v>
      </c>
      <c r="M624">
        <v>9.6</v>
      </c>
      <c r="N624">
        <v>378</v>
      </c>
      <c r="O624" t="s">
        <v>75</v>
      </c>
      <c r="P624">
        <v>60.3</v>
      </c>
      <c r="Q624" t="s">
        <v>125</v>
      </c>
      <c r="R624">
        <v>12.1</v>
      </c>
      <c r="S624">
        <v>2.4</v>
      </c>
      <c r="T624">
        <v>-13.1</v>
      </c>
      <c r="U624">
        <v>6</v>
      </c>
      <c r="V624">
        <v>3.9</v>
      </c>
      <c r="W624">
        <v>3.9</v>
      </c>
      <c r="X624" t="s">
        <v>66</v>
      </c>
    </row>
    <row r="625" spans="2:24" x14ac:dyDescent="0.3">
      <c r="B625" t="s">
        <v>718</v>
      </c>
      <c r="C625" t="s">
        <v>106</v>
      </c>
      <c r="D625" t="s">
        <v>3</v>
      </c>
      <c r="E625" t="s">
        <v>17</v>
      </c>
      <c r="F625" t="s">
        <v>12</v>
      </c>
      <c r="G625" t="s">
        <v>54</v>
      </c>
      <c r="H625">
        <v>2024</v>
      </c>
      <c r="I625">
        <v>4292</v>
      </c>
      <c r="J625">
        <v>14.6</v>
      </c>
      <c r="K625" t="s">
        <v>25</v>
      </c>
      <c r="L625">
        <v>6.7</v>
      </c>
      <c r="M625">
        <v>10</v>
      </c>
      <c r="N625">
        <v>5124</v>
      </c>
      <c r="O625" t="s">
        <v>55</v>
      </c>
      <c r="P625">
        <v>30.3</v>
      </c>
      <c r="Q625" t="s">
        <v>65</v>
      </c>
      <c r="R625">
        <v>32.1</v>
      </c>
      <c r="S625">
        <v>9.9</v>
      </c>
      <c r="T625">
        <v>-4.8</v>
      </c>
      <c r="U625">
        <v>8.1</v>
      </c>
      <c r="V625">
        <v>6.6</v>
      </c>
      <c r="W625">
        <v>4</v>
      </c>
      <c r="X625" t="s">
        <v>116</v>
      </c>
    </row>
    <row r="626" spans="2:24" x14ac:dyDescent="0.3">
      <c r="B626" t="s">
        <v>719</v>
      </c>
      <c r="C626" t="s">
        <v>106</v>
      </c>
      <c r="D626" t="s">
        <v>7</v>
      </c>
      <c r="E626" t="s">
        <v>15</v>
      </c>
      <c r="F626" t="s">
        <v>10</v>
      </c>
      <c r="G626" t="s">
        <v>104</v>
      </c>
      <c r="H626">
        <v>2026</v>
      </c>
      <c r="I626">
        <v>1215</v>
      </c>
      <c r="J626">
        <v>2</v>
      </c>
      <c r="K626" t="s">
        <v>25</v>
      </c>
      <c r="L626">
        <v>4.7</v>
      </c>
      <c r="M626">
        <v>3.4</v>
      </c>
      <c r="N626">
        <v>3382</v>
      </c>
      <c r="O626" t="s">
        <v>55</v>
      </c>
      <c r="P626">
        <v>82.4</v>
      </c>
      <c r="Q626" t="s">
        <v>65</v>
      </c>
      <c r="R626">
        <v>-34.799999999999997</v>
      </c>
      <c r="S626">
        <v>-11.9</v>
      </c>
      <c r="T626">
        <v>-11.9</v>
      </c>
      <c r="U626">
        <v>3.7</v>
      </c>
      <c r="V626">
        <v>5.8</v>
      </c>
      <c r="W626">
        <v>6.6</v>
      </c>
      <c r="X626" t="s">
        <v>57</v>
      </c>
    </row>
    <row r="627" spans="2:24" x14ac:dyDescent="0.3">
      <c r="B627" t="s">
        <v>720</v>
      </c>
      <c r="C627" t="s">
        <v>71</v>
      </c>
      <c r="D627" t="s">
        <v>6</v>
      </c>
      <c r="E627" t="s">
        <v>14</v>
      </c>
      <c r="F627" t="s">
        <v>11</v>
      </c>
      <c r="G627" t="s">
        <v>54</v>
      </c>
      <c r="H627">
        <v>2025</v>
      </c>
      <c r="I627">
        <v>2825</v>
      </c>
      <c r="J627">
        <v>9.6999999999999993</v>
      </c>
      <c r="K627" t="s">
        <v>22</v>
      </c>
      <c r="L627">
        <v>2</v>
      </c>
      <c r="M627">
        <v>6.1</v>
      </c>
      <c r="N627">
        <v>1760</v>
      </c>
      <c r="O627" t="s">
        <v>64</v>
      </c>
      <c r="P627">
        <v>32.5</v>
      </c>
      <c r="Q627" t="s">
        <v>65</v>
      </c>
      <c r="R627">
        <v>-16.8</v>
      </c>
      <c r="S627">
        <v>-5.3</v>
      </c>
      <c r="T627">
        <v>-12.9</v>
      </c>
      <c r="U627">
        <v>2.2000000000000002</v>
      </c>
      <c r="V627">
        <v>4.8</v>
      </c>
      <c r="W627">
        <v>5.4</v>
      </c>
      <c r="X627" t="s">
        <v>116</v>
      </c>
    </row>
    <row r="628" spans="2:24" x14ac:dyDescent="0.3">
      <c r="B628" t="s">
        <v>721</v>
      </c>
      <c r="C628" t="s">
        <v>106</v>
      </c>
      <c r="D628" t="s">
        <v>8</v>
      </c>
      <c r="E628" t="s">
        <v>14</v>
      </c>
      <c r="F628" t="s">
        <v>11</v>
      </c>
      <c r="G628" t="s">
        <v>60</v>
      </c>
      <c r="H628">
        <v>2024</v>
      </c>
      <c r="I628">
        <v>854</v>
      </c>
      <c r="J628">
        <v>9.8000000000000007</v>
      </c>
      <c r="K628" t="s">
        <v>23</v>
      </c>
      <c r="L628">
        <v>0.8</v>
      </c>
      <c r="M628">
        <v>1.8</v>
      </c>
      <c r="N628">
        <v>3140</v>
      </c>
      <c r="O628" t="s">
        <v>64</v>
      </c>
      <c r="P628">
        <v>81.599999999999994</v>
      </c>
      <c r="Q628" t="s">
        <v>88</v>
      </c>
      <c r="R628">
        <v>26.6</v>
      </c>
      <c r="S628">
        <v>35.1</v>
      </c>
      <c r="T628">
        <v>8.1999999999999993</v>
      </c>
      <c r="U628">
        <v>1.2</v>
      </c>
      <c r="V628">
        <v>5.4</v>
      </c>
      <c r="W628">
        <v>7.2</v>
      </c>
      <c r="X628" t="s">
        <v>57</v>
      </c>
    </row>
    <row r="629" spans="2:24" x14ac:dyDescent="0.3">
      <c r="B629" t="s">
        <v>722</v>
      </c>
      <c r="C629" t="s">
        <v>106</v>
      </c>
      <c r="D629" t="s">
        <v>7</v>
      </c>
      <c r="E629" t="s">
        <v>14</v>
      </c>
      <c r="F629" t="s">
        <v>10</v>
      </c>
      <c r="G629" t="s">
        <v>115</v>
      </c>
      <c r="H629">
        <v>2025</v>
      </c>
      <c r="I629">
        <v>586</v>
      </c>
      <c r="J629">
        <v>3.5</v>
      </c>
      <c r="K629" t="s">
        <v>25</v>
      </c>
      <c r="L629">
        <v>14.8</v>
      </c>
      <c r="M629">
        <v>7.8</v>
      </c>
      <c r="N629">
        <v>1903</v>
      </c>
      <c r="O629" t="s">
        <v>55</v>
      </c>
      <c r="P629">
        <v>85.6</v>
      </c>
      <c r="Q629" t="s">
        <v>76</v>
      </c>
      <c r="R629">
        <v>49.8</v>
      </c>
      <c r="S629">
        <v>-9.1</v>
      </c>
      <c r="T629">
        <v>3.1</v>
      </c>
      <c r="U629">
        <v>9.4</v>
      </c>
      <c r="V629">
        <v>8</v>
      </c>
      <c r="W629">
        <v>5.0999999999999996</v>
      </c>
      <c r="X629" t="s">
        <v>57</v>
      </c>
    </row>
    <row r="630" spans="2:24" x14ac:dyDescent="0.3">
      <c r="B630" t="s">
        <v>723</v>
      </c>
      <c r="C630" t="s">
        <v>92</v>
      </c>
      <c r="D630" t="s">
        <v>7</v>
      </c>
      <c r="E630" t="s">
        <v>18</v>
      </c>
      <c r="F630" t="s">
        <v>9</v>
      </c>
      <c r="G630" t="s">
        <v>78</v>
      </c>
      <c r="H630">
        <v>2024</v>
      </c>
      <c r="I630">
        <v>442</v>
      </c>
      <c r="J630">
        <v>7.4</v>
      </c>
      <c r="K630" t="s">
        <v>21</v>
      </c>
      <c r="L630">
        <v>12.3</v>
      </c>
      <c r="M630">
        <v>7.7</v>
      </c>
      <c r="N630">
        <v>4802</v>
      </c>
      <c r="O630" t="s">
        <v>118</v>
      </c>
      <c r="P630">
        <v>84.7</v>
      </c>
      <c r="Q630" t="s">
        <v>88</v>
      </c>
      <c r="R630">
        <v>65</v>
      </c>
      <c r="S630">
        <v>22.9</v>
      </c>
      <c r="T630">
        <v>11.5</v>
      </c>
      <c r="U630">
        <v>8</v>
      </c>
      <c r="V630">
        <v>6.4</v>
      </c>
      <c r="W630">
        <v>5.9</v>
      </c>
      <c r="X630" t="s">
        <v>57</v>
      </c>
    </row>
    <row r="631" spans="2:24" x14ac:dyDescent="0.3">
      <c r="B631" t="s">
        <v>724</v>
      </c>
      <c r="C631" t="s">
        <v>73</v>
      </c>
      <c r="D631" t="s">
        <v>3</v>
      </c>
      <c r="E631" t="s">
        <v>15</v>
      </c>
      <c r="F631" t="s">
        <v>12</v>
      </c>
      <c r="G631" t="s">
        <v>69</v>
      </c>
      <c r="H631">
        <v>2024</v>
      </c>
      <c r="I631">
        <v>10494</v>
      </c>
      <c r="J631">
        <v>23.5</v>
      </c>
      <c r="K631" t="s">
        <v>23</v>
      </c>
      <c r="L631">
        <v>2.7</v>
      </c>
      <c r="M631">
        <v>7.5</v>
      </c>
      <c r="N631">
        <v>227</v>
      </c>
      <c r="O631" t="s">
        <v>75</v>
      </c>
      <c r="P631">
        <v>89.7</v>
      </c>
      <c r="Q631" t="s">
        <v>76</v>
      </c>
      <c r="R631">
        <v>70.400000000000006</v>
      </c>
      <c r="S631">
        <v>30</v>
      </c>
      <c r="T631">
        <v>13.6</v>
      </c>
      <c r="U631">
        <v>2.2999999999999998</v>
      </c>
      <c r="V631">
        <v>5.8</v>
      </c>
      <c r="W631">
        <v>5.3</v>
      </c>
      <c r="X631" t="s">
        <v>66</v>
      </c>
    </row>
    <row r="632" spans="2:24" x14ac:dyDescent="0.3">
      <c r="B632" t="s">
        <v>725</v>
      </c>
      <c r="C632" t="s">
        <v>27</v>
      </c>
      <c r="D632" t="s">
        <v>3</v>
      </c>
      <c r="E632" t="s">
        <v>17</v>
      </c>
      <c r="F632" t="s">
        <v>11</v>
      </c>
      <c r="G632" t="s">
        <v>74</v>
      </c>
      <c r="H632">
        <v>2026</v>
      </c>
      <c r="I632">
        <v>16172</v>
      </c>
      <c r="J632">
        <v>17.8</v>
      </c>
      <c r="K632" t="s">
        <v>22</v>
      </c>
      <c r="L632">
        <v>8</v>
      </c>
      <c r="M632">
        <v>9.4</v>
      </c>
      <c r="N632">
        <v>1258</v>
      </c>
      <c r="O632" t="s">
        <v>55</v>
      </c>
      <c r="P632">
        <v>16.7</v>
      </c>
      <c r="Q632" t="s">
        <v>86</v>
      </c>
      <c r="R632">
        <v>38.4</v>
      </c>
      <c r="S632">
        <v>3.6</v>
      </c>
      <c r="T632">
        <v>-3.9</v>
      </c>
      <c r="U632">
        <v>8.9</v>
      </c>
      <c r="V632">
        <v>5.5</v>
      </c>
      <c r="W632">
        <v>3.6</v>
      </c>
      <c r="X632" t="s">
        <v>66</v>
      </c>
    </row>
    <row r="633" spans="2:24" x14ac:dyDescent="0.3">
      <c r="B633" t="s">
        <v>726</v>
      </c>
      <c r="C633" t="s">
        <v>68</v>
      </c>
      <c r="D633" t="s">
        <v>8</v>
      </c>
      <c r="E633" t="s">
        <v>19</v>
      </c>
      <c r="F633" t="s">
        <v>9</v>
      </c>
      <c r="G633" t="s">
        <v>104</v>
      </c>
      <c r="H633">
        <v>2025</v>
      </c>
      <c r="I633">
        <v>989</v>
      </c>
      <c r="J633">
        <v>12.1</v>
      </c>
      <c r="K633" t="s">
        <v>25</v>
      </c>
      <c r="L633">
        <v>5.8</v>
      </c>
      <c r="M633">
        <v>4.3</v>
      </c>
      <c r="N633">
        <v>1708</v>
      </c>
      <c r="O633" t="s">
        <v>64</v>
      </c>
      <c r="P633">
        <v>36.9</v>
      </c>
      <c r="Q633" t="s">
        <v>86</v>
      </c>
      <c r="R633">
        <v>25.9</v>
      </c>
      <c r="S633">
        <v>23.9</v>
      </c>
      <c r="T633">
        <v>9.1</v>
      </c>
      <c r="U633">
        <v>4</v>
      </c>
      <c r="V633">
        <v>6.3</v>
      </c>
      <c r="W633">
        <v>7.6</v>
      </c>
      <c r="X633" t="s">
        <v>116</v>
      </c>
    </row>
    <row r="634" spans="2:24" x14ac:dyDescent="0.3">
      <c r="B634" t="s">
        <v>727</v>
      </c>
      <c r="C634" t="s">
        <v>90</v>
      </c>
      <c r="D634" t="s">
        <v>6</v>
      </c>
      <c r="E634" t="s">
        <v>15</v>
      </c>
      <c r="F634" t="s">
        <v>11</v>
      </c>
      <c r="G634" t="s">
        <v>78</v>
      </c>
      <c r="H634">
        <v>2024</v>
      </c>
      <c r="I634">
        <v>1284</v>
      </c>
      <c r="J634">
        <v>1.9</v>
      </c>
      <c r="K634" t="s">
        <v>22</v>
      </c>
      <c r="L634">
        <v>2.1</v>
      </c>
      <c r="M634">
        <v>2.2000000000000002</v>
      </c>
      <c r="N634">
        <v>4836</v>
      </c>
      <c r="O634" t="s">
        <v>55</v>
      </c>
      <c r="P634">
        <v>43.4</v>
      </c>
      <c r="Q634" t="s">
        <v>56</v>
      </c>
      <c r="R634">
        <v>-31.7</v>
      </c>
      <c r="S634">
        <v>30.5</v>
      </c>
      <c r="T634">
        <v>21</v>
      </c>
      <c r="U634">
        <v>1.3</v>
      </c>
      <c r="V634">
        <v>8.8000000000000007</v>
      </c>
      <c r="W634">
        <v>7.8</v>
      </c>
      <c r="X634" t="s">
        <v>57</v>
      </c>
    </row>
    <row r="635" spans="2:24" x14ac:dyDescent="0.3">
      <c r="B635" t="s">
        <v>728</v>
      </c>
      <c r="C635" t="s">
        <v>106</v>
      </c>
      <c r="D635" t="s">
        <v>8</v>
      </c>
      <c r="E635" t="s">
        <v>14</v>
      </c>
      <c r="F635" t="s">
        <v>12</v>
      </c>
      <c r="G635" t="s">
        <v>60</v>
      </c>
      <c r="H635">
        <v>2024</v>
      </c>
      <c r="I635">
        <v>210</v>
      </c>
      <c r="J635">
        <v>3.9</v>
      </c>
      <c r="K635" t="s">
        <v>23</v>
      </c>
      <c r="L635">
        <v>7.2</v>
      </c>
      <c r="M635">
        <v>8.3000000000000007</v>
      </c>
      <c r="N635">
        <v>2870</v>
      </c>
      <c r="O635" t="s">
        <v>55</v>
      </c>
      <c r="P635">
        <v>83.6</v>
      </c>
      <c r="Q635" t="s">
        <v>76</v>
      </c>
      <c r="R635">
        <v>81.400000000000006</v>
      </c>
      <c r="S635">
        <v>14.4</v>
      </c>
      <c r="T635">
        <v>1.5</v>
      </c>
      <c r="U635">
        <v>5.6</v>
      </c>
      <c r="V635">
        <v>5.7</v>
      </c>
      <c r="W635">
        <v>7.4</v>
      </c>
      <c r="X635" t="s">
        <v>57</v>
      </c>
    </row>
    <row r="636" spans="2:24" x14ac:dyDescent="0.3">
      <c r="B636" t="s">
        <v>729</v>
      </c>
      <c r="C636" t="s">
        <v>159</v>
      </c>
      <c r="D636" t="s">
        <v>2</v>
      </c>
      <c r="E636" t="s">
        <v>17</v>
      </c>
      <c r="F636" t="s">
        <v>11</v>
      </c>
      <c r="G636" t="s">
        <v>74</v>
      </c>
      <c r="H636">
        <v>2026</v>
      </c>
      <c r="I636">
        <v>780</v>
      </c>
      <c r="J636">
        <v>1.9</v>
      </c>
      <c r="K636" t="s">
        <v>22</v>
      </c>
      <c r="L636">
        <v>2</v>
      </c>
      <c r="M636">
        <v>1</v>
      </c>
      <c r="N636">
        <v>1203</v>
      </c>
      <c r="O636" t="s">
        <v>64</v>
      </c>
      <c r="P636">
        <v>54.8</v>
      </c>
      <c r="Q636" t="s">
        <v>56</v>
      </c>
      <c r="R636">
        <v>-39.6</v>
      </c>
      <c r="S636">
        <v>-13.2</v>
      </c>
      <c r="T636">
        <v>-4.5999999999999996</v>
      </c>
      <c r="U636">
        <v>1.9</v>
      </c>
      <c r="V636">
        <v>8.4</v>
      </c>
      <c r="W636">
        <v>8</v>
      </c>
      <c r="X636" t="s">
        <v>57</v>
      </c>
    </row>
    <row r="637" spans="2:24" x14ac:dyDescent="0.3">
      <c r="B637" t="s">
        <v>730</v>
      </c>
      <c r="C637" t="s">
        <v>106</v>
      </c>
      <c r="D637" t="s">
        <v>3</v>
      </c>
      <c r="E637" t="s">
        <v>15</v>
      </c>
      <c r="F637" t="s">
        <v>12</v>
      </c>
      <c r="G637" t="s">
        <v>60</v>
      </c>
      <c r="H637">
        <v>2025</v>
      </c>
      <c r="I637">
        <v>1265</v>
      </c>
      <c r="J637">
        <v>5.9</v>
      </c>
      <c r="K637" t="s">
        <v>24</v>
      </c>
      <c r="L637">
        <v>5.9</v>
      </c>
      <c r="M637">
        <v>10</v>
      </c>
      <c r="N637">
        <v>1521</v>
      </c>
      <c r="O637" t="s">
        <v>55</v>
      </c>
      <c r="P637">
        <v>88.8</v>
      </c>
      <c r="Q637" t="s">
        <v>125</v>
      </c>
      <c r="R637">
        <v>85</v>
      </c>
      <c r="S637">
        <v>47.5</v>
      </c>
      <c r="T637">
        <v>29.6</v>
      </c>
      <c r="U637">
        <v>9.6</v>
      </c>
      <c r="V637">
        <v>8.3000000000000007</v>
      </c>
      <c r="W637">
        <v>7.5</v>
      </c>
      <c r="X637" t="s">
        <v>57</v>
      </c>
    </row>
    <row r="638" spans="2:24" x14ac:dyDescent="0.3">
      <c r="B638" t="s">
        <v>731</v>
      </c>
      <c r="C638" t="s">
        <v>142</v>
      </c>
      <c r="D638" t="s">
        <v>2</v>
      </c>
      <c r="E638" t="s">
        <v>15</v>
      </c>
      <c r="F638" t="s">
        <v>10</v>
      </c>
      <c r="G638" t="s">
        <v>112</v>
      </c>
      <c r="H638">
        <v>2026</v>
      </c>
      <c r="I638">
        <v>10500</v>
      </c>
      <c r="J638">
        <v>8.6</v>
      </c>
      <c r="K638" t="s">
        <v>21</v>
      </c>
      <c r="L638">
        <v>14.5</v>
      </c>
      <c r="M638">
        <v>8.6999999999999993</v>
      </c>
      <c r="N638">
        <v>3297</v>
      </c>
      <c r="O638" t="s">
        <v>55</v>
      </c>
      <c r="P638">
        <v>89.5</v>
      </c>
      <c r="Q638" t="s">
        <v>56</v>
      </c>
      <c r="R638">
        <v>25.8</v>
      </c>
      <c r="S638">
        <v>34.1</v>
      </c>
      <c r="T638">
        <v>9.1</v>
      </c>
      <c r="U638">
        <v>8.9</v>
      </c>
      <c r="V638">
        <v>9.1</v>
      </c>
      <c r="W638">
        <v>6.5</v>
      </c>
      <c r="X638" t="s">
        <v>66</v>
      </c>
    </row>
    <row r="639" spans="2:24" x14ac:dyDescent="0.3">
      <c r="B639" t="s">
        <v>732</v>
      </c>
      <c r="C639" t="s">
        <v>71</v>
      </c>
      <c r="D639" t="s">
        <v>5</v>
      </c>
      <c r="E639" t="s">
        <v>19</v>
      </c>
      <c r="F639" t="s">
        <v>10</v>
      </c>
      <c r="G639" t="s">
        <v>131</v>
      </c>
      <c r="H639">
        <v>2025</v>
      </c>
      <c r="I639">
        <v>1147</v>
      </c>
      <c r="J639">
        <v>4.2</v>
      </c>
      <c r="K639" t="s">
        <v>22</v>
      </c>
      <c r="L639">
        <v>11</v>
      </c>
      <c r="M639">
        <v>7.7</v>
      </c>
      <c r="N639">
        <v>5375</v>
      </c>
      <c r="O639" t="s">
        <v>55</v>
      </c>
      <c r="P639">
        <v>10</v>
      </c>
      <c r="Q639" t="s">
        <v>76</v>
      </c>
      <c r="R639">
        <v>38.299999999999997</v>
      </c>
      <c r="S639">
        <v>32.5</v>
      </c>
      <c r="T639">
        <v>14.6</v>
      </c>
      <c r="U639">
        <v>8.1999999999999993</v>
      </c>
      <c r="V639">
        <v>5.8</v>
      </c>
      <c r="W639">
        <v>7.3</v>
      </c>
      <c r="X639" t="s">
        <v>57</v>
      </c>
    </row>
    <row r="640" spans="2:24" x14ac:dyDescent="0.3">
      <c r="B640" t="s">
        <v>733</v>
      </c>
      <c r="C640" t="s">
        <v>53</v>
      </c>
      <c r="D640" t="s">
        <v>3</v>
      </c>
      <c r="E640" t="s">
        <v>17</v>
      </c>
      <c r="F640" t="s">
        <v>10</v>
      </c>
      <c r="G640" t="s">
        <v>131</v>
      </c>
      <c r="H640">
        <v>2025</v>
      </c>
      <c r="I640">
        <v>12602</v>
      </c>
      <c r="J640">
        <v>15.9</v>
      </c>
      <c r="K640" t="s">
        <v>25</v>
      </c>
      <c r="L640">
        <v>2.7</v>
      </c>
      <c r="M640">
        <v>3.2</v>
      </c>
      <c r="N640">
        <v>1181</v>
      </c>
      <c r="O640" t="s">
        <v>64</v>
      </c>
      <c r="P640">
        <v>22.8</v>
      </c>
      <c r="Q640" t="s">
        <v>56</v>
      </c>
      <c r="R640">
        <v>30.5</v>
      </c>
      <c r="S640">
        <v>-23.1</v>
      </c>
      <c r="T640">
        <v>-10.5</v>
      </c>
      <c r="U640">
        <v>1.8</v>
      </c>
      <c r="V640">
        <v>4.9000000000000004</v>
      </c>
      <c r="W640">
        <v>5.5</v>
      </c>
      <c r="X640" t="s">
        <v>66</v>
      </c>
    </row>
    <row r="641" spans="2:24" x14ac:dyDescent="0.3">
      <c r="B641" t="s">
        <v>734</v>
      </c>
      <c r="C641" t="s">
        <v>142</v>
      </c>
      <c r="D641" t="s">
        <v>2</v>
      </c>
      <c r="E641" t="s">
        <v>15</v>
      </c>
      <c r="F641" t="s">
        <v>9</v>
      </c>
      <c r="G641" t="s">
        <v>98</v>
      </c>
      <c r="H641">
        <v>2024</v>
      </c>
      <c r="I641">
        <v>17894</v>
      </c>
      <c r="J641">
        <v>22.9</v>
      </c>
      <c r="K641" t="s">
        <v>23</v>
      </c>
      <c r="L641">
        <v>4.5999999999999996</v>
      </c>
      <c r="M641">
        <v>10</v>
      </c>
      <c r="N641">
        <v>6493</v>
      </c>
      <c r="O641" t="s">
        <v>55</v>
      </c>
      <c r="P641">
        <v>48.8</v>
      </c>
      <c r="Q641" t="s">
        <v>56</v>
      </c>
      <c r="R641">
        <v>-2.5</v>
      </c>
      <c r="S641">
        <v>7</v>
      </c>
      <c r="T641">
        <v>-5.4</v>
      </c>
      <c r="U641">
        <v>4.2</v>
      </c>
      <c r="V641">
        <v>3.4</v>
      </c>
      <c r="W641">
        <v>4.8</v>
      </c>
      <c r="X641" t="s">
        <v>66</v>
      </c>
    </row>
    <row r="642" spans="2:24" x14ac:dyDescent="0.3">
      <c r="B642" t="s">
        <v>735</v>
      </c>
      <c r="C642" t="s">
        <v>139</v>
      </c>
      <c r="D642" t="s">
        <v>8</v>
      </c>
      <c r="E642" t="s">
        <v>18</v>
      </c>
      <c r="F642" t="s">
        <v>12</v>
      </c>
      <c r="G642" t="s">
        <v>63</v>
      </c>
      <c r="H642">
        <v>2025</v>
      </c>
      <c r="I642">
        <v>529</v>
      </c>
      <c r="J642">
        <v>5.5</v>
      </c>
      <c r="K642" t="s">
        <v>25</v>
      </c>
      <c r="L642">
        <v>3</v>
      </c>
      <c r="M642">
        <v>3.8</v>
      </c>
      <c r="N642">
        <v>4799</v>
      </c>
      <c r="O642" t="s">
        <v>55</v>
      </c>
      <c r="P642">
        <v>14.3</v>
      </c>
      <c r="Q642" t="s">
        <v>86</v>
      </c>
      <c r="R642">
        <v>-20.5</v>
      </c>
      <c r="S642">
        <v>-11.3</v>
      </c>
      <c r="T642">
        <v>-6.8</v>
      </c>
      <c r="U642">
        <v>3.4</v>
      </c>
      <c r="V642">
        <v>5.7</v>
      </c>
      <c r="W642">
        <v>7.1</v>
      </c>
      <c r="X642" t="s">
        <v>57</v>
      </c>
    </row>
    <row r="643" spans="2:24" x14ac:dyDescent="0.3">
      <c r="B643" t="s">
        <v>736</v>
      </c>
      <c r="C643" t="s">
        <v>106</v>
      </c>
      <c r="D643" t="s">
        <v>3</v>
      </c>
      <c r="E643" t="s">
        <v>19</v>
      </c>
      <c r="F643" t="s">
        <v>12</v>
      </c>
      <c r="G643" t="s">
        <v>115</v>
      </c>
      <c r="H643">
        <v>2024</v>
      </c>
      <c r="I643">
        <v>1926</v>
      </c>
      <c r="J643">
        <v>16.100000000000001</v>
      </c>
      <c r="K643" t="s">
        <v>24</v>
      </c>
      <c r="L643">
        <v>8.5</v>
      </c>
      <c r="M643">
        <v>10</v>
      </c>
      <c r="N643">
        <v>3690</v>
      </c>
      <c r="O643" t="s">
        <v>64</v>
      </c>
      <c r="P643">
        <v>51.1</v>
      </c>
      <c r="Q643" t="s">
        <v>65</v>
      </c>
      <c r="R643">
        <v>-17.7</v>
      </c>
      <c r="S643">
        <v>-1.6</v>
      </c>
      <c r="T643">
        <v>-12.9</v>
      </c>
      <c r="U643">
        <v>5.0999999999999996</v>
      </c>
      <c r="V643">
        <v>5.9</v>
      </c>
      <c r="W643">
        <v>4.0999999999999996</v>
      </c>
      <c r="X643" t="s">
        <v>116</v>
      </c>
    </row>
    <row r="644" spans="2:24" x14ac:dyDescent="0.3">
      <c r="B644" t="s">
        <v>737</v>
      </c>
      <c r="C644" t="s">
        <v>73</v>
      </c>
      <c r="D644" t="s">
        <v>2</v>
      </c>
      <c r="E644" t="s">
        <v>18</v>
      </c>
      <c r="F644" t="s">
        <v>10</v>
      </c>
      <c r="G644" t="s">
        <v>104</v>
      </c>
      <c r="H644">
        <v>2026</v>
      </c>
      <c r="I644">
        <v>2413</v>
      </c>
      <c r="J644">
        <v>7</v>
      </c>
      <c r="K644" t="s">
        <v>22</v>
      </c>
      <c r="L644">
        <v>7.8</v>
      </c>
      <c r="M644">
        <v>10</v>
      </c>
      <c r="N644">
        <v>9246</v>
      </c>
      <c r="O644" t="s">
        <v>118</v>
      </c>
      <c r="P644">
        <v>24.3</v>
      </c>
      <c r="Q644" t="s">
        <v>76</v>
      </c>
      <c r="R644">
        <v>63.4</v>
      </c>
      <c r="S644">
        <v>3.9</v>
      </c>
      <c r="T644">
        <v>7.4</v>
      </c>
      <c r="U644">
        <v>9.1</v>
      </c>
      <c r="V644">
        <v>6.6</v>
      </c>
      <c r="W644">
        <v>6.2</v>
      </c>
      <c r="X644" t="s">
        <v>116</v>
      </c>
    </row>
    <row r="645" spans="2:24" x14ac:dyDescent="0.3">
      <c r="B645" t="s">
        <v>738</v>
      </c>
      <c r="C645" t="s">
        <v>106</v>
      </c>
      <c r="D645" t="s">
        <v>8</v>
      </c>
      <c r="E645" t="s">
        <v>16</v>
      </c>
      <c r="F645" t="s">
        <v>9</v>
      </c>
      <c r="G645" t="s">
        <v>131</v>
      </c>
      <c r="H645">
        <v>2024</v>
      </c>
      <c r="I645">
        <v>256</v>
      </c>
      <c r="J645">
        <v>4.4000000000000004</v>
      </c>
      <c r="K645" t="s">
        <v>21</v>
      </c>
      <c r="L645">
        <v>6.5</v>
      </c>
      <c r="M645">
        <v>6.9</v>
      </c>
      <c r="N645">
        <v>5589</v>
      </c>
      <c r="O645" t="s">
        <v>55</v>
      </c>
      <c r="P645">
        <v>20.100000000000001</v>
      </c>
      <c r="Q645" t="s">
        <v>125</v>
      </c>
      <c r="R645">
        <v>76.2</v>
      </c>
      <c r="S645">
        <v>-16.5</v>
      </c>
      <c r="T645">
        <v>-5.6</v>
      </c>
      <c r="U645">
        <v>4.9000000000000004</v>
      </c>
      <c r="V645">
        <v>7.6</v>
      </c>
      <c r="W645">
        <v>6.5</v>
      </c>
      <c r="X645" t="s">
        <v>116</v>
      </c>
    </row>
    <row r="646" spans="2:24" x14ac:dyDescent="0.3">
      <c r="B646" t="s">
        <v>739</v>
      </c>
      <c r="C646" t="s">
        <v>53</v>
      </c>
      <c r="D646" t="s">
        <v>7</v>
      </c>
      <c r="E646" t="s">
        <v>19</v>
      </c>
      <c r="F646" t="s">
        <v>9</v>
      </c>
      <c r="G646" t="s">
        <v>69</v>
      </c>
      <c r="H646">
        <v>2026</v>
      </c>
      <c r="I646">
        <v>1290</v>
      </c>
      <c r="J646">
        <v>2.8</v>
      </c>
      <c r="K646" t="s">
        <v>22</v>
      </c>
      <c r="L646">
        <v>1.7</v>
      </c>
      <c r="M646">
        <v>1</v>
      </c>
      <c r="N646">
        <v>4395</v>
      </c>
      <c r="O646" t="s">
        <v>55</v>
      </c>
      <c r="P646">
        <v>50.8</v>
      </c>
      <c r="Q646" t="s">
        <v>125</v>
      </c>
      <c r="R646">
        <v>-3.4</v>
      </c>
      <c r="S646">
        <v>14.2</v>
      </c>
      <c r="T646">
        <v>9.3000000000000007</v>
      </c>
      <c r="U646">
        <v>1.8</v>
      </c>
      <c r="V646">
        <v>9.1</v>
      </c>
      <c r="W646">
        <v>7.6</v>
      </c>
      <c r="X646" t="s">
        <v>57</v>
      </c>
    </row>
    <row r="647" spans="2:24" x14ac:dyDescent="0.3">
      <c r="B647" t="s">
        <v>740</v>
      </c>
      <c r="C647" t="s">
        <v>73</v>
      </c>
      <c r="D647" t="s">
        <v>2</v>
      </c>
      <c r="E647" t="s">
        <v>16</v>
      </c>
      <c r="F647" t="s">
        <v>11</v>
      </c>
      <c r="G647" t="s">
        <v>112</v>
      </c>
      <c r="H647">
        <v>2024</v>
      </c>
      <c r="I647">
        <v>1813</v>
      </c>
      <c r="J647">
        <v>2.6</v>
      </c>
      <c r="K647" t="s">
        <v>22</v>
      </c>
      <c r="L647">
        <v>1.7</v>
      </c>
      <c r="M647">
        <v>1.2</v>
      </c>
      <c r="N647">
        <v>4858</v>
      </c>
      <c r="O647" t="s">
        <v>64</v>
      </c>
      <c r="P647">
        <v>31</v>
      </c>
      <c r="Q647" t="s">
        <v>56</v>
      </c>
      <c r="R647">
        <v>86.2</v>
      </c>
      <c r="S647">
        <v>19.3</v>
      </c>
      <c r="T647">
        <v>0.2</v>
      </c>
      <c r="U647">
        <v>1.9</v>
      </c>
      <c r="V647">
        <v>6.2</v>
      </c>
      <c r="W647">
        <v>7.9</v>
      </c>
      <c r="X647" t="s">
        <v>57</v>
      </c>
    </row>
    <row r="648" spans="2:24" x14ac:dyDescent="0.3">
      <c r="B648" t="s">
        <v>741</v>
      </c>
      <c r="C648" t="s">
        <v>83</v>
      </c>
      <c r="D648" t="s">
        <v>4</v>
      </c>
      <c r="E648" t="s">
        <v>16</v>
      </c>
      <c r="F648" t="s">
        <v>11</v>
      </c>
      <c r="G648" t="s">
        <v>63</v>
      </c>
      <c r="H648">
        <v>2024</v>
      </c>
      <c r="I648">
        <v>403</v>
      </c>
      <c r="J648">
        <v>3.4</v>
      </c>
      <c r="K648" t="s">
        <v>24</v>
      </c>
      <c r="L648">
        <v>8.9</v>
      </c>
      <c r="M648">
        <v>5</v>
      </c>
      <c r="N648">
        <v>1224</v>
      </c>
      <c r="O648" t="s">
        <v>55</v>
      </c>
      <c r="P648">
        <v>29.3</v>
      </c>
      <c r="Q648" t="s">
        <v>84</v>
      </c>
      <c r="R648">
        <v>27.3</v>
      </c>
      <c r="S648">
        <v>8.3000000000000007</v>
      </c>
      <c r="T648">
        <v>12.1</v>
      </c>
      <c r="U648">
        <v>8.1999999999999993</v>
      </c>
      <c r="V648">
        <v>7.2</v>
      </c>
      <c r="W648">
        <v>7.2</v>
      </c>
      <c r="X648" t="s">
        <v>57</v>
      </c>
    </row>
    <row r="649" spans="2:24" x14ac:dyDescent="0.3">
      <c r="B649" t="s">
        <v>742</v>
      </c>
      <c r="C649" t="s">
        <v>90</v>
      </c>
      <c r="D649" t="s">
        <v>2</v>
      </c>
      <c r="E649" t="s">
        <v>17</v>
      </c>
      <c r="F649" t="s">
        <v>10</v>
      </c>
      <c r="G649" t="s">
        <v>74</v>
      </c>
      <c r="H649">
        <v>2024</v>
      </c>
      <c r="I649">
        <v>14806</v>
      </c>
      <c r="J649">
        <v>19.5</v>
      </c>
      <c r="K649" t="s">
        <v>25</v>
      </c>
      <c r="L649">
        <v>2.1</v>
      </c>
      <c r="M649">
        <v>6.2</v>
      </c>
      <c r="N649">
        <v>2155</v>
      </c>
      <c r="O649" t="s">
        <v>64</v>
      </c>
      <c r="P649">
        <v>36.1</v>
      </c>
      <c r="Q649" t="s">
        <v>76</v>
      </c>
      <c r="R649">
        <v>35.299999999999997</v>
      </c>
      <c r="S649">
        <v>22.6</v>
      </c>
      <c r="T649">
        <v>-4</v>
      </c>
      <c r="U649">
        <v>1.6</v>
      </c>
      <c r="V649">
        <v>5.8</v>
      </c>
      <c r="W649">
        <v>6.3</v>
      </c>
      <c r="X649" t="s">
        <v>66</v>
      </c>
    </row>
    <row r="650" spans="2:24" x14ac:dyDescent="0.3">
      <c r="B650" t="s">
        <v>743</v>
      </c>
      <c r="C650" t="s">
        <v>83</v>
      </c>
      <c r="D650" t="s">
        <v>4</v>
      </c>
      <c r="E650" t="s">
        <v>15</v>
      </c>
      <c r="F650" t="s">
        <v>9</v>
      </c>
      <c r="G650" t="s">
        <v>54</v>
      </c>
      <c r="H650">
        <v>2024</v>
      </c>
      <c r="I650">
        <v>1924</v>
      </c>
      <c r="J650">
        <v>11.9</v>
      </c>
      <c r="K650" t="s">
        <v>24</v>
      </c>
      <c r="L650">
        <v>2.5</v>
      </c>
      <c r="M650">
        <v>3.5</v>
      </c>
      <c r="N650">
        <v>4858</v>
      </c>
      <c r="O650" t="s">
        <v>64</v>
      </c>
      <c r="P650">
        <v>20.399999999999999</v>
      </c>
      <c r="Q650" t="s">
        <v>86</v>
      </c>
      <c r="R650">
        <v>14.9</v>
      </c>
      <c r="S650">
        <v>-24.3</v>
      </c>
      <c r="T650">
        <v>-8.6</v>
      </c>
      <c r="U650">
        <v>2.6</v>
      </c>
      <c r="V650">
        <v>5.5</v>
      </c>
      <c r="W650">
        <v>5.4</v>
      </c>
      <c r="X650" t="s">
        <v>116</v>
      </c>
    </row>
    <row r="651" spans="2:24" x14ac:dyDescent="0.3">
      <c r="B651" t="s">
        <v>744</v>
      </c>
      <c r="C651" t="s">
        <v>100</v>
      </c>
      <c r="D651" t="s">
        <v>3</v>
      </c>
      <c r="E651" t="s">
        <v>16</v>
      </c>
      <c r="F651" t="s">
        <v>10</v>
      </c>
      <c r="G651" t="s">
        <v>78</v>
      </c>
      <c r="H651">
        <v>2024</v>
      </c>
      <c r="I651">
        <v>19164</v>
      </c>
      <c r="J651">
        <v>13.4</v>
      </c>
      <c r="K651" t="s">
        <v>23</v>
      </c>
      <c r="L651">
        <v>8</v>
      </c>
      <c r="M651">
        <v>7.9</v>
      </c>
      <c r="N651">
        <v>1619</v>
      </c>
      <c r="O651" t="s">
        <v>64</v>
      </c>
      <c r="P651">
        <v>69.5</v>
      </c>
      <c r="Q651" t="s">
        <v>84</v>
      </c>
      <c r="R651">
        <v>-17.3</v>
      </c>
      <c r="S651">
        <v>34.799999999999997</v>
      </c>
      <c r="T651">
        <v>14.7</v>
      </c>
      <c r="U651">
        <v>8.8000000000000007</v>
      </c>
      <c r="V651">
        <v>5.9</v>
      </c>
      <c r="W651">
        <v>6.1</v>
      </c>
      <c r="X651" t="s">
        <v>66</v>
      </c>
    </row>
    <row r="652" spans="2:24" x14ac:dyDescent="0.3">
      <c r="B652" t="s">
        <v>745</v>
      </c>
      <c r="C652" t="s">
        <v>81</v>
      </c>
      <c r="D652" t="s">
        <v>5</v>
      </c>
      <c r="E652" t="s">
        <v>15</v>
      </c>
      <c r="F652" t="s">
        <v>9</v>
      </c>
      <c r="G652" t="s">
        <v>74</v>
      </c>
      <c r="H652">
        <v>2026</v>
      </c>
      <c r="I652">
        <v>1914</v>
      </c>
      <c r="J652">
        <v>0.4</v>
      </c>
      <c r="K652" t="s">
        <v>25</v>
      </c>
      <c r="L652">
        <v>5.9</v>
      </c>
      <c r="M652">
        <v>6.6</v>
      </c>
      <c r="N652">
        <v>2883</v>
      </c>
      <c r="O652" t="s">
        <v>64</v>
      </c>
      <c r="P652">
        <v>30.3</v>
      </c>
      <c r="Q652" t="s">
        <v>65</v>
      </c>
      <c r="R652">
        <v>-5.2</v>
      </c>
      <c r="S652">
        <v>48.1</v>
      </c>
      <c r="T652">
        <v>24.8</v>
      </c>
      <c r="U652">
        <v>3.8</v>
      </c>
      <c r="V652">
        <v>9.9</v>
      </c>
      <c r="W652">
        <v>7.3</v>
      </c>
      <c r="X652" t="s">
        <v>57</v>
      </c>
    </row>
    <row r="653" spans="2:24" x14ac:dyDescent="0.3">
      <c r="B653" t="s">
        <v>746</v>
      </c>
      <c r="C653" t="s">
        <v>137</v>
      </c>
      <c r="D653" t="s">
        <v>3</v>
      </c>
      <c r="E653" t="s">
        <v>16</v>
      </c>
      <c r="F653" t="s">
        <v>9</v>
      </c>
      <c r="G653" t="s">
        <v>112</v>
      </c>
      <c r="H653">
        <v>2024</v>
      </c>
      <c r="I653">
        <v>667</v>
      </c>
      <c r="J653">
        <v>1.8</v>
      </c>
      <c r="K653" t="s">
        <v>21</v>
      </c>
      <c r="L653">
        <v>8.5</v>
      </c>
      <c r="M653">
        <v>6.4</v>
      </c>
      <c r="N653">
        <v>4679</v>
      </c>
      <c r="O653" t="s">
        <v>55</v>
      </c>
      <c r="P653">
        <v>35.299999999999997</v>
      </c>
      <c r="Q653" t="s">
        <v>76</v>
      </c>
      <c r="R653">
        <v>-39.6</v>
      </c>
      <c r="S653">
        <v>-18.2</v>
      </c>
      <c r="T653">
        <v>-9.6999999999999993</v>
      </c>
      <c r="U653">
        <v>5.0999999999999996</v>
      </c>
      <c r="V653">
        <v>5.5</v>
      </c>
      <c r="W653">
        <v>5.8</v>
      </c>
      <c r="X653" t="s">
        <v>57</v>
      </c>
    </row>
    <row r="654" spans="2:24" x14ac:dyDescent="0.3">
      <c r="B654" t="s">
        <v>747</v>
      </c>
      <c r="C654" t="s">
        <v>90</v>
      </c>
      <c r="D654" t="s">
        <v>5</v>
      </c>
      <c r="E654" t="s">
        <v>16</v>
      </c>
      <c r="F654" t="s">
        <v>12</v>
      </c>
      <c r="G654" t="s">
        <v>63</v>
      </c>
      <c r="H654">
        <v>2025</v>
      </c>
      <c r="I654">
        <v>459</v>
      </c>
      <c r="J654">
        <v>2.6</v>
      </c>
      <c r="K654" t="s">
        <v>22</v>
      </c>
      <c r="L654">
        <v>15.9</v>
      </c>
      <c r="M654">
        <v>10</v>
      </c>
      <c r="N654">
        <v>4546</v>
      </c>
      <c r="O654" t="s">
        <v>118</v>
      </c>
      <c r="P654">
        <v>65.2</v>
      </c>
      <c r="Q654" t="s">
        <v>76</v>
      </c>
      <c r="R654">
        <v>-6.9</v>
      </c>
      <c r="S654">
        <v>-0.5</v>
      </c>
      <c r="T654">
        <v>11.3</v>
      </c>
      <c r="U654">
        <v>10</v>
      </c>
      <c r="V654">
        <v>7.2</v>
      </c>
      <c r="W654">
        <v>5.2</v>
      </c>
      <c r="X654" t="s">
        <v>57</v>
      </c>
    </row>
    <row r="655" spans="2:24" x14ac:dyDescent="0.3">
      <c r="B655" t="s">
        <v>748</v>
      </c>
      <c r="C655" t="s">
        <v>71</v>
      </c>
      <c r="D655" t="s">
        <v>5</v>
      </c>
      <c r="E655" t="s">
        <v>19</v>
      </c>
      <c r="F655" t="s">
        <v>12</v>
      </c>
      <c r="G655" t="s">
        <v>60</v>
      </c>
      <c r="H655">
        <v>2024</v>
      </c>
      <c r="I655">
        <v>1930</v>
      </c>
      <c r="J655">
        <v>6.8</v>
      </c>
      <c r="K655" t="s">
        <v>23</v>
      </c>
      <c r="L655">
        <v>4.5</v>
      </c>
      <c r="M655">
        <v>5.9</v>
      </c>
      <c r="N655">
        <v>2564</v>
      </c>
      <c r="O655" t="s">
        <v>64</v>
      </c>
      <c r="P655">
        <v>77.400000000000006</v>
      </c>
      <c r="Q655" t="s">
        <v>86</v>
      </c>
      <c r="R655">
        <v>4.4000000000000004</v>
      </c>
      <c r="S655">
        <v>1.4</v>
      </c>
      <c r="T655">
        <v>-7.2</v>
      </c>
      <c r="U655">
        <v>2.7</v>
      </c>
      <c r="V655">
        <v>7</v>
      </c>
      <c r="W655">
        <v>6.3</v>
      </c>
      <c r="X655" t="s">
        <v>57</v>
      </c>
    </row>
    <row r="656" spans="2:24" x14ac:dyDescent="0.3">
      <c r="B656" t="s">
        <v>749</v>
      </c>
      <c r="C656" t="s">
        <v>106</v>
      </c>
      <c r="D656" t="s">
        <v>8</v>
      </c>
      <c r="E656" t="s">
        <v>19</v>
      </c>
      <c r="F656" t="s">
        <v>10</v>
      </c>
      <c r="G656" t="s">
        <v>69</v>
      </c>
      <c r="H656">
        <v>2026</v>
      </c>
      <c r="I656">
        <v>1526</v>
      </c>
      <c r="J656">
        <v>9.1</v>
      </c>
      <c r="K656" t="s">
        <v>22</v>
      </c>
      <c r="L656">
        <v>6.6</v>
      </c>
      <c r="M656">
        <v>8.5</v>
      </c>
      <c r="N656">
        <v>4795</v>
      </c>
      <c r="O656" t="s">
        <v>55</v>
      </c>
      <c r="P656">
        <v>31.5</v>
      </c>
      <c r="Q656" t="s">
        <v>56</v>
      </c>
      <c r="R656">
        <v>68.599999999999994</v>
      </c>
      <c r="S656">
        <v>59.7</v>
      </c>
      <c r="T656">
        <v>29.4</v>
      </c>
      <c r="U656">
        <v>4.8</v>
      </c>
      <c r="V656">
        <v>6.2</v>
      </c>
      <c r="W656">
        <v>6.9</v>
      </c>
      <c r="X656" t="s">
        <v>116</v>
      </c>
    </row>
    <row r="657" spans="2:24" x14ac:dyDescent="0.3">
      <c r="B657" t="s">
        <v>750</v>
      </c>
      <c r="C657" t="s">
        <v>100</v>
      </c>
      <c r="D657" t="s">
        <v>3</v>
      </c>
      <c r="E657" t="s">
        <v>14</v>
      </c>
      <c r="F657" t="s">
        <v>10</v>
      </c>
      <c r="G657" t="s">
        <v>54</v>
      </c>
      <c r="H657">
        <v>2024</v>
      </c>
      <c r="I657">
        <v>559</v>
      </c>
      <c r="J657">
        <v>1</v>
      </c>
      <c r="K657" t="s">
        <v>21</v>
      </c>
      <c r="L657">
        <v>8.1999999999999993</v>
      </c>
      <c r="M657">
        <v>6.5</v>
      </c>
      <c r="N657">
        <v>3022</v>
      </c>
      <c r="O657" t="s">
        <v>118</v>
      </c>
      <c r="P657">
        <v>34.799999999999997</v>
      </c>
      <c r="Q657" t="s">
        <v>125</v>
      </c>
      <c r="R657">
        <v>68.8</v>
      </c>
      <c r="S657">
        <v>-8.6</v>
      </c>
      <c r="T657">
        <v>-6.5</v>
      </c>
      <c r="U657">
        <v>9.5</v>
      </c>
      <c r="V657">
        <v>7.2</v>
      </c>
      <c r="W657">
        <v>7</v>
      </c>
      <c r="X657" t="s">
        <v>57</v>
      </c>
    </row>
    <row r="658" spans="2:24" x14ac:dyDescent="0.3">
      <c r="B658" t="s">
        <v>751</v>
      </c>
      <c r="C658" t="s">
        <v>139</v>
      </c>
      <c r="D658" t="s">
        <v>8</v>
      </c>
      <c r="E658" t="s">
        <v>17</v>
      </c>
      <c r="F658" t="s">
        <v>12</v>
      </c>
      <c r="G658" t="s">
        <v>74</v>
      </c>
      <c r="H658">
        <v>2026</v>
      </c>
      <c r="I658">
        <v>2311</v>
      </c>
      <c r="J658">
        <v>6.7</v>
      </c>
      <c r="K658" t="s">
        <v>25</v>
      </c>
      <c r="L658">
        <v>6.8</v>
      </c>
      <c r="M658">
        <v>6.7</v>
      </c>
      <c r="N658">
        <v>4883</v>
      </c>
      <c r="O658" t="s">
        <v>55</v>
      </c>
      <c r="P658">
        <v>52.2</v>
      </c>
      <c r="Q658" t="s">
        <v>76</v>
      </c>
      <c r="R658">
        <v>0.5</v>
      </c>
      <c r="S658">
        <v>52.2</v>
      </c>
      <c r="T658">
        <v>20.6</v>
      </c>
      <c r="U658">
        <v>5.4</v>
      </c>
      <c r="V658">
        <v>8.1</v>
      </c>
      <c r="W658">
        <v>7.9</v>
      </c>
      <c r="X658" t="s">
        <v>116</v>
      </c>
    </row>
    <row r="659" spans="2:24" x14ac:dyDescent="0.3">
      <c r="B659" t="s">
        <v>752</v>
      </c>
      <c r="C659" t="s">
        <v>90</v>
      </c>
      <c r="D659" t="s">
        <v>2</v>
      </c>
      <c r="E659" t="s">
        <v>14</v>
      </c>
      <c r="F659" t="s">
        <v>10</v>
      </c>
      <c r="G659" t="s">
        <v>112</v>
      </c>
      <c r="H659">
        <v>2024</v>
      </c>
      <c r="I659">
        <v>5542</v>
      </c>
      <c r="J659">
        <v>9.6999999999999993</v>
      </c>
      <c r="K659" t="s">
        <v>22</v>
      </c>
      <c r="L659">
        <v>2.1</v>
      </c>
      <c r="M659">
        <v>5.5</v>
      </c>
      <c r="N659">
        <v>4765</v>
      </c>
      <c r="O659" t="s">
        <v>55</v>
      </c>
      <c r="P659">
        <v>29.1</v>
      </c>
      <c r="Q659" t="s">
        <v>76</v>
      </c>
      <c r="R659">
        <v>-38.9</v>
      </c>
      <c r="S659">
        <v>42.1</v>
      </c>
      <c r="T659">
        <v>15.7</v>
      </c>
      <c r="U659">
        <v>1.6</v>
      </c>
      <c r="V659">
        <v>8.8000000000000007</v>
      </c>
      <c r="W659">
        <v>6.6</v>
      </c>
      <c r="X659" t="s">
        <v>116</v>
      </c>
    </row>
    <row r="660" spans="2:24" x14ac:dyDescent="0.3">
      <c r="B660" t="s">
        <v>753</v>
      </c>
      <c r="C660" t="s">
        <v>53</v>
      </c>
      <c r="D660" t="s">
        <v>3</v>
      </c>
      <c r="E660" t="s">
        <v>17</v>
      </c>
      <c r="F660" t="s">
        <v>12</v>
      </c>
      <c r="G660" t="s">
        <v>60</v>
      </c>
      <c r="H660">
        <v>2024</v>
      </c>
      <c r="I660">
        <v>1586</v>
      </c>
      <c r="J660">
        <v>6.4</v>
      </c>
      <c r="K660" t="s">
        <v>22</v>
      </c>
      <c r="L660">
        <v>0.9</v>
      </c>
      <c r="M660">
        <v>3.5</v>
      </c>
      <c r="N660">
        <v>2982</v>
      </c>
      <c r="O660" t="s">
        <v>64</v>
      </c>
      <c r="P660">
        <v>49.4</v>
      </c>
      <c r="Q660" t="s">
        <v>84</v>
      </c>
      <c r="R660">
        <v>-33.4</v>
      </c>
      <c r="S660">
        <v>39.700000000000003</v>
      </c>
      <c r="T660">
        <v>14.8</v>
      </c>
      <c r="U660">
        <v>1</v>
      </c>
      <c r="V660">
        <v>8</v>
      </c>
      <c r="W660">
        <v>8.1999999999999993</v>
      </c>
      <c r="X660" t="s">
        <v>57</v>
      </c>
    </row>
    <row r="661" spans="2:24" x14ac:dyDescent="0.3">
      <c r="B661" t="s">
        <v>754</v>
      </c>
      <c r="C661" t="s">
        <v>142</v>
      </c>
      <c r="D661" t="s">
        <v>2</v>
      </c>
      <c r="E661" t="s">
        <v>16</v>
      </c>
      <c r="F661" t="s">
        <v>9</v>
      </c>
      <c r="G661" t="s">
        <v>74</v>
      </c>
      <c r="H661">
        <v>2025</v>
      </c>
      <c r="I661">
        <v>19202</v>
      </c>
      <c r="J661">
        <v>8.6999999999999993</v>
      </c>
      <c r="K661" t="s">
        <v>25</v>
      </c>
      <c r="L661">
        <v>0.9</v>
      </c>
      <c r="M661">
        <v>3.8</v>
      </c>
      <c r="N661">
        <v>7414</v>
      </c>
      <c r="O661" t="s">
        <v>55</v>
      </c>
      <c r="P661">
        <v>41.4</v>
      </c>
      <c r="Q661" t="s">
        <v>76</v>
      </c>
      <c r="R661">
        <v>53.8</v>
      </c>
      <c r="S661">
        <v>0.5</v>
      </c>
      <c r="T661">
        <v>7.6</v>
      </c>
      <c r="U661">
        <v>1.2</v>
      </c>
      <c r="V661">
        <v>7.8</v>
      </c>
      <c r="W661">
        <v>6</v>
      </c>
      <c r="X661" t="s">
        <v>66</v>
      </c>
    </row>
    <row r="662" spans="2:24" x14ac:dyDescent="0.3">
      <c r="B662" t="s">
        <v>755</v>
      </c>
      <c r="C662" t="s">
        <v>81</v>
      </c>
      <c r="D662" t="s">
        <v>5</v>
      </c>
      <c r="E662" t="s">
        <v>16</v>
      </c>
      <c r="F662" t="s">
        <v>12</v>
      </c>
      <c r="G662" t="s">
        <v>112</v>
      </c>
      <c r="H662">
        <v>2026</v>
      </c>
      <c r="I662">
        <v>17512</v>
      </c>
      <c r="J662">
        <v>30.9</v>
      </c>
      <c r="K662" t="s">
        <v>23</v>
      </c>
      <c r="L662">
        <v>2.5</v>
      </c>
      <c r="M662">
        <v>8.1</v>
      </c>
      <c r="N662">
        <v>1038</v>
      </c>
      <c r="O662" t="s">
        <v>75</v>
      </c>
      <c r="P662">
        <v>25.7</v>
      </c>
      <c r="Q662" t="s">
        <v>65</v>
      </c>
      <c r="R662">
        <v>45.6</v>
      </c>
      <c r="S662">
        <v>16.100000000000001</v>
      </c>
      <c r="T662">
        <v>-1.1000000000000001</v>
      </c>
      <c r="U662">
        <v>3.1</v>
      </c>
      <c r="V662">
        <v>5.7</v>
      </c>
      <c r="W662">
        <v>4.4000000000000004</v>
      </c>
      <c r="X662" t="s">
        <v>66</v>
      </c>
    </row>
    <row r="663" spans="2:24" x14ac:dyDescent="0.3">
      <c r="B663" t="s">
        <v>756</v>
      </c>
      <c r="C663" t="s">
        <v>73</v>
      </c>
      <c r="D663" t="s">
        <v>3</v>
      </c>
      <c r="E663" t="s">
        <v>15</v>
      </c>
      <c r="F663" t="s">
        <v>9</v>
      </c>
      <c r="G663" t="s">
        <v>98</v>
      </c>
      <c r="H663">
        <v>2026</v>
      </c>
      <c r="I663">
        <v>1753</v>
      </c>
      <c r="J663">
        <v>4.3</v>
      </c>
      <c r="K663" t="s">
        <v>25</v>
      </c>
      <c r="L663">
        <v>4.4000000000000004</v>
      </c>
      <c r="M663">
        <v>6.8</v>
      </c>
      <c r="N663">
        <v>704</v>
      </c>
      <c r="O663" t="s">
        <v>64</v>
      </c>
      <c r="P663">
        <v>11.3</v>
      </c>
      <c r="Q663" t="s">
        <v>76</v>
      </c>
      <c r="R663">
        <v>-37.6</v>
      </c>
      <c r="S663">
        <v>51.2</v>
      </c>
      <c r="T663">
        <v>24.6</v>
      </c>
      <c r="U663">
        <v>4</v>
      </c>
      <c r="V663">
        <v>9.4</v>
      </c>
      <c r="W663">
        <v>7.7</v>
      </c>
      <c r="X663" t="s">
        <v>57</v>
      </c>
    </row>
    <row r="664" spans="2:24" x14ac:dyDescent="0.3">
      <c r="B664" t="s">
        <v>757</v>
      </c>
      <c r="C664" t="s">
        <v>97</v>
      </c>
      <c r="D664" t="s">
        <v>3</v>
      </c>
      <c r="E664" t="s">
        <v>19</v>
      </c>
      <c r="F664" t="s">
        <v>11</v>
      </c>
      <c r="G664" t="s">
        <v>101</v>
      </c>
      <c r="H664">
        <v>2025</v>
      </c>
      <c r="I664">
        <v>2320</v>
      </c>
      <c r="J664">
        <v>1.9</v>
      </c>
      <c r="K664" t="s">
        <v>25</v>
      </c>
      <c r="L664">
        <v>14.1</v>
      </c>
      <c r="M664">
        <v>6.3</v>
      </c>
      <c r="N664">
        <v>2737</v>
      </c>
      <c r="O664" t="s">
        <v>55</v>
      </c>
      <c r="P664">
        <v>69.400000000000006</v>
      </c>
      <c r="Q664" t="s">
        <v>86</v>
      </c>
      <c r="R664">
        <v>23.5</v>
      </c>
      <c r="S664">
        <v>28.1</v>
      </c>
      <c r="T664">
        <v>22.1</v>
      </c>
      <c r="U664">
        <v>8.6999999999999993</v>
      </c>
      <c r="V664">
        <v>6.6</v>
      </c>
      <c r="W664">
        <v>7.3</v>
      </c>
      <c r="X664" t="s">
        <v>57</v>
      </c>
    </row>
    <row r="665" spans="2:24" x14ac:dyDescent="0.3">
      <c r="B665" t="s">
        <v>758</v>
      </c>
      <c r="C665" t="s">
        <v>27</v>
      </c>
      <c r="D665" t="s">
        <v>3</v>
      </c>
      <c r="E665" t="s">
        <v>18</v>
      </c>
      <c r="F665" t="s">
        <v>10</v>
      </c>
      <c r="G665" t="s">
        <v>63</v>
      </c>
      <c r="H665">
        <v>2024</v>
      </c>
      <c r="I665">
        <v>6704</v>
      </c>
      <c r="J665">
        <v>8.4</v>
      </c>
      <c r="K665" t="s">
        <v>21</v>
      </c>
      <c r="L665">
        <v>4.4000000000000004</v>
      </c>
      <c r="M665">
        <v>10</v>
      </c>
      <c r="N665">
        <v>3748</v>
      </c>
      <c r="O665" t="s">
        <v>55</v>
      </c>
      <c r="P665">
        <v>71.400000000000006</v>
      </c>
      <c r="Q665" t="s">
        <v>65</v>
      </c>
      <c r="R665">
        <v>-16.399999999999999</v>
      </c>
      <c r="S665">
        <v>14.7</v>
      </c>
      <c r="T665">
        <v>8.4</v>
      </c>
      <c r="U665">
        <v>6.3</v>
      </c>
      <c r="V665">
        <v>8.1999999999999993</v>
      </c>
      <c r="W665">
        <v>6.3</v>
      </c>
      <c r="X665" t="s">
        <v>116</v>
      </c>
    </row>
    <row r="666" spans="2:24" x14ac:dyDescent="0.3">
      <c r="B666" t="s">
        <v>759</v>
      </c>
      <c r="C666" t="s">
        <v>137</v>
      </c>
      <c r="D666" t="s">
        <v>3</v>
      </c>
      <c r="E666" t="s">
        <v>17</v>
      </c>
      <c r="F666" t="s">
        <v>11</v>
      </c>
      <c r="G666" t="s">
        <v>63</v>
      </c>
      <c r="H666">
        <v>2025</v>
      </c>
      <c r="I666">
        <v>1795</v>
      </c>
      <c r="J666">
        <v>0.4</v>
      </c>
      <c r="K666" t="s">
        <v>23</v>
      </c>
      <c r="L666">
        <v>6.5</v>
      </c>
      <c r="M666">
        <v>4</v>
      </c>
      <c r="N666">
        <v>2049</v>
      </c>
      <c r="O666" t="s">
        <v>64</v>
      </c>
      <c r="P666">
        <v>89.1</v>
      </c>
      <c r="Q666" t="s">
        <v>79</v>
      </c>
      <c r="R666">
        <v>39.200000000000003</v>
      </c>
      <c r="S666">
        <v>-0.9</v>
      </c>
      <c r="T666">
        <v>-0.3</v>
      </c>
      <c r="U666">
        <v>4.5999999999999996</v>
      </c>
      <c r="V666">
        <v>7.1</v>
      </c>
      <c r="W666">
        <v>7.4</v>
      </c>
      <c r="X666" t="s">
        <v>57</v>
      </c>
    </row>
    <row r="667" spans="2:24" x14ac:dyDescent="0.3">
      <c r="B667" t="s">
        <v>760</v>
      </c>
      <c r="C667" t="s">
        <v>27</v>
      </c>
      <c r="D667" t="s">
        <v>3</v>
      </c>
      <c r="E667" t="s">
        <v>18</v>
      </c>
      <c r="F667" t="s">
        <v>9</v>
      </c>
      <c r="G667" t="s">
        <v>101</v>
      </c>
      <c r="H667">
        <v>2025</v>
      </c>
      <c r="I667">
        <v>1348</v>
      </c>
      <c r="J667">
        <v>5.2</v>
      </c>
      <c r="K667" t="s">
        <v>24</v>
      </c>
      <c r="L667">
        <v>5.4</v>
      </c>
      <c r="M667">
        <v>9.3000000000000007</v>
      </c>
      <c r="N667">
        <v>5235</v>
      </c>
      <c r="O667" t="s">
        <v>55</v>
      </c>
      <c r="P667">
        <v>15.5</v>
      </c>
      <c r="Q667" t="s">
        <v>76</v>
      </c>
      <c r="R667">
        <v>-20.7</v>
      </c>
      <c r="S667">
        <v>-22.4</v>
      </c>
      <c r="T667">
        <v>-9.9</v>
      </c>
      <c r="U667">
        <v>7.9</v>
      </c>
      <c r="V667">
        <v>5</v>
      </c>
      <c r="W667">
        <v>5.5</v>
      </c>
      <c r="X667" t="s">
        <v>57</v>
      </c>
    </row>
    <row r="668" spans="2:24" x14ac:dyDescent="0.3">
      <c r="B668" t="s">
        <v>761</v>
      </c>
      <c r="C668" t="s">
        <v>106</v>
      </c>
      <c r="D668" t="s">
        <v>3</v>
      </c>
      <c r="E668" t="s">
        <v>18</v>
      </c>
      <c r="F668" t="s">
        <v>11</v>
      </c>
      <c r="G668" t="s">
        <v>131</v>
      </c>
      <c r="H668">
        <v>2025</v>
      </c>
      <c r="I668">
        <v>358</v>
      </c>
      <c r="J668">
        <v>2.6</v>
      </c>
      <c r="K668" t="s">
        <v>23</v>
      </c>
      <c r="L668">
        <v>16.100000000000001</v>
      </c>
      <c r="M668">
        <v>10</v>
      </c>
      <c r="N668">
        <v>463</v>
      </c>
      <c r="O668" t="s">
        <v>64</v>
      </c>
      <c r="P668">
        <v>68.5</v>
      </c>
      <c r="Q668" t="s">
        <v>56</v>
      </c>
      <c r="R668">
        <v>44.4</v>
      </c>
      <c r="S668">
        <v>-12.1</v>
      </c>
      <c r="T668">
        <v>9</v>
      </c>
      <c r="U668">
        <v>9.9</v>
      </c>
      <c r="V668">
        <v>5.0999999999999996</v>
      </c>
      <c r="W668">
        <v>5.5</v>
      </c>
      <c r="X668" t="s">
        <v>57</v>
      </c>
    </row>
    <row r="669" spans="2:24" x14ac:dyDescent="0.3">
      <c r="B669" t="s">
        <v>762</v>
      </c>
      <c r="C669" t="s">
        <v>53</v>
      </c>
      <c r="D669" t="s">
        <v>4</v>
      </c>
      <c r="E669" t="s">
        <v>14</v>
      </c>
      <c r="F669" t="s">
        <v>11</v>
      </c>
      <c r="G669" t="s">
        <v>74</v>
      </c>
      <c r="H669">
        <v>2025</v>
      </c>
      <c r="I669">
        <v>6919</v>
      </c>
      <c r="J669">
        <v>2</v>
      </c>
      <c r="K669" t="s">
        <v>22</v>
      </c>
      <c r="L669">
        <v>4.5999999999999996</v>
      </c>
      <c r="M669">
        <v>2.8</v>
      </c>
      <c r="N669">
        <v>4158</v>
      </c>
      <c r="O669" t="s">
        <v>55</v>
      </c>
      <c r="P669">
        <v>12.5</v>
      </c>
      <c r="Q669" t="s">
        <v>88</v>
      </c>
      <c r="R669">
        <v>1.7</v>
      </c>
      <c r="S669">
        <v>32.1</v>
      </c>
      <c r="T669">
        <v>11.8</v>
      </c>
      <c r="U669">
        <v>6.3</v>
      </c>
      <c r="V669">
        <v>6</v>
      </c>
      <c r="W669">
        <v>7.6</v>
      </c>
      <c r="X669" t="s">
        <v>116</v>
      </c>
    </row>
    <row r="670" spans="2:24" x14ac:dyDescent="0.3">
      <c r="B670" t="s">
        <v>763</v>
      </c>
      <c r="C670" t="s">
        <v>81</v>
      </c>
      <c r="D670" t="s">
        <v>5</v>
      </c>
      <c r="E670" t="s">
        <v>16</v>
      </c>
      <c r="F670" t="s">
        <v>11</v>
      </c>
      <c r="G670" t="s">
        <v>54</v>
      </c>
      <c r="H670">
        <v>2024</v>
      </c>
      <c r="I670">
        <v>4743</v>
      </c>
      <c r="J670">
        <v>5.4</v>
      </c>
      <c r="K670" t="s">
        <v>24</v>
      </c>
      <c r="L670">
        <v>4</v>
      </c>
      <c r="M670">
        <v>5.6</v>
      </c>
      <c r="N670">
        <v>5985</v>
      </c>
      <c r="O670" t="s">
        <v>55</v>
      </c>
      <c r="P670">
        <v>46.8</v>
      </c>
      <c r="Q670" t="s">
        <v>76</v>
      </c>
      <c r="R670">
        <v>7.3</v>
      </c>
      <c r="S670">
        <v>-16.399999999999999</v>
      </c>
      <c r="T670">
        <v>-9</v>
      </c>
      <c r="U670">
        <v>2.6</v>
      </c>
      <c r="V670">
        <v>4.7</v>
      </c>
      <c r="W670">
        <v>5.6</v>
      </c>
      <c r="X670" t="s">
        <v>116</v>
      </c>
    </row>
    <row r="671" spans="2:24" x14ac:dyDescent="0.3">
      <c r="B671" t="s">
        <v>764</v>
      </c>
      <c r="C671" t="s">
        <v>90</v>
      </c>
      <c r="D671" t="s">
        <v>2</v>
      </c>
      <c r="E671" t="s">
        <v>19</v>
      </c>
      <c r="F671" t="s">
        <v>12</v>
      </c>
      <c r="G671" t="s">
        <v>131</v>
      </c>
      <c r="H671">
        <v>2024</v>
      </c>
      <c r="I671">
        <v>7113</v>
      </c>
      <c r="J671">
        <v>22.1</v>
      </c>
      <c r="K671" t="s">
        <v>24</v>
      </c>
      <c r="L671">
        <v>2.8</v>
      </c>
      <c r="M671">
        <v>9.9</v>
      </c>
      <c r="N671">
        <v>7405</v>
      </c>
      <c r="O671" t="s">
        <v>55</v>
      </c>
      <c r="P671">
        <v>63.8</v>
      </c>
      <c r="Q671" t="s">
        <v>76</v>
      </c>
      <c r="R671">
        <v>5.2</v>
      </c>
      <c r="S671">
        <v>1</v>
      </c>
      <c r="T671">
        <v>-10.9</v>
      </c>
      <c r="U671">
        <v>3.7</v>
      </c>
      <c r="V671">
        <v>4.3</v>
      </c>
      <c r="W671">
        <v>3.8</v>
      </c>
      <c r="X671" t="s">
        <v>66</v>
      </c>
    </row>
    <row r="672" spans="2:24" x14ac:dyDescent="0.3">
      <c r="B672" t="s">
        <v>765</v>
      </c>
      <c r="C672" t="s">
        <v>71</v>
      </c>
      <c r="D672" t="s">
        <v>6</v>
      </c>
      <c r="E672" t="s">
        <v>18</v>
      </c>
      <c r="F672" t="s">
        <v>10</v>
      </c>
      <c r="G672" t="s">
        <v>112</v>
      </c>
      <c r="H672">
        <v>2026</v>
      </c>
      <c r="I672">
        <v>1792</v>
      </c>
      <c r="J672">
        <v>1.6</v>
      </c>
      <c r="K672" t="s">
        <v>22</v>
      </c>
      <c r="L672">
        <v>6.2</v>
      </c>
      <c r="M672">
        <v>4</v>
      </c>
      <c r="N672">
        <v>767</v>
      </c>
      <c r="O672" t="s">
        <v>55</v>
      </c>
      <c r="P672">
        <v>81.400000000000006</v>
      </c>
      <c r="Q672" t="s">
        <v>88</v>
      </c>
      <c r="R672">
        <v>40.6</v>
      </c>
      <c r="S672">
        <v>-19</v>
      </c>
      <c r="T672">
        <v>-11.6</v>
      </c>
      <c r="U672">
        <v>5.9</v>
      </c>
      <c r="V672">
        <v>6</v>
      </c>
      <c r="W672">
        <v>7.4</v>
      </c>
      <c r="X672" t="s">
        <v>116</v>
      </c>
    </row>
    <row r="673" spans="2:24" x14ac:dyDescent="0.3">
      <c r="B673" t="s">
        <v>766</v>
      </c>
      <c r="C673" t="s">
        <v>106</v>
      </c>
      <c r="D673" t="s">
        <v>7</v>
      </c>
      <c r="E673" t="s">
        <v>18</v>
      </c>
      <c r="F673" t="s">
        <v>9</v>
      </c>
      <c r="G673" t="s">
        <v>60</v>
      </c>
      <c r="H673">
        <v>2026</v>
      </c>
      <c r="I673">
        <v>18072</v>
      </c>
      <c r="J673">
        <v>22.3</v>
      </c>
      <c r="K673" t="s">
        <v>25</v>
      </c>
      <c r="L673">
        <v>9.4</v>
      </c>
      <c r="M673">
        <v>10</v>
      </c>
      <c r="N673">
        <v>1955</v>
      </c>
      <c r="O673" t="s">
        <v>64</v>
      </c>
      <c r="P673">
        <v>75</v>
      </c>
      <c r="Q673" t="s">
        <v>125</v>
      </c>
      <c r="R673">
        <v>-31.3</v>
      </c>
      <c r="S673">
        <v>46.9</v>
      </c>
      <c r="T673">
        <v>17.2</v>
      </c>
      <c r="U673">
        <v>8.4</v>
      </c>
      <c r="V673">
        <v>7</v>
      </c>
      <c r="W673">
        <v>6.1</v>
      </c>
      <c r="X673" t="s">
        <v>66</v>
      </c>
    </row>
    <row r="674" spans="2:24" x14ac:dyDescent="0.3">
      <c r="B674" t="s">
        <v>767</v>
      </c>
      <c r="C674" t="s">
        <v>73</v>
      </c>
      <c r="D674" t="s">
        <v>3</v>
      </c>
      <c r="E674" t="s">
        <v>19</v>
      </c>
      <c r="F674" t="s">
        <v>10</v>
      </c>
      <c r="G674" t="s">
        <v>54</v>
      </c>
      <c r="H674">
        <v>2026</v>
      </c>
      <c r="I674">
        <v>14096</v>
      </c>
      <c r="J674">
        <v>31.9</v>
      </c>
      <c r="K674" t="s">
        <v>25</v>
      </c>
      <c r="L674">
        <v>7.6</v>
      </c>
      <c r="M674">
        <v>10</v>
      </c>
      <c r="N674">
        <v>1932</v>
      </c>
      <c r="O674" t="s">
        <v>64</v>
      </c>
      <c r="P674">
        <v>86.6</v>
      </c>
      <c r="Q674" t="s">
        <v>56</v>
      </c>
      <c r="R674">
        <v>47</v>
      </c>
      <c r="S674">
        <v>29.7</v>
      </c>
      <c r="T674">
        <v>-1.8</v>
      </c>
      <c r="U674">
        <v>8.4</v>
      </c>
      <c r="V674">
        <v>6.3</v>
      </c>
      <c r="W674">
        <v>3.1</v>
      </c>
      <c r="X674" t="s">
        <v>66</v>
      </c>
    </row>
    <row r="675" spans="2:24" x14ac:dyDescent="0.3">
      <c r="B675" t="s">
        <v>768</v>
      </c>
      <c r="C675" t="s">
        <v>53</v>
      </c>
      <c r="D675" t="s">
        <v>2</v>
      </c>
      <c r="E675" t="s">
        <v>18</v>
      </c>
      <c r="F675" t="s">
        <v>9</v>
      </c>
      <c r="G675" t="s">
        <v>54</v>
      </c>
      <c r="H675">
        <v>2026</v>
      </c>
      <c r="I675">
        <v>825</v>
      </c>
      <c r="J675">
        <v>9.4</v>
      </c>
      <c r="K675" t="s">
        <v>25</v>
      </c>
      <c r="L675">
        <v>5.5</v>
      </c>
      <c r="M675">
        <v>6.5</v>
      </c>
      <c r="N675">
        <v>9783</v>
      </c>
      <c r="O675" t="s">
        <v>118</v>
      </c>
      <c r="P675">
        <v>31.3</v>
      </c>
      <c r="Q675" t="s">
        <v>56</v>
      </c>
      <c r="R675">
        <v>5.9</v>
      </c>
      <c r="S675">
        <v>47.5</v>
      </c>
      <c r="T675">
        <v>17.899999999999999</v>
      </c>
      <c r="U675">
        <v>4.5</v>
      </c>
      <c r="V675">
        <v>6.7</v>
      </c>
      <c r="W675">
        <v>6.7</v>
      </c>
      <c r="X675" t="s">
        <v>57</v>
      </c>
    </row>
    <row r="676" spans="2:24" x14ac:dyDescent="0.3">
      <c r="B676" t="s">
        <v>769</v>
      </c>
      <c r="C676" t="s">
        <v>137</v>
      </c>
      <c r="D676" t="s">
        <v>3</v>
      </c>
      <c r="E676" t="s">
        <v>14</v>
      </c>
      <c r="F676" t="s">
        <v>10</v>
      </c>
      <c r="G676" t="s">
        <v>101</v>
      </c>
      <c r="H676">
        <v>2025</v>
      </c>
      <c r="I676">
        <v>6674</v>
      </c>
      <c r="J676">
        <v>31.8</v>
      </c>
      <c r="K676" t="s">
        <v>23</v>
      </c>
      <c r="L676">
        <v>11.4</v>
      </c>
      <c r="M676">
        <v>10</v>
      </c>
      <c r="N676">
        <v>820</v>
      </c>
      <c r="O676" t="s">
        <v>75</v>
      </c>
      <c r="P676">
        <v>41.2</v>
      </c>
      <c r="Q676" t="s">
        <v>56</v>
      </c>
      <c r="R676">
        <v>13.7</v>
      </c>
      <c r="S676">
        <v>-1.1000000000000001</v>
      </c>
      <c r="T676">
        <v>-14</v>
      </c>
      <c r="U676">
        <v>9.1999999999999993</v>
      </c>
      <c r="V676">
        <v>3.6</v>
      </c>
      <c r="W676">
        <v>2.4</v>
      </c>
      <c r="X676" t="s">
        <v>66</v>
      </c>
    </row>
    <row r="677" spans="2:24" x14ac:dyDescent="0.3">
      <c r="B677" t="s">
        <v>770</v>
      </c>
      <c r="C677" t="s">
        <v>90</v>
      </c>
      <c r="D677" t="s">
        <v>6</v>
      </c>
      <c r="E677" t="s">
        <v>17</v>
      </c>
      <c r="F677" t="s">
        <v>10</v>
      </c>
      <c r="G677" t="s">
        <v>98</v>
      </c>
      <c r="H677">
        <v>2026</v>
      </c>
      <c r="I677">
        <v>1317</v>
      </c>
      <c r="J677">
        <v>21.8</v>
      </c>
      <c r="K677" t="s">
        <v>22</v>
      </c>
      <c r="L677">
        <v>2.9</v>
      </c>
      <c r="M677">
        <v>7.4</v>
      </c>
      <c r="N677">
        <v>1632</v>
      </c>
      <c r="O677" t="s">
        <v>75</v>
      </c>
      <c r="P677">
        <v>89.3</v>
      </c>
      <c r="Q677" t="s">
        <v>88</v>
      </c>
      <c r="R677">
        <v>83</v>
      </c>
      <c r="S677">
        <v>39.700000000000003</v>
      </c>
      <c r="T677">
        <v>4.8</v>
      </c>
      <c r="U677">
        <v>4.2</v>
      </c>
      <c r="V677">
        <v>4.5999999999999996</v>
      </c>
      <c r="W677">
        <v>5</v>
      </c>
      <c r="X677" t="s">
        <v>66</v>
      </c>
    </row>
    <row r="678" spans="2:24" x14ac:dyDescent="0.3">
      <c r="B678" t="s">
        <v>771</v>
      </c>
      <c r="C678" t="s">
        <v>142</v>
      </c>
      <c r="D678" t="s">
        <v>2</v>
      </c>
      <c r="E678" t="s">
        <v>18</v>
      </c>
      <c r="F678" t="s">
        <v>11</v>
      </c>
      <c r="G678" t="s">
        <v>60</v>
      </c>
      <c r="H678">
        <v>2026</v>
      </c>
      <c r="I678">
        <v>17432</v>
      </c>
      <c r="J678">
        <v>37</v>
      </c>
      <c r="K678" t="s">
        <v>21</v>
      </c>
      <c r="L678">
        <v>11.3</v>
      </c>
      <c r="M678">
        <v>10</v>
      </c>
      <c r="N678">
        <v>8457</v>
      </c>
      <c r="O678" t="s">
        <v>55</v>
      </c>
      <c r="P678">
        <v>88.1</v>
      </c>
      <c r="Q678" t="s">
        <v>56</v>
      </c>
      <c r="R678">
        <v>19.600000000000001</v>
      </c>
      <c r="S678">
        <v>38.9</v>
      </c>
      <c r="T678">
        <v>7.5</v>
      </c>
      <c r="U678">
        <v>7.3</v>
      </c>
      <c r="V678">
        <v>3.3</v>
      </c>
      <c r="W678">
        <v>3.6</v>
      </c>
      <c r="X678" t="s">
        <v>66</v>
      </c>
    </row>
    <row r="679" spans="2:24" x14ac:dyDescent="0.3">
      <c r="B679" t="s">
        <v>772</v>
      </c>
      <c r="C679" t="s">
        <v>27</v>
      </c>
      <c r="D679" t="s">
        <v>3</v>
      </c>
      <c r="E679" t="s">
        <v>14</v>
      </c>
      <c r="F679" t="s">
        <v>10</v>
      </c>
      <c r="G679" t="s">
        <v>60</v>
      </c>
      <c r="H679">
        <v>2025</v>
      </c>
      <c r="I679">
        <v>5682</v>
      </c>
      <c r="J679">
        <v>36.700000000000003</v>
      </c>
      <c r="K679" t="s">
        <v>23</v>
      </c>
      <c r="L679">
        <v>6.1</v>
      </c>
      <c r="M679">
        <v>10</v>
      </c>
      <c r="N679">
        <v>107</v>
      </c>
      <c r="O679" t="s">
        <v>75</v>
      </c>
      <c r="P679">
        <v>18.3</v>
      </c>
      <c r="Q679" t="s">
        <v>79</v>
      </c>
      <c r="R679">
        <v>-1.7</v>
      </c>
      <c r="S679">
        <v>0.7</v>
      </c>
      <c r="T679">
        <v>-13.3</v>
      </c>
      <c r="U679">
        <v>8</v>
      </c>
      <c r="V679">
        <v>5.6</v>
      </c>
      <c r="W679">
        <v>2.2000000000000002</v>
      </c>
      <c r="X679" t="s">
        <v>66</v>
      </c>
    </row>
    <row r="680" spans="2:24" x14ac:dyDescent="0.3">
      <c r="B680" t="s">
        <v>773</v>
      </c>
      <c r="C680" t="s">
        <v>137</v>
      </c>
      <c r="D680" t="s">
        <v>4</v>
      </c>
      <c r="E680" t="s">
        <v>14</v>
      </c>
      <c r="F680" t="s">
        <v>10</v>
      </c>
      <c r="G680" t="s">
        <v>98</v>
      </c>
      <c r="H680">
        <v>2024</v>
      </c>
      <c r="I680">
        <v>18018</v>
      </c>
      <c r="J680">
        <v>24.4</v>
      </c>
      <c r="K680" t="s">
        <v>22</v>
      </c>
      <c r="L680">
        <v>8.3000000000000007</v>
      </c>
      <c r="M680">
        <v>9.1999999999999993</v>
      </c>
      <c r="N680">
        <v>575</v>
      </c>
      <c r="O680" t="s">
        <v>64</v>
      </c>
      <c r="P680">
        <v>15.8</v>
      </c>
      <c r="Q680" t="s">
        <v>76</v>
      </c>
      <c r="R680">
        <v>19.2</v>
      </c>
      <c r="S680">
        <v>1.9</v>
      </c>
      <c r="T680">
        <v>-2</v>
      </c>
      <c r="U680">
        <v>9.4</v>
      </c>
      <c r="V680">
        <v>5.2</v>
      </c>
      <c r="W680">
        <v>4.5</v>
      </c>
      <c r="X680" t="s">
        <v>66</v>
      </c>
    </row>
    <row r="681" spans="2:24" x14ac:dyDescent="0.3">
      <c r="B681" t="s">
        <v>774</v>
      </c>
      <c r="C681" t="s">
        <v>106</v>
      </c>
      <c r="D681" t="s">
        <v>8</v>
      </c>
      <c r="E681" t="s">
        <v>17</v>
      </c>
      <c r="F681" t="s">
        <v>11</v>
      </c>
      <c r="G681" t="s">
        <v>101</v>
      </c>
      <c r="H681">
        <v>2024</v>
      </c>
      <c r="I681">
        <v>13647</v>
      </c>
      <c r="J681">
        <v>17.399999999999999</v>
      </c>
      <c r="K681" t="s">
        <v>25</v>
      </c>
      <c r="L681">
        <v>10.5</v>
      </c>
      <c r="M681">
        <v>9.6999999999999993</v>
      </c>
      <c r="N681">
        <v>1948</v>
      </c>
      <c r="O681" t="s">
        <v>64</v>
      </c>
      <c r="P681">
        <v>30.5</v>
      </c>
      <c r="Q681" t="s">
        <v>88</v>
      </c>
      <c r="R681">
        <v>12.2</v>
      </c>
      <c r="S681">
        <v>33.4</v>
      </c>
      <c r="T681">
        <v>14.7</v>
      </c>
      <c r="U681">
        <v>8.3000000000000007</v>
      </c>
      <c r="V681">
        <v>6.4</v>
      </c>
      <c r="W681">
        <v>4.9000000000000004</v>
      </c>
      <c r="X681" t="s">
        <v>66</v>
      </c>
    </row>
    <row r="682" spans="2:24" x14ac:dyDescent="0.3">
      <c r="B682" t="s">
        <v>775</v>
      </c>
      <c r="C682" t="s">
        <v>53</v>
      </c>
      <c r="D682" t="s">
        <v>3</v>
      </c>
      <c r="E682" t="s">
        <v>15</v>
      </c>
      <c r="F682" t="s">
        <v>10</v>
      </c>
      <c r="G682" t="s">
        <v>60</v>
      </c>
      <c r="H682">
        <v>2024</v>
      </c>
      <c r="I682">
        <v>767</v>
      </c>
      <c r="J682">
        <v>9.8000000000000007</v>
      </c>
      <c r="K682" t="s">
        <v>24</v>
      </c>
      <c r="L682">
        <v>4.7</v>
      </c>
      <c r="M682">
        <v>5.0999999999999996</v>
      </c>
      <c r="N682">
        <v>3693</v>
      </c>
      <c r="O682" t="s">
        <v>55</v>
      </c>
      <c r="P682">
        <v>58.9</v>
      </c>
      <c r="Q682" t="s">
        <v>88</v>
      </c>
      <c r="R682">
        <v>30.2</v>
      </c>
      <c r="S682">
        <v>37.299999999999997</v>
      </c>
      <c r="T682">
        <v>12.7</v>
      </c>
      <c r="U682">
        <v>3.4</v>
      </c>
      <c r="V682">
        <v>7.4</v>
      </c>
      <c r="W682">
        <v>7.5</v>
      </c>
      <c r="X682" t="s">
        <v>57</v>
      </c>
    </row>
    <row r="683" spans="2:24" x14ac:dyDescent="0.3">
      <c r="B683" t="s">
        <v>776</v>
      </c>
      <c r="C683" t="s">
        <v>62</v>
      </c>
      <c r="D683" t="s">
        <v>2</v>
      </c>
      <c r="E683" t="s">
        <v>17</v>
      </c>
      <c r="F683" t="s">
        <v>10</v>
      </c>
      <c r="G683" t="s">
        <v>104</v>
      </c>
      <c r="H683">
        <v>2024</v>
      </c>
      <c r="I683">
        <v>2174</v>
      </c>
      <c r="J683">
        <v>6.4</v>
      </c>
      <c r="K683" t="s">
        <v>23</v>
      </c>
      <c r="L683">
        <v>6.3</v>
      </c>
      <c r="M683">
        <v>6.3</v>
      </c>
      <c r="N683">
        <v>3337</v>
      </c>
      <c r="O683" t="s">
        <v>55</v>
      </c>
      <c r="P683">
        <v>74.2</v>
      </c>
      <c r="Q683" t="s">
        <v>56</v>
      </c>
      <c r="R683">
        <v>-10.199999999999999</v>
      </c>
      <c r="S683">
        <v>-12.2</v>
      </c>
      <c r="T683">
        <v>-3.7</v>
      </c>
      <c r="U683">
        <v>4</v>
      </c>
      <c r="V683">
        <v>7.9</v>
      </c>
      <c r="W683">
        <v>6.5</v>
      </c>
      <c r="X683" t="s">
        <v>57</v>
      </c>
    </row>
    <row r="684" spans="2:24" x14ac:dyDescent="0.3">
      <c r="B684" t="s">
        <v>777</v>
      </c>
      <c r="C684" t="s">
        <v>139</v>
      </c>
      <c r="D684" t="s">
        <v>8</v>
      </c>
      <c r="E684" t="s">
        <v>17</v>
      </c>
      <c r="F684" t="s">
        <v>12</v>
      </c>
      <c r="G684" t="s">
        <v>78</v>
      </c>
      <c r="H684">
        <v>2025</v>
      </c>
      <c r="I684">
        <v>16648</v>
      </c>
      <c r="J684">
        <v>22.8</v>
      </c>
      <c r="K684" t="s">
        <v>23</v>
      </c>
      <c r="L684">
        <v>2.5</v>
      </c>
      <c r="M684">
        <v>4</v>
      </c>
      <c r="N684">
        <v>52</v>
      </c>
      <c r="O684" t="s">
        <v>75</v>
      </c>
      <c r="P684">
        <v>40.200000000000003</v>
      </c>
      <c r="Q684" t="s">
        <v>56</v>
      </c>
      <c r="R684">
        <v>39.200000000000003</v>
      </c>
      <c r="S684">
        <v>40.1</v>
      </c>
      <c r="T684">
        <v>6.3</v>
      </c>
      <c r="U684">
        <v>2.4</v>
      </c>
      <c r="V684">
        <v>7.1</v>
      </c>
      <c r="W684">
        <v>5.3</v>
      </c>
      <c r="X684" t="s">
        <v>66</v>
      </c>
    </row>
    <row r="685" spans="2:24" x14ac:dyDescent="0.3">
      <c r="B685" t="s">
        <v>778</v>
      </c>
      <c r="C685" t="s">
        <v>122</v>
      </c>
      <c r="D685" t="s">
        <v>2</v>
      </c>
      <c r="E685" t="s">
        <v>14</v>
      </c>
      <c r="F685" t="s">
        <v>12</v>
      </c>
      <c r="G685" t="s">
        <v>112</v>
      </c>
      <c r="H685">
        <v>2026</v>
      </c>
      <c r="I685">
        <v>8765</v>
      </c>
      <c r="J685">
        <v>30.7</v>
      </c>
      <c r="K685" t="s">
        <v>23</v>
      </c>
      <c r="L685">
        <v>6.2</v>
      </c>
      <c r="M685">
        <v>10</v>
      </c>
      <c r="N685">
        <v>6412</v>
      </c>
      <c r="O685" t="s">
        <v>64</v>
      </c>
      <c r="P685">
        <v>57.3</v>
      </c>
      <c r="Q685" t="s">
        <v>76</v>
      </c>
      <c r="R685">
        <v>-20.9</v>
      </c>
      <c r="S685">
        <v>-21.9</v>
      </c>
      <c r="T685">
        <v>-16</v>
      </c>
      <c r="U685">
        <v>7</v>
      </c>
      <c r="V685">
        <v>5.8</v>
      </c>
      <c r="W685">
        <v>3</v>
      </c>
      <c r="X685" t="s">
        <v>66</v>
      </c>
    </row>
    <row r="686" spans="2:24" x14ac:dyDescent="0.3">
      <c r="B686" t="s">
        <v>779</v>
      </c>
      <c r="C686" t="s">
        <v>106</v>
      </c>
      <c r="D686" t="s">
        <v>7</v>
      </c>
      <c r="E686" t="s">
        <v>14</v>
      </c>
      <c r="F686" t="s">
        <v>11</v>
      </c>
      <c r="G686" t="s">
        <v>101</v>
      </c>
      <c r="H686">
        <v>2025</v>
      </c>
      <c r="I686">
        <v>14806</v>
      </c>
      <c r="J686">
        <v>31.2</v>
      </c>
      <c r="K686" t="s">
        <v>24</v>
      </c>
      <c r="L686">
        <v>13.1</v>
      </c>
      <c r="M686">
        <v>10</v>
      </c>
      <c r="N686">
        <v>486</v>
      </c>
      <c r="O686" t="s">
        <v>75</v>
      </c>
      <c r="P686">
        <v>83.1</v>
      </c>
      <c r="Q686" t="s">
        <v>65</v>
      </c>
      <c r="R686">
        <v>53.1</v>
      </c>
      <c r="S686">
        <v>47.1</v>
      </c>
      <c r="T686">
        <v>12.1</v>
      </c>
      <c r="U686">
        <v>7.7</v>
      </c>
      <c r="V686">
        <v>4.0999999999999996</v>
      </c>
      <c r="W686">
        <v>5.2</v>
      </c>
      <c r="X686" t="s">
        <v>66</v>
      </c>
    </row>
    <row r="687" spans="2:24" x14ac:dyDescent="0.3">
      <c r="B687" t="s">
        <v>780</v>
      </c>
      <c r="C687" t="s">
        <v>53</v>
      </c>
      <c r="D687" t="s">
        <v>7</v>
      </c>
      <c r="E687" t="s">
        <v>19</v>
      </c>
      <c r="F687" t="s">
        <v>11</v>
      </c>
      <c r="G687" t="s">
        <v>115</v>
      </c>
      <c r="H687">
        <v>2024</v>
      </c>
      <c r="I687">
        <v>5699</v>
      </c>
      <c r="J687">
        <v>8.1999999999999993</v>
      </c>
      <c r="K687" t="s">
        <v>23</v>
      </c>
      <c r="L687">
        <v>1.4</v>
      </c>
      <c r="M687">
        <v>4.9000000000000004</v>
      </c>
      <c r="N687">
        <v>385</v>
      </c>
      <c r="O687" t="s">
        <v>64</v>
      </c>
      <c r="P687">
        <v>83.3</v>
      </c>
      <c r="Q687" t="s">
        <v>56</v>
      </c>
      <c r="R687">
        <v>44.1</v>
      </c>
      <c r="S687">
        <v>20.399999999999999</v>
      </c>
      <c r="T687">
        <v>4.4000000000000004</v>
      </c>
      <c r="U687">
        <v>1.7</v>
      </c>
      <c r="V687">
        <v>6.4</v>
      </c>
      <c r="W687">
        <v>7.6</v>
      </c>
      <c r="X687" t="s">
        <v>116</v>
      </c>
    </row>
    <row r="688" spans="2:24" x14ac:dyDescent="0.3">
      <c r="B688" t="s">
        <v>781</v>
      </c>
      <c r="C688" t="s">
        <v>83</v>
      </c>
      <c r="D688" t="s">
        <v>4</v>
      </c>
      <c r="E688" t="s">
        <v>19</v>
      </c>
      <c r="F688" t="s">
        <v>11</v>
      </c>
      <c r="G688" t="s">
        <v>98</v>
      </c>
      <c r="H688">
        <v>2024</v>
      </c>
      <c r="I688">
        <v>142</v>
      </c>
      <c r="J688">
        <v>1.5</v>
      </c>
      <c r="K688" t="s">
        <v>25</v>
      </c>
      <c r="L688">
        <v>11.7</v>
      </c>
      <c r="M688">
        <v>7.9</v>
      </c>
      <c r="N688">
        <v>583</v>
      </c>
      <c r="O688" t="s">
        <v>55</v>
      </c>
      <c r="P688">
        <v>33.5</v>
      </c>
      <c r="Q688" t="s">
        <v>79</v>
      </c>
      <c r="R688">
        <v>1.5</v>
      </c>
      <c r="S688">
        <v>24.9</v>
      </c>
      <c r="T688">
        <v>23.2</v>
      </c>
      <c r="U688">
        <v>7.6</v>
      </c>
      <c r="V688">
        <v>6.8</v>
      </c>
      <c r="W688">
        <v>7.9</v>
      </c>
      <c r="X688" t="s">
        <v>57</v>
      </c>
    </row>
    <row r="689" spans="2:24" x14ac:dyDescent="0.3">
      <c r="B689" t="s">
        <v>782</v>
      </c>
      <c r="C689" t="s">
        <v>142</v>
      </c>
      <c r="D689" t="s">
        <v>2</v>
      </c>
      <c r="E689" t="s">
        <v>16</v>
      </c>
      <c r="F689" t="s">
        <v>12</v>
      </c>
      <c r="G689" t="s">
        <v>78</v>
      </c>
      <c r="H689">
        <v>2025</v>
      </c>
      <c r="I689">
        <v>10270</v>
      </c>
      <c r="J689">
        <v>17.100000000000001</v>
      </c>
      <c r="K689" t="s">
        <v>23</v>
      </c>
      <c r="L689">
        <v>11.1</v>
      </c>
      <c r="M689">
        <v>7.5</v>
      </c>
      <c r="N689">
        <v>3553</v>
      </c>
      <c r="O689" t="s">
        <v>64</v>
      </c>
      <c r="P689">
        <v>89.5</v>
      </c>
      <c r="Q689" t="s">
        <v>76</v>
      </c>
      <c r="R689">
        <v>82</v>
      </c>
      <c r="S689">
        <v>8.1999999999999993</v>
      </c>
      <c r="T689">
        <v>-4.3</v>
      </c>
      <c r="U689">
        <v>6.9</v>
      </c>
      <c r="V689">
        <v>4.4000000000000004</v>
      </c>
      <c r="W689">
        <v>5.7</v>
      </c>
      <c r="X689" t="s">
        <v>66</v>
      </c>
    </row>
    <row r="690" spans="2:24" x14ac:dyDescent="0.3">
      <c r="B690" t="s">
        <v>783</v>
      </c>
      <c r="C690" t="s">
        <v>53</v>
      </c>
      <c r="D690" t="s">
        <v>4</v>
      </c>
      <c r="E690" t="s">
        <v>14</v>
      </c>
      <c r="F690" t="s">
        <v>10</v>
      </c>
      <c r="G690" t="s">
        <v>101</v>
      </c>
      <c r="H690">
        <v>2025</v>
      </c>
      <c r="I690">
        <v>5182</v>
      </c>
      <c r="J690">
        <v>25.4</v>
      </c>
      <c r="K690" t="s">
        <v>23</v>
      </c>
      <c r="L690">
        <v>1.2</v>
      </c>
      <c r="M690">
        <v>4.3</v>
      </c>
      <c r="N690">
        <v>428</v>
      </c>
      <c r="O690" t="s">
        <v>75</v>
      </c>
      <c r="P690">
        <v>15.8</v>
      </c>
      <c r="Q690" t="s">
        <v>79</v>
      </c>
      <c r="R690">
        <v>12.3</v>
      </c>
      <c r="S690">
        <v>19.100000000000001</v>
      </c>
      <c r="T690">
        <v>-5.8</v>
      </c>
      <c r="U690">
        <v>1.3</v>
      </c>
      <c r="V690">
        <v>3.8</v>
      </c>
      <c r="W690">
        <v>4.9000000000000004</v>
      </c>
      <c r="X690" t="s">
        <v>66</v>
      </c>
    </row>
    <row r="691" spans="2:24" x14ac:dyDescent="0.3">
      <c r="B691" t="s">
        <v>784</v>
      </c>
      <c r="C691" t="s">
        <v>27</v>
      </c>
      <c r="D691" t="s">
        <v>2</v>
      </c>
      <c r="E691" t="s">
        <v>14</v>
      </c>
      <c r="F691" t="s">
        <v>10</v>
      </c>
      <c r="G691" t="s">
        <v>115</v>
      </c>
      <c r="H691">
        <v>2026</v>
      </c>
      <c r="I691">
        <v>18143</v>
      </c>
      <c r="J691">
        <v>8.3000000000000007</v>
      </c>
      <c r="K691" t="s">
        <v>25</v>
      </c>
      <c r="L691">
        <v>3.9</v>
      </c>
      <c r="M691">
        <v>4.5</v>
      </c>
      <c r="N691">
        <v>9772</v>
      </c>
      <c r="O691" t="s">
        <v>118</v>
      </c>
      <c r="P691">
        <v>22.7</v>
      </c>
      <c r="Q691" t="s">
        <v>56</v>
      </c>
      <c r="R691">
        <v>57.5</v>
      </c>
      <c r="S691">
        <v>-13</v>
      </c>
      <c r="T691">
        <v>-14.3</v>
      </c>
      <c r="U691">
        <v>5.6</v>
      </c>
      <c r="V691">
        <v>6.7</v>
      </c>
      <c r="W691">
        <v>6.6</v>
      </c>
      <c r="X691" t="s">
        <v>66</v>
      </c>
    </row>
    <row r="692" spans="2:24" x14ac:dyDescent="0.3">
      <c r="B692" t="s">
        <v>785</v>
      </c>
      <c r="C692" t="s">
        <v>137</v>
      </c>
      <c r="D692" t="s">
        <v>4</v>
      </c>
      <c r="E692" t="s">
        <v>15</v>
      </c>
      <c r="F692" t="s">
        <v>10</v>
      </c>
      <c r="G692" t="s">
        <v>101</v>
      </c>
      <c r="H692">
        <v>2025</v>
      </c>
      <c r="I692">
        <v>834</v>
      </c>
      <c r="J692">
        <v>4.2</v>
      </c>
      <c r="K692" t="s">
        <v>24</v>
      </c>
      <c r="L692">
        <v>5.2</v>
      </c>
      <c r="M692">
        <v>7.2</v>
      </c>
      <c r="N692">
        <v>5438</v>
      </c>
      <c r="O692" t="s">
        <v>55</v>
      </c>
      <c r="P692">
        <v>70.599999999999994</v>
      </c>
      <c r="Q692" t="s">
        <v>84</v>
      </c>
      <c r="R692">
        <v>48.8</v>
      </c>
      <c r="S692">
        <v>11.5</v>
      </c>
      <c r="T692">
        <v>15.4</v>
      </c>
      <c r="U692">
        <v>6.4</v>
      </c>
      <c r="V692">
        <v>6.9</v>
      </c>
      <c r="W692">
        <v>5.7</v>
      </c>
      <c r="X692" t="s">
        <v>57</v>
      </c>
    </row>
    <row r="693" spans="2:24" x14ac:dyDescent="0.3">
      <c r="B693" t="s">
        <v>786</v>
      </c>
      <c r="C693" t="s">
        <v>53</v>
      </c>
      <c r="D693" t="s">
        <v>3</v>
      </c>
      <c r="E693" t="s">
        <v>17</v>
      </c>
      <c r="F693" t="s">
        <v>12</v>
      </c>
      <c r="G693" t="s">
        <v>74</v>
      </c>
      <c r="H693">
        <v>2024</v>
      </c>
      <c r="I693">
        <v>304</v>
      </c>
      <c r="J693">
        <v>2.7</v>
      </c>
      <c r="K693" t="s">
        <v>24</v>
      </c>
      <c r="L693">
        <v>1.8</v>
      </c>
      <c r="M693">
        <v>3.2</v>
      </c>
      <c r="N693">
        <v>386</v>
      </c>
      <c r="O693" t="s">
        <v>64</v>
      </c>
      <c r="P693">
        <v>69.900000000000006</v>
      </c>
      <c r="Q693" t="s">
        <v>79</v>
      </c>
      <c r="R693">
        <v>51.8</v>
      </c>
      <c r="S693">
        <v>-13</v>
      </c>
      <c r="T693">
        <v>-4.5</v>
      </c>
      <c r="U693">
        <v>2.5</v>
      </c>
      <c r="V693">
        <v>4.7</v>
      </c>
      <c r="W693">
        <v>6.2</v>
      </c>
      <c r="X693" t="s">
        <v>57</v>
      </c>
    </row>
    <row r="694" spans="2:24" x14ac:dyDescent="0.3">
      <c r="B694" t="s">
        <v>787</v>
      </c>
      <c r="C694" t="s">
        <v>83</v>
      </c>
      <c r="D694" t="s">
        <v>4</v>
      </c>
      <c r="E694" t="s">
        <v>19</v>
      </c>
      <c r="F694" t="s">
        <v>9</v>
      </c>
      <c r="G694" t="s">
        <v>69</v>
      </c>
      <c r="H694">
        <v>2024</v>
      </c>
      <c r="I694">
        <v>2483</v>
      </c>
      <c r="J694">
        <v>3.9</v>
      </c>
      <c r="K694" t="s">
        <v>22</v>
      </c>
      <c r="L694">
        <v>5.9</v>
      </c>
      <c r="M694">
        <v>7.1</v>
      </c>
      <c r="N694">
        <v>600</v>
      </c>
      <c r="O694" t="s">
        <v>55</v>
      </c>
      <c r="P694">
        <v>77.400000000000006</v>
      </c>
      <c r="Q694" t="s">
        <v>88</v>
      </c>
      <c r="R694">
        <v>-0.9</v>
      </c>
      <c r="S694">
        <v>-9.3000000000000007</v>
      </c>
      <c r="T694">
        <v>8.4</v>
      </c>
      <c r="U694">
        <v>7.4</v>
      </c>
      <c r="V694">
        <v>4.5999999999999996</v>
      </c>
      <c r="W694">
        <v>5.5</v>
      </c>
      <c r="X694" t="s">
        <v>57</v>
      </c>
    </row>
    <row r="695" spans="2:24" x14ac:dyDescent="0.3">
      <c r="B695" t="s">
        <v>788</v>
      </c>
      <c r="C695" t="s">
        <v>27</v>
      </c>
      <c r="D695" t="s">
        <v>2</v>
      </c>
      <c r="E695" t="s">
        <v>15</v>
      </c>
      <c r="F695" t="s">
        <v>12</v>
      </c>
      <c r="G695" t="s">
        <v>78</v>
      </c>
      <c r="H695">
        <v>2026</v>
      </c>
      <c r="I695">
        <v>1825</v>
      </c>
      <c r="J695">
        <v>2.4</v>
      </c>
      <c r="K695" t="s">
        <v>23</v>
      </c>
      <c r="L695">
        <v>5.3</v>
      </c>
      <c r="M695">
        <v>3.1</v>
      </c>
      <c r="N695">
        <v>7355</v>
      </c>
      <c r="O695" t="s">
        <v>118</v>
      </c>
      <c r="P695">
        <v>32</v>
      </c>
      <c r="Q695" t="s">
        <v>76</v>
      </c>
      <c r="R695">
        <v>27.5</v>
      </c>
      <c r="S695">
        <v>3.6</v>
      </c>
      <c r="T695">
        <v>-6.8</v>
      </c>
      <c r="U695">
        <v>3.9</v>
      </c>
      <c r="V695">
        <v>7.1</v>
      </c>
      <c r="W695">
        <v>6.4</v>
      </c>
      <c r="X695" t="s">
        <v>116</v>
      </c>
    </row>
    <row r="696" spans="2:24" x14ac:dyDescent="0.3">
      <c r="B696" t="s">
        <v>789</v>
      </c>
      <c r="C696" t="s">
        <v>71</v>
      </c>
      <c r="D696" t="s">
        <v>6</v>
      </c>
      <c r="E696" t="s">
        <v>18</v>
      </c>
      <c r="F696" t="s">
        <v>11</v>
      </c>
      <c r="G696" t="s">
        <v>63</v>
      </c>
      <c r="H696">
        <v>2025</v>
      </c>
      <c r="I696">
        <v>2109</v>
      </c>
      <c r="J696">
        <v>4.3</v>
      </c>
      <c r="K696" t="s">
        <v>22</v>
      </c>
      <c r="L696">
        <v>8.9</v>
      </c>
      <c r="M696">
        <v>7.8</v>
      </c>
      <c r="N696">
        <v>818</v>
      </c>
      <c r="O696" t="s">
        <v>64</v>
      </c>
      <c r="P696">
        <v>62</v>
      </c>
      <c r="Q696" t="s">
        <v>125</v>
      </c>
      <c r="R696">
        <v>-16.600000000000001</v>
      </c>
      <c r="S696">
        <v>36.4</v>
      </c>
      <c r="T696">
        <v>20.7</v>
      </c>
      <c r="U696">
        <v>8.3000000000000007</v>
      </c>
      <c r="V696">
        <v>6</v>
      </c>
      <c r="W696">
        <v>7.4</v>
      </c>
      <c r="X696" t="s">
        <v>57</v>
      </c>
    </row>
    <row r="697" spans="2:24" x14ac:dyDescent="0.3">
      <c r="B697" t="s">
        <v>790</v>
      </c>
      <c r="C697" t="s">
        <v>81</v>
      </c>
      <c r="D697" t="s">
        <v>5</v>
      </c>
      <c r="E697" t="s">
        <v>14</v>
      </c>
      <c r="F697" t="s">
        <v>12</v>
      </c>
      <c r="G697" t="s">
        <v>69</v>
      </c>
      <c r="H697">
        <v>2025</v>
      </c>
      <c r="I697">
        <v>340</v>
      </c>
      <c r="J697">
        <v>8.6999999999999993</v>
      </c>
      <c r="K697" t="s">
        <v>23</v>
      </c>
      <c r="L697">
        <v>1.5</v>
      </c>
      <c r="M697">
        <v>2.8</v>
      </c>
      <c r="N697">
        <v>1648</v>
      </c>
      <c r="O697" t="s">
        <v>64</v>
      </c>
      <c r="P697">
        <v>30.1</v>
      </c>
      <c r="Q697" t="s">
        <v>76</v>
      </c>
      <c r="R697">
        <v>64.5</v>
      </c>
      <c r="S697">
        <v>-11.4</v>
      </c>
      <c r="T697">
        <v>0.3</v>
      </c>
      <c r="U697">
        <v>1.8</v>
      </c>
      <c r="V697">
        <v>7.9</v>
      </c>
      <c r="W697">
        <v>6.5</v>
      </c>
      <c r="X697" t="s">
        <v>57</v>
      </c>
    </row>
    <row r="698" spans="2:24" x14ac:dyDescent="0.3">
      <c r="B698" t="s">
        <v>791</v>
      </c>
      <c r="C698" t="s">
        <v>71</v>
      </c>
      <c r="D698" t="s">
        <v>6</v>
      </c>
      <c r="E698" t="s">
        <v>18</v>
      </c>
      <c r="F698" t="s">
        <v>9</v>
      </c>
      <c r="G698" t="s">
        <v>78</v>
      </c>
      <c r="H698">
        <v>2025</v>
      </c>
      <c r="I698">
        <v>304</v>
      </c>
      <c r="J698">
        <v>13.6</v>
      </c>
      <c r="K698" t="s">
        <v>23</v>
      </c>
      <c r="L698">
        <v>4.2</v>
      </c>
      <c r="M698">
        <v>5.8</v>
      </c>
      <c r="N698">
        <v>2962</v>
      </c>
      <c r="O698" t="s">
        <v>64</v>
      </c>
      <c r="P698">
        <v>27.1</v>
      </c>
      <c r="Q698" t="s">
        <v>76</v>
      </c>
      <c r="R698">
        <v>-4.4000000000000004</v>
      </c>
      <c r="S698">
        <v>-1.8</v>
      </c>
      <c r="T698">
        <v>-5.2</v>
      </c>
      <c r="U698">
        <v>3.5</v>
      </c>
      <c r="V698">
        <v>3.9</v>
      </c>
      <c r="W698">
        <v>6.4</v>
      </c>
      <c r="X698" t="s">
        <v>116</v>
      </c>
    </row>
    <row r="699" spans="2:24" x14ac:dyDescent="0.3">
      <c r="B699" t="s">
        <v>792</v>
      </c>
      <c r="C699" t="s">
        <v>27</v>
      </c>
      <c r="D699" t="s">
        <v>3</v>
      </c>
      <c r="E699" t="s">
        <v>17</v>
      </c>
      <c r="F699" t="s">
        <v>10</v>
      </c>
      <c r="G699" t="s">
        <v>78</v>
      </c>
      <c r="H699">
        <v>2026</v>
      </c>
      <c r="I699">
        <v>389</v>
      </c>
      <c r="J699">
        <v>1.8</v>
      </c>
      <c r="K699" t="s">
        <v>22</v>
      </c>
      <c r="L699">
        <v>7</v>
      </c>
      <c r="M699">
        <v>8.6</v>
      </c>
      <c r="N699">
        <v>3776</v>
      </c>
      <c r="O699" t="s">
        <v>55</v>
      </c>
      <c r="P699">
        <v>80.400000000000006</v>
      </c>
      <c r="Q699" t="s">
        <v>84</v>
      </c>
      <c r="R699">
        <v>-9.3000000000000007</v>
      </c>
      <c r="S699">
        <v>-12.7</v>
      </c>
      <c r="T699">
        <v>-8.8000000000000007</v>
      </c>
      <c r="U699">
        <v>9.5</v>
      </c>
      <c r="V699">
        <v>5.7</v>
      </c>
      <c r="W699">
        <v>6.7</v>
      </c>
      <c r="X699" t="s">
        <v>116</v>
      </c>
    </row>
    <row r="700" spans="2:24" x14ac:dyDescent="0.3">
      <c r="B700" t="s">
        <v>793</v>
      </c>
      <c r="C700" t="s">
        <v>53</v>
      </c>
      <c r="D700" t="s">
        <v>7</v>
      </c>
      <c r="E700" t="s">
        <v>14</v>
      </c>
      <c r="F700" t="s">
        <v>12</v>
      </c>
      <c r="G700" t="s">
        <v>60</v>
      </c>
      <c r="H700">
        <v>2025</v>
      </c>
      <c r="I700">
        <v>1000</v>
      </c>
      <c r="J700">
        <v>8.6999999999999993</v>
      </c>
      <c r="K700" t="s">
        <v>22</v>
      </c>
      <c r="L700">
        <v>7</v>
      </c>
      <c r="M700">
        <v>2.6</v>
      </c>
      <c r="N700">
        <v>5181</v>
      </c>
      <c r="O700" t="s">
        <v>55</v>
      </c>
      <c r="P700">
        <v>79.2</v>
      </c>
      <c r="Q700" t="s">
        <v>56</v>
      </c>
      <c r="R700">
        <v>58.8</v>
      </c>
      <c r="S700">
        <v>32.5</v>
      </c>
      <c r="T700">
        <v>15.3</v>
      </c>
      <c r="U700">
        <v>4.3</v>
      </c>
      <c r="V700">
        <v>8.6999999999999993</v>
      </c>
      <c r="W700">
        <v>6.6</v>
      </c>
      <c r="X700" t="s">
        <v>57</v>
      </c>
    </row>
    <row r="701" spans="2:24" x14ac:dyDescent="0.3">
      <c r="B701" t="s">
        <v>794</v>
      </c>
      <c r="C701" t="s">
        <v>71</v>
      </c>
      <c r="D701" t="s">
        <v>5</v>
      </c>
      <c r="E701" t="s">
        <v>19</v>
      </c>
      <c r="F701" t="s">
        <v>10</v>
      </c>
      <c r="G701" t="s">
        <v>63</v>
      </c>
      <c r="H701">
        <v>2025</v>
      </c>
      <c r="I701">
        <v>16684</v>
      </c>
      <c r="J701">
        <v>18</v>
      </c>
      <c r="K701" t="s">
        <v>23</v>
      </c>
      <c r="L701">
        <v>7.8</v>
      </c>
      <c r="M701">
        <v>9.1999999999999993</v>
      </c>
      <c r="N701">
        <v>1493</v>
      </c>
      <c r="O701" t="s">
        <v>64</v>
      </c>
      <c r="P701">
        <v>79.2</v>
      </c>
      <c r="Q701" t="s">
        <v>86</v>
      </c>
      <c r="R701">
        <v>-23.9</v>
      </c>
      <c r="S701">
        <v>14.7</v>
      </c>
      <c r="T701">
        <v>7.4</v>
      </c>
      <c r="U701">
        <v>4.7</v>
      </c>
      <c r="V701">
        <v>5</v>
      </c>
      <c r="W701">
        <v>3.9</v>
      </c>
      <c r="X701" t="s">
        <v>66</v>
      </c>
    </row>
    <row r="702" spans="2:24" x14ac:dyDescent="0.3">
      <c r="B702" t="s">
        <v>795</v>
      </c>
      <c r="C702" t="s">
        <v>73</v>
      </c>
      <c r="D702" t="s">
        <v>2</v>
      </c>
      <c r="E702" t="s">
        <v>14</v>
      </c>
      <c r="F702" t="s">
        <v>12</v>
      </c>
      <c r="G702" t="s">
        <v>131</v>
      </c>
      <c r="H702">
        <v>2026</v>
      </c>
      <c r="I702">
        <v>3074</v>
      </c>
      <c r="J702">
        <v>1.9</v>
      </c>
      <c r="K702" t="s">
        <v>23</v>
      </c>
      <c r="L702">
        <v>9</v>
      </c>
      <c r="M702">
        <v>3.3</v>
      </c>
      <c r="N702">
        <v>3633</v>
      </c>
      <c r="O702" t="s">
        <v>55</v>
      </c>
      <c r="P702">
        <v>37.700000000000003</v>
      </c>
      <c r="Q702" t="s">
        <v>56</v>
      </c>
      <c r="R702">
        <v>66.599999999999994</v>
      </c>
      <c r="S702">
        <v>-5.8</v>
      </c>
      <c r="T702">
        <v>-7.4</v>
      </c>
      <c r="U702">
        <v>7.5</v>
      </c>
      <c r="V702">
        <v>7.1</v>
      </c>
      <c r="W702">
        <v>7.4</v>
      </c>
      <c r="X702" t="s">
        <v>116</v>
      </c>
    </row>
    <row r="703" spans="2:24" x14ac:dyDescent="0.3">
      <c r="B703" t="s">
        <v>796</v>
      </c>
      <c r="C703" t="s">
        <v>106</v>
      </c>
      <c r="D703" t="s">
        <v>3</v>
      </c>
      <c r="E703" t="s">
        <v>14</v>
      </c>
      <c r="F703" t="s">
        <v>11</v>
      </c>
      <c r="G703" t="s">
        <v>69</v>
      </c>
      <c r="H703">
        <v>2025</v>
      </c>
      <c r="I703">
        <v>1825</v>
      </c>
      <c r="J703">
        <v>2.8</v>
      </c>
      <c r="K703" t="s">
        <v>24</v>
      </c>
      <c r="L703">
        <v>3.7</v>
      </c>
      <c r="M703">
        <v>6.7</v>
      </c>
      <c r="N703">
        <v>5420</v>
      </c>
      <c r="O703" t="s">
        <v>55</v>
      </c>
      <c r="P703">
        <v>88.5</v>
      </c>
      <c r="Q703" t="s">
        <v>56</v>
      </c>
      <c r="R703">
        <v>-7.3</v>
      </c>
      <c r="S703">
        <v>57.7</v>
      </c>
      <c r="T703">
        <v>28.7</v>
      </c>
      <c r="U703">
        <v>3.7</v>
      </c>
      <c r="V703">
        <v>8.8000000000000007</v>
      </c>
      <c r="W703">
        <v>8.5</v>
      </c>
      <c r="X703" t="s">
        <v>116</v>
      </c>
    </row>
    <row r="704" spans="2:24" x14ac:dyDescent="0.3">
      <c r="B704" t="s">
        <v>797</v>
      </c>
      <c r="C704" t="s">
        <v>106</v>
      </c>
      <c r="D704" t="s">
        <v>3</v>
      </c>
      <c r="E704" t="s">
        <v>14</v>
      </c>
      <c r="F704" t="s">
        <v>9</v>
      </c>
      <c r="G704" t="s">
        <v>101</v>
      </c>
      <c r="H704">
        <v>2024</v>
      </c>
      <c r="I704">
        <v>1417</v>
      </c>
      <c r="J704">
        <v>1.6</v>
      </c>
      <c r="K704" t="s">
        <v>21</v>
      </c>
      <c r="L704">
        <v>2.8</v>
      </c>
      <c r="M704">
        <v>2.4</v>
      </c>
      <c r="N704">
        <v>3934</v>
      </c>
      <c r="O704" t="s">
        <v>64</v>
      </c>
      <c r="P704">
        <v>84.3</v>
      </c>
      <c r="Q704" t="s">
        <v>56</v>
      </c>
      <c r="R704">
        <v>80.7</v>
      </c>
      <c r="S704">
        <v>37.6</v>
      </c>
      <c r="T704">
        <v>5.8</v>
      </c>
      <c r="U704">
        <v>1.7</v>
      </c>
      <c r="V704">
        <v>7</v>
      </c>
      <c r="W704">
        <v>8.3000000000000007</v>
      </c>
      <c r="X704" t="s">
        <v>116</v>
      </c>
    </row>
    <row r="705" spans="2:24" x14ac:dyDescent="0.3">
      <c r="B705" t="s">
        <v>798</v>
      </c>
      <c r="C705" t="s">
        <v>94</v>
      </c>
      <c r="D705" t="s">
        <v>6</v>
      </c>
      <c r="E705" t="s">
        <v>16</v>
      </c>
      <c r="F705" t="s">
        <v>9</v>
      </c>
      <c r="G705" t="s">
        <v>101</v>
      </c>
      <c r="H705">
        <v>2025</v>
      </c>
      <c r="I705">
        <v>17548</v>
      </c>
      <c r="J705">
        <v>15.3</v>
      </c>
      <c r="K705" t="s">
        <v>23</v>
      </c>
      <c r="L705">
        <v>1.8</v>
      </c>
      <c r="M705">
        <v>2.2000000000000002</v>
      </c>
      <c r="N705">
        <v>169</v>
      </c>
      <c r="O705" t="s">
        <v>64</v>
      </c>
      <c r="P705">
        <v>62.1</v>
      </c>
      <c r="Q705" t="s">
        <v>88</v>
      </c>
      <c r="R705">
        <v>21.8</v>
      </c>
      <c r="S705">
        <v>25.6</v>
      </c>
      <c r="T705">
        <v>13.2</v>
      </c>
      <c r="U705">
        <v>1.2</v>
      </c>
      <c r="V705">
        <v>5.8</v>
      </c>
      <c r="W705">
        <v>6.8</v>
      </c>
      <c r="X705" t="s">
        <v>66</v>
      </c>
    </row>
    <row r="706" spans="2:24" x14ac:dyDescent="0.3">
      <c r="B706" t="s">
        <v>799</v>
      </c>
      <c r="C706" t="s">
        <v>90</v>
      </c>
      <c r="D706" t="s">
        <v>3</v>
      </c>
      <c r="E706" t="s">
        <v>19</v>
      </c>
      <c r="F706" t="s">
        <v>9</v>
      </c>
      <c r="G706" t="s">
        <v>60</v>
      </c>
      <c r="H706">
        <v>2024</v>
      </c>
      <c r="I706">
        <v>2119</v>
      </c>
      <c r="J706">
        <v>8.8000000000000007</v>
      </c>
      <c r="K706" t="s">
        <v>24</v>
      </c>
      <c r="L706">
        <v>4</v>
      </c>
      <c r="M706">
        <v>5.4</v>
      </c>
      <c r="N706">
        <v>4062</v>
      </c>
      <c r="O706" t="s">
        <v>64</v>
      </c>
      <c r="P706">
        <v>49.6</v>
      </c>
      <c r="Q706" t="s">
        <v>56</v>
      </c>
      <c r="R706">
        <v>-20</v>
      </c>
      <c r="S706">
        <v>48.6</v>
      </c>
      <c r="T706">
        <v>26.7</v>
      </c>
      <c r="U706">
        <v>3.7</v>
      </c>
      <c r="V706">
        <v>7.8</v>
      </c>
      <c r="W706">
        <v>8.3000000000000007</v>
      </c>
      <c r="X706" t="s">
        <v>57</v>
      </c>
    </row>
    <row r="707" spans="2:24" x14ac:dyDescent="0.3">
      <c r="B707" t="s">
        <v>800</v>
      </c>
      <c r="C707" t="s">
        <v>106</v>
      </c>
      <c r="D707" t="s">
        <v>3</v>
      </c>
      <c r="E707" t="s">
        <v>18</v>
      </c>
      <c r="F707" t="s">
        <v>11</v>
      </c>
      <c r="G707" t="s">
        <v>60</v>
      </c>
      <c r="H707">
        <v>2024</v>
      </c>
      <c r="I707">
        <v>453</v>
      </c>
      <c r="J707">
        <v>0.2</v>
      </c>
      <c r="K707" t="s">
        <v>21</v>
      </c>
      <c r="L707">
        <v>5.7</v>
      </c>
      <c r="M707">
        <v>5.0999999999999996</v>
      </c>
      <c r="N707">
        <v>4954</v>
      </c>
      <c r="O707" t="s">
        <v>55</v>
      </c>
      <c r="P707">
        <v>24.5</v>
      </c>
      <c r="Q707" t="s">
        <v>84</v>
      </c>
      <c r="R707">
        <v>43.9</v>
      </c>
      <c r="S707">
        <v>-22.8</v>
      </c>
      <c r="T707">
        <v>-6</v>
      </c>
      <c r="U707">
        <v>4.8</v>
      </c>
      <c r="V707">
        <v>7.4</v>
      </c>
      <c r="W707">
        <v>5.4</v>
      </c>
      <c r="X707" t="s">
        <v>57</v>
      </c>
    </row>
    <row r="708" spans="2:24" x14ac:dyDescent="0.3">
      <c r="B708" t="s">
        <v>801</v>
      </c>
      <c r="C708" t="s">
        <v>94</v>
      </c>
      <c r="D708" t="s">
        <v>6</v>
      </c>
      <c r="E708" t="s">
        <v>18</v>
      </c>
      <c r="F708" t="s">
        <v>9</v>
      </c>
      <c r="G708" t="s">
        <v>74</v>
      </c>
      <c r="H708">
        <v>2026</v>
      </c>
      <c r="I708">
        <v>5366</v>
      </c>
      <c r="J708">
        <v>16.5</v>
      </c>
      <c r="K708" t="s">
        <v>21</v>
      </c>
      <c r="L708">
        <v>3.8</v>
      </c>
      <c r="M708">
        <v>8.6999999999999993</v>
      </c>
      <c r="N708">
        <v>4802</v>
      </c>
      <c r="O708" t="s">
        <v>64</v>
      </c>
      <c r="P708">
        <v>49.6</v>
      </c>
      <c r="Q708" t="s">
        <v>56</v>
      </c>
      <c r="R708">
        <v>77.400000000000006</v>
      </c>
      <c r="S708">
        <v>-0.8</v>
      </c>
      <c r="T708">
        <v>4.0999999999999996</v>
      </c>
      <c r="U708">
        <v>4.7</v>
      </c>
      <c r="V708">
        <v>5.4</v>
      </c>
      <c r="W708">
        <v>5</v>
      </c>
      <c r="X708" t="s">
        <v>116</v>
      </c>
    </row>
    <row r="709" spans="2:24" x14ac:dyDescent="0.3">
      <c r="B709" t="s">
        <v>802</v>
      </c>
      <c r="C709" t="s">
        <v>106</v>
      </c>
      <c r="D709" t="s">
        <v>8</v>
      </c>
      <c r="E709" t="s">
        <v>16</v>
      </c>
      <c r="F709" t="s">
        <v>10</v>
      </c>
      <c r="G709" t="s">
        <v>104</v>
      </c>
      <c r="H709">
        <v>2026</v>
      </c>
      <c r="I709">
        <v>5026</v>
      </c>
      <c r="J709">
        <v>5.5</v>
      </c>
      <c r="K709" t="s">
        <v>25</v>
      </c>
      <c r="L709">
        <v>3.9</v>
      </c>
      <c r="M709">
        <v>10</v>
      </c>
      <c r="N709">
        <v>3018</v>
      </c>
      <c r="O709" t="s">
        <v>64</v>
      </c>
      <c r="P709">
        <v>12.5</v>
      </c>
      <c r="Q709" t="s">
        <v>125</v>
      </c>
      <c r="R709">
        <v>34.9</v>
      </c>
      <c r="S709">
        <v>-19.7</v>
      </c>
      <c r="T709">
        <v>-4.9000000000000004</v>
      </c>
      <c r="U709">
        <v>6.5</v>
      </c>
      <c r="V709">
        <v>6.6</v>
      </c>
      <c r="W709">
        <v>4.2</v>
      </c>
      <c r="X709" t="s">
        <v>116</v>
      </c>
    </row>
    <row r="710" spans="2:24" x14ac:dyDescent="0.3">
      <c r="B710" t="s">
        <v>803</v>
      </c>
      <c r="C710" t="s">
        <v>137</v>
      </c>
      <c r="D710" t="s">
        <v>3</v>
      </c>
      <c r="E710" t="s">
        <v>16</v>
      </c>
      <c r="F710" t="s">
        <v>9</v>
      </c>
      <c r="G710" t="s">
        <v>101</v>
      </c>
      <c r="H710">
        <v>2026</v>
      </c>
      <c r="I710">
        <v>4498</v>
      </c>
      <c r="J710">
        <v>10.3</v>
      </c>
      <c r="K710" t="s">
        <v>22</v>
      </c>
      <c r="L710">
        <v>4.5999999999999996</v>
      </c>
      <c r="M710">
        <v>7</v>
      </c>
      <c r="N710">
        <v>2000</v>
      </c>
      <c r="O710" t="s">
        <v>64</v>
      </c>
      <c r="P710">
        <v>83.1</v>
      </c>
      <c r="Q710" t="s">
        <v>88</v>
      </c>
      <c r="R710">
        <v>62.7</v>
      </c>
      <c r="S710">
        <v>12.8</v>
      </c>
      <c r="T710">
        <v>5.7</v>
      </c>
      <c r="U710">
        <v>4.7</v>
      </c>
      <c r="V710">
        <v>5.8</v>
      </c>
      <c r="W710">
        <v>5.3</v>
      </c>
      <c r="X710" t="s">
        <v>116</v>
      </c>
    </row>
    <row r="711" spans="2:24" x14ac:dyDescent="0.3">
      <c r="B711" t="s">
        <v>804</v>
      </c>
      <c r="C711" t="s">
        <v>90</v>
      </c>
      <c r="D711" t="s">
        <v>5</v>
      </c>
      <c r="E711" t="s">
        <v>18</v>
      </c>
      <c r="F711" t="s">
        <v>12</v>
      </c>
      <c r="G711" t="s">
        <v>104</v>
      </c>
      <c r="H711">
        <v>2026</v>
      </c>
      <c r="I711">
        <v>2095</v>
      </c>
      <c r="J711">
        <v>9.5</v>
      </c>
      <c r="K711" t="s">
        <v>22</v>
      </c>
      <c r="L711">
        <v>4.5</v>
      </c>
      <c r="M711">
        <v>6.1</v>
      </c>
      <c r="N711">
        <v>4738</v>
      </c>
      <c r="O711" t="s">
        <v>55</v>
      </c>
      <c r="P711">
        <v>72.7</v>
      </c>
      <c r="Q711" t="s">
        <v>65</v>
      </c>
      <c r="R711">
        <v>71</v>
      </c>
      <c r="S711">
        <v>34.700000000000003</v>
      </c>
      <c r="T711">
        <v>16.5</v>
      </c>
      <c r="U711">
        <v>5.4</v>
      </c>
      <c r="V711">
        <v>7.1</v>
      </c>
      <c r="W711">
        <v>6.8</v>
      </c>
      <c r="X711" t="s">
        <v>57</v>
      </c>
    </row>
    <row r="712" spans="2:24" x14ac:dyDescent="0.3">
      <c r="B712" t="s">
        <v>805</v>
      </c>
      <c r="C712" t="s">
        <v>71</v>
      </c>
      <c r="D712" t="s">
        <v>5</v>
      </c>
      <c r="E712" t="s">
        <v>14</v>
      </c>
      <c r="F712" t="s">
        <v>11</v>
      </c>
      <c r="G712" t="s">
        <v>63</v>
      </c>
      <c r="H712">
        <v>2025</v>
      </c>
      <c r="I712">
        <v>850</v>
      </c>
      <c r="J712">
        <v>6.4</v>
      </c>
      <c r="K712" t="s">
        <v>22</v>
      </c>
      <c r="L712">
        <v>6.1</v>
      </c>
      <c r="M712">
        <v>5.3</v>
      </c>
      <c r="N712">
        <v>3367</v>
      </c>
      <c r="O712" t="s">
        <v>64</v>
      </c>
      <c r="P712">
        <v>12</v>
      </c>
      <c r="Q712" t="s">
        <v>125</v>
      </c>
      <c r="R712">
        <v>15.1</v>
      </c>
      <c r="S712">
        <v>-2.7</v>
      </c>
      <c r="T712">
        <v>-2.5</v>
      </c>
      <c r="U712">
        <v>4.7</v>
      </c>
      <c r="V712">
        <v>4.9000000000000004</v>
      </c>
      <c r="W712">
        <v>5.5</v>
      </c>
      <c r="X712" t="s">
        <v>57</v>
      </c>
    </row>
    <row r="713" spans="2:24" x14ac:dyDescent="0.3">
      <c r="B713" t="s">
        <v>806</v>
      </c>
      <c r="C713" t="s">
        <v>106</v>
      </c>
      <c r="D713" t="s">
        <v>3</v>
      </c>
      <c r="E713" t="s">
        <v>19</v>
      </c>
      <c r="F713" t="s">
        <v>11</v>
      </c>
      <c r="G713" t="s">
        <v>98</v>
      </c>
      <c r="H713">
        <v>2026</v>
      </c>
      <c r="I713">
        <v>1987</v>
      </c>
      <c r="J713">
        <v>4.3</v>
      </c>
      <c r="K713" t="s">
        <v>24</v>
      </c>
      <c r="L713">
        <v>3.2</v>
      </c>
      <c r="M713">
        <v>6.5</v>
      </c>
      <c r="N713">
        <v>3411</v>
      </c>
      <c r="O713" t="s">
        <v>64</v>
      </c>
      <c r="P713">
        <v>59.9</v>
      </c>
      <c r="Q713" t="s">
        <v>86</v>
      </c>
      <c r="R713">
        <v>-16</v>
      </c>
      <c r="S713">
        <v>44.2</v>
      </c>
      <c r="T713">
        <v>22.1</v>
      </c>
      <c r="U713">
        <v>3.4</v>
      </c>
      <c r="V713">
        <v>9.1</v>
      </c>
      <c r="W713">
        <v>6.8</v>
      </c>
      <c r="X713" t="s">
        <v>57</v>
      </c>
    </row>
    <row r="714" spans="2:24" x14ac:dyDescent="0.3">
      <c r="B714" t="s">
        <v>807</v>
      </c>
      <c r="C714" t="s">
        <v>106</v>
      </c>
      <c r="D714" t="s">
        <v>4</v>
      </c>
      <c r="E714" t="s">
        <v>14</v>
      </c>
      <c r="F714" t="s">
        <v>9</v>
      </c>
      <c r="G714" t="s">
        <v>78</v>
      </c>
      <c r="H714">
        <v>2026</v>
      </c>
      <c r="I714">
        <v>439</v>
      </c>
      <c r="J714">
        <v>5.0999999999999996</v>
      </c>
      <c r="K714" t="s">
        <v>23</v>
      </c>
      <c r="L714">
        <v>11.1</v>
      </c>
      <c r="M714">
        <v>8.1</v>
      </c>
      <c r="N714">
        <v>4572</v>
      </c>
      <c r="O714" t="s">
        <v>55</v>
      </c>
      <c r="P714">
        <v>43.3</v>
      </c>
      <c r="Q714" t="s">
        <v>84</v>
      </c>
      <c r="R714">
        <v>52.2</v>
      </c>
      <c r="S714">
        <v>-1.1000000000000001</v>
      </c>
      <c r="T714">
        <v>-6.5</v>
      </c>
      <c r="U714">
        <v>9</v>
      </c>
      <c r="V714">
        <v>4.5999999999999996</v>
      </c>
      <c r="W714">
        <v>6.7</v>
      </c>
      <c r="X714" t="s">
        <v>57</v>
      </c>
    </row>
    <row r="715" spans="2:24" x14ac:dyDescent="0.3">
      <c r="B715" t="s">
        <v>808</v>
      </c>
      <c r="C715" t="s">
        <v>97</v>
      </c>
      <c r="D715" t="s">
        <v>3</v>
      </c>
      <c r="E715" t="s">
        <v>14</v>
      </c>
      <c r="F715" t="s">
        <v>12</v>
      </c>
      <c r="G715" t="s">
        <v>101</v>
      </c>
      <c r="H715">
        <v>2026</v>
      </c>
      <c r="I715">
        <v>2381</v>
      </c>
      <c r="J715">
        <v>39.799999999999997</v>
      </c>
      <c r="K715" t="s">
        <v>22</v>
      </c>
      <c r="L715">
        <v>4.9000000000000004</v>
      </c>
      <c r="M715">
        <v>10</v>
      </c>
      <c r="N715">
        <v>1998</v>
      </c>
      <c r="O715" t="s">
        <v>75</v>
      </c>
      <c r="P715">
        <v>17.100000000000001</v>
      </c>
      <c r="Q715" t="s">
        <v>88</v>
      </c>
      <c r="R715">
        <v>69.900000000000006</v>
      </c>
      <c r="S715">
        <v>-0.4</v>
      </c>
      <c r="T715">
        <v>-6.9</v>
      </c>
      <c r="U715">
        <v>3.3</v>
      </c>
      <c r="V715">
        <v>3.8</v>
      </c>
      <c r="W715">
        <v>1.5</v>
      </c>
      <c r="X715" t="s">
        <v>66</v>
      </c>
    </row>
    <row r="716" spans="2:24" x14ac:dyDescent="0.3">
      <c r="B716" t="s">
        <v>809</v>
      </c>
      <c r="C716" t="s">
        <v>106</v>
      </c>
      <c r="D716" t="s">
        <v>4</v>
      </c>
      <c r="E716" t="s">
        <v>19</v>
      </c>
      <c r="F716" t="s">
        <v>9</v>
      </c>
      <c r="G716" t="s">
        <v>63</v>
      </c>
      <c r="H716">
        <v>2024</v>
      </c>
      <c r="I716">
        <v>17968</v>
      </c>
      <c r="J716">
        <v>27.4</v>
      </c>
      <c r="K716" t="s">
        <v>23</v>
      </c>
      <c r="L716">
        <v>3.8</v>
      </c>
      <c r="M716">
        <v>9.5</v>
      </c>
      <c r="N716">
        <v>405</v>
      </c>
      <c r="O716" t="s">
        <v>75</v>
      </c>
      <c r="P716">
        <v>11.7</v>
      </c>
      <c r="Q716" t="s">
        <v>56</v>
      </c>
      <c r="R716">
        <v>47.5</v>
      </c>
      <c r="S716">
        <v>-8.8000000000000007</v>
      </c>
      <c r="T716">
        <v>-9.6</v>
      </c>
      <c r="U716">
        <v>2.7</v>
      </c>
      <c r="V716">
        <v>4.2</v>
      </c>
      <c r="W716">
        <v>3.5</v>
      </c>
      <c r="X716" t="s">
        <v>66</v>
      </c>
    </row>
    <row r="717" spans="2:24" x14ac:dyDescent="0.3">
      <c r="B717" t="s">
        <v>810</v>
      </c>
      <c r="C717" t="s">
        <v>71</v>
      </c>
      <c r="D717" t="s">
        <v>5</v>
      </c>
      <c r="E717" t="s">
        <v>17</v>
      </c>
      <c r="F717" t="s">
        <v>9</v>
      </c>
      <c r="G717" t="s">
        <v>74</v>
      </c>
      <c r="H717">
        <v>2024</v>
      </c>
      <c r="I717">
        <v>17745</v>
      </c>
      <c r="J717">
        <v>28.6</v>
      </c>
      <c r="K717" t="s">
        <v>22</v>
      </c>
      <c r="L717">
        <v>8.5</v>
      </c>
      <c r="M717">
        <v>10</v>
      </c>
      <c r="N717">
        <v>849</v>
      </c>
      <c r="O717" t="s">
        <v>64</v>
      </c>
      <c r="P717">
        <v>49.6</v>
      </c>
      <c r="Q717" t="s">
        <v>88</v>
      </c>
      <c r="R717">
        <v>-1.3</v>
      </c>
      <c r="S717">
        <v>25.3</v>
      </c>
      <c r="T717">
        <v>15</v>
      </c>
      <c r="U717">
        <v>8.6999999999999993</v>
      </c>
      <c r="V717">
        <v>4.5999999999999996</v>
      </c>
      <c r="W717">
        <v>3.8</v>
      </c>
      <c r="X717" t="s">
        <v>66</v>
      </c>
    </row>
    <row r="718" spans="2:24" x14ac:dyDescent="0.3">
      <c r="B718" t="s">
        <v>811</v>
      </c>
      <c r="C718" t="s">
        <v>90</v>
      </c>
      <c r="D718" t="s">
        <v>6</v>
      </c>
      <c r="E718" t="s">
        <v>16</v>
      </c>
      <c r="F718" t="s">
        <v>10</v>
      </c>
      <c r="G718" t="s">
        <v>74</v>
      </c>
      <c r="H718">
        <v>2025</v>
      </c>
      <c r="I718">
        <v>1844</v>
      </c>
      <c r="J718">
        <v>3.9</v>
      </c>
      <c r="K718" t="s">
        <v>21</v>
      </c>
      <c r="L718">
        <v>1.5</v>
      </c>
      <c r="M718">
        <v>1</v>
      </c>
      <c r="N718">
        <v>1979</v>
      </c>
      <c r="O718" t="s">
        <v>64</v>
      </c>
      <c r="P718">
        <v>82.4</v>
      </c>
      <c r="Q718" t="s">
        <v>84</v>
      </c>
      <c r="R718">
        <v>79.3</v>
      </c>
      <c r="S718">
        <v>-13.1</v>
      </c>
      <c r="T718">
        <v>-1.1000000000000001</v>
      </c>
      <c r="U718">
        <v>1.2</v>
      </c>
      <c r="V718">
        <v>8.1</v>
      </c>
      <c r="W718">
        <v>6.3</v>
      </c>
      <c r="X718" t="s">
        <v>57</v>
      </c>
    </row>
    <row r="719" spans="2:24" x14ac:dyDescent="0.3">
      <c r="B719" t="s">
        <v>812</v>
      </c>
      <c r="C719" t="s">
        <v>97</v>
      </c>
      <c r="D719" t="s">
        <v>3</v>
      </c>
      <c r="E719" t="s">
        <v>18</v>
      </c>
      <c r="F719" t="s">
        <v>11</v>
      </c>
      <c r="G719" t="s">
        <v>54</v>
      </c>
      <c r="H719">
        <v>2024</v>
      </c>
      <c r="I719">
        <v>199</v>
      </c>
      <c r="J719">
        <v>13</v>
      </c>
      <c r="K719" t="s">
        <v>25</v>
      </c>
      <c r="L719">
        <v>4.3</v>
      </c>
      <c r="M719">
        <v>8.1999999999999993</v>
      </c>
      <c r="N719">
        <v>2404</v>
      </c>
      <c r="O719" t="s">
        <v>55</v>
      </c>
      <c r="P719">
        <v>83.7</v>
      </c>
      <c r="Q719" t="s">
        <v>84</v>
      </c>
      <c r="R719">
        <v>-36.6</v>
      </c>
      <c r="S719">
        <v>53.4</v>
      </c>
      <c r="T719">
        <v>12.6</v>
      </c>
      <c r="U719">
        <v>7</v>
      </c>
      <c r="V719">
        <v>6.9</v>
      </c>
      <c r="W719">
        <v>7.2</v>
      </c>
      <c r="X719" t="s">
        <v>116</v>
      </c>
    </row>
    <row r="720" spans="2:24" x14ac:dyDescent="0.3">
      <c r="B720" t="s">
        <v>813</v>
      </c>
      <c r="C720" t="s">
        <v>53</v>
      </c>
      <c r="D720" t="s">
        <v>2</v>
      </c>
      <c r="E720" t="s">
        <v>19</v>
      </c>
      <c r="F720" t="s">
        <v>9</v>
      </c>
      <c r="G720" t="s">
        <v>63</v>
      </c>
      <c r="H720">
        <v>2024</v>
      </c>
      <c r="I720">
        <v>14167</v>
      </c>
      <c r="J720">
        <v>8.6</v>
      </c>
      <c r="K720" t="s">
        <v>25</v>
      </c>
      <c r="L720">
        <v>3.5</v>
      </c>
      <c r="M720">
        <v>5.5</v>
      </c>
      <c r="N720">
        <v>3446</v>
      </c>
      <c r="O720" t="s">
        <v>64</v>
      </c>
      <c r="P720">
        <v>18.7</v>
      </c>
      <c r="Q720" t="s">
        <v>56</v>
      </c>
      <c r="R720">
        <v>85.7</v>
      </c>
      <c r="S720">
        <v>3.6</v>
      </c>
      <c r="T720">
        <v>7.2</v>
      </c>
      <c r="U720">
        <v>3</v>
      </c>
      <c r="V720">
        <v>7.2</v>
      </c>
      <c r="W720">
        <v>6.4</v>
      </c>
      <c r="X720" t="s">
        <v>66</v>
      </c>
    </row>
    <row r="721" spans="2:24" x14ac:dyDescent="0.3">
      <c r="B721" t="s">
        <v>814</v>
      </c>
      <c r="C721" t="s">
        <v>100</v>
      </c>
      <c r="D721" t="s">
        <v>3</v>
      </c>
      <c r="E721" t="s">
        <v>19</v>
      </c>
      <c r="F721" t="s">
        <v>10</v>
      </c>
      <c r="G721" t="s">
        <v>78</v>
      </c>
      <c r="H721">
        <v>2025</v>
      </c>
      <c r="I721">
        <v>6883</v>
      </c>
      <c r="J721">
        <v>12.1</v>
      </c>
      <c r="K721" t="s">
        <v>23</v>
      </c>
      <c r="L721">
        <v>0.6</v>
      </c>
      <c r="M721">
        <v>4.2</v>
      </c>
      <c r="N721">
        <v>367</v>
      </c>
      <c r="O721" t="s">
        <v>64</v>
      </c>
      <c r="P721">
        <v>68.5</v>
      </c>
      <c r="Q721" t="s">
        <v>79</v>
      </c>
      <c r="R721">
        <v>-7.6</v>
      </c>
      <c r="S721">
        <v>59.1</v>
      </c>
      <c r="T721">
        <v>15.4</v>
      </c>
      <c r="U721">
        <v>1</v>
      </c>
      <c r="V721">
        <v>6.2</v>
      </c>
      <c r="W721">
        <v>8.6999999999999993</v>
      </c>
      <c r="X721" t="s">
        <v>116</v>
      </c>
    </row>
    <row r="722" spans="2:24" x14ac:dyDescent="0.3">
      <c r="B722" t="s">
        <v>815</v>
      </c>
      <c r="C722" t="s">
        <v>92</v>
      </c>
      <c r="D722" t="s">
        <v>7</v>
      </c>
      <c r="E722" t="s">
        <v>16</v>
      </c>
      <c r="F722" t="s">
        <v>10</v>
      </c>
      <c r="G722" t="s">
        <v>74</v>
      </c>
      <c r="H722">
        <v>2026</v>
      </c>
      <c r="I722">
        <v>1162</v>
      </c>
      <c r="J722">
        <v>2.1</v>
      </c>
      <c r="K722" t="s">
        <v>23</v>
      </c>
      <c r="L722">
        <v>5.8</v>
      </c>
      <c r="M722">
        <v>9.6</v>
      </c>
      <c r="N722">
        <v>2385</v>
      </c>
      <c r="O722" t="s">
        <v>55</v>
      </c>
      <c r="P722">
        <v>30</v>
      </c>
      <c r="Q722" t="s">
        <v>86</v>
      </c>
      <c r="R722">
        <v>79.599999999999994</v>
      </c>
      <c r="S722">
        <v>46.5</v>
      </c>
      <c r="T722">
        <v>14.9</v>
      </c>
      <c r="U722">
        <v>5.9</v>
      </c>
      <c r="V722">
        <v>7.5</v>
      </c>
      <c r="W722">
        <v>7.3</v>
      </c>
      <c r="X722" t="s">
        <v>57</v>
      </c>
    </row>
    <row r="723" spans="2:24" x14ac:dyDescent="0.3">
      <c r="B723" t="s">
        <v>816</v>
      </c>
      <c r="C723" t="s">
        <v>137</v>
      </c>
      <c r="D723" t="s">
        <v>3</v>
      </c>
      <c r="E723" t="s">
        <v>18</v>
      </c>
      <c r="F723" t="s">
        <v>11</v>
      </c>
      <c r="G723" t="s">
        <v>131</v>
      </c>
      <c r="H723">
        <v>2026</v>
      </c>
      <c r="I723">
        <v>3463</v>
      </c>
      <c r="J723">
        <v>4.2</v>
      </c>
      <c r="K723" t="s">
        <v>24</v>
      </c>
      <c r="L723">
        <v>1.8</v>
      </c>
      <c r="M723">
        <v>1</v>
      </c>
      <c r="N723">
        <v>5062</v>
      </c>
      <c r="O723" t="s">
        <v>64</v>
      </c>
      <c r="P723">
        <v>48.8</v>
      </c>
      <c r="Q723" t="s">
        <v>84</v>
      </c>
      <c r="R723">
        <v>-15.1</v>
      </c>
      <c r="S723">
        <v>11.6</v>
      </c>
      <c r="T723">
        <v>7.9</v>
      </c>
      <c r="U723">
        <v>2</v>
      </c>
      <c r="V723">
        <v>7.3</v>
      </c>
      <c r="W723">
        <v>8.4</v>
      </c>
      <c r="X723" t="s">
        <v>116</v>
      </c>
    </row>
    <row r="724" spans="2:24" x14ac:dyDescent="0.3">
      <c r="B724" t="s">
        <v>817</v>
      </c>
      <c r="C724" t="s">
        <v>159</v>
      </c>
      <c r="D724" t="s">
        <v>2</v>
      </c>
      <c r="E724" t="s">
        <v>19</v>
      </c>
      <c r="F724" t="s">
        <v>11</v>
      </c>
      <c r="G724" t="s">
        <v>78</v>
      </c>
      <c r="H724">
        <v>2024</v>
      </c>
      <c r="I724">
        <v>387</v>
      </c>
      <c r="J724">
        <v>5.7</v>
      </c>
      <c r="K724" t="s">
        <v>21</v>
      </c>
      <c r="L724">
        <v>11.4</v>
      </c>
      <c r="M724">
        <v>4.8</v>
      </c>
      <c r="N724">
        <v>8548</v>
      </c>
      <c r="O724" t="s">
        <v>118</v>
      </c>
      <c r="P724">
        <v>65.400000000000006</v>
      </c>
      <c r="Q724" t="s">
        <v>56</v>
      </c>
      <c r="R724">
        <v>24.4</v>
      </c>
      <c r="S724">
        <v>-5.6</v>
      </c>
      <c r="T724">
        <v>-5.7</v>
      </c>
      <c r="U724">
        <v>7.1</v>
      </c>
      <c r="V724">
        <v>7.4</v>
      </c>
      <c r="W724">
        <v>5.3</v>
      </c>
      <c r="X724" t="s">
        <v>57</v>
      </c>
    </row>
    <row r="725" spans="2:24" x14ac:dyDescent="0.3">
      <c r="B725" t="s">
        <v>818</v>
      </c>
      <c r="C725" t="s">
        <v>71</v>
      </c>
      <c r="D725" t="s">
        <v>6</v>
      </c>
      <c r="E725" t="s">
        <v>15</v>
      </c>
      <c r="F725" t="s">
        <v>12</v>
      </c>
      <c r="G725" t="s">
        <v>78</v>
      </c>
      <c r="H725">
        <v>2025</v>
      </c>
      <c r="I725">
        <v>1539</v>
      </c>
      <c r="J725">
        <v>4.0999999999999996</v>
      </c>
      <c r="K725" t="s">
        <v>21</v>
      </c>
      <c r="L725">
        <v>8.3000000000000007</v>
      </c>
      <c r="M725">
        <v>5.8</v>
      </c>
      <c r="N725">
        <v>223</v>
      </c>
      <c r="O725" t="s">
        <v>64</v>
      </c>
      <c r="P725">
        <v>61.2</v>
      </c>
      <c r="Q725" t="s">
        <v>76</v>
      </c>
      <c r="R725">
        <v>18.2</v>
      </c>
      <c r="S725">
        <v>47.7</v>
      </c>
      <c r="T725">
        <v>14.1</v>
      </c>
      <c r="U725">
        <v>6</v>
      </c>
      <c r="V725">
        <v>7</v>
      </c>
      <c r="W725">
        <v>7.9</v>
      </c>
      <c r="X725" t="s">
        <v>57</v>
      </c>
    </row>
    <row r="726" spans="2:24" x14ac:dyDescent="0.3">
      <c r="B726" t="s">
        <v>819</v>
      </c>
      <c r="C726" t="s">
        <v>71</v>
      </c>
      <c r="D726" t="s">
        <v>5</v>
      </c>
      <c r="E726" t="s">
        <v>18</v>
      </c>
      <c r="F726" t="s">
        <v>11</v>
      </c>
      <c r="G726" t="s">
        <v>78</v>
      </c>
      <c r="H726">
        <v>2024</v>
      </c>
      <c r="I726">
        <v>1850</v>
      </c>
      <c r="J726">
        <v>10</v>
      </c>
      <c r="K726" t="s">
        <v>21</v>
      </c>
      <c r="L726">
        <v>13.2</v>
      </c>
      <c r="M726">
        <v>10</v>
      </c>
      <c r="N726">
        <v>5539</v>
      </c>
      <c r="O726" t="s">
        <v>55</v>
      </c>
      <c r="P726">
        <v>65.5</v>
      </c>
      <c r="Q726" t="s">
        <v>56</v>
      </c>
      <c r="R726">
        <v>46.1</v>
      </c>
      <c r="S726">
        <v>5.6</v>
      </c>
      <c r="T726">
        <v>-2.9</v>
      </c>
      <c r="U726">
        <v>7.9</v>
      </c>
      <c r="V726">
        <v>7.7</v>
      </c>
      <c r="W726">
        <v>4.9000000000000004</v>
      </c>
      <c r="X726" t="s">
        <v>116</v>
      </c>
    </row>
    <row r="727" spans="2:24" x14ac:dyDescent="0.3">
      <c r="B727" t="s">
        <v>820</v>
      </c>
      <c r="C727" t="s">
        <v>106</v>
      </c>
      <c r="D727" t="s">
        <v>4</v>
      </c>
      <c r="E727" t="s">
        <v>17</v>
      </c>
      <c r="F727" t="s">
        <v>12</v>
      </c>
      <c r="G727" t="s">
        <v>54</v>
      </c>
      <c r="H727">
        <v>2024</v>
      </c>
      <c r="I727">
        <v>11968</v>
      </c>
      <c r="J727">
        <v>24</v>
      </c>
      <c r="K727" t="s">
        <v>24</v>
      </c>
      <c r="L727">
        <v>6.3</v>
      </c>
      <c r="M727">
        <v>7.8</v>
      </c>
      <c r="N727">
        <v>483</v>
      </c>
      <c r="O727" t="s">
        <v>64</v>
      </c>
      <c r="P727">
        <v>36.200000000000003</v>
      </c>
      <c r="Q727" t="s">
        <v>86</v>
      </c>
      <c r="R727">
        <v>22</v>
      </c>
      <c r="S727">
        <v>40.299999999999997</v>
      </c>
      <c r="T727">
        <v>15.4</v>
      </c>
      <c r="U727">
        <v>4.9000000000000004</v>
      </c>
      <c r="V727">
        <v>5.3</v>
      </c>
      <c r="W727">
        <v>5.8</v>
      </c>
      <c r="X727" t="s">
        <v>66</v>
      </c>
    </row>
    <row r="728" spans="2:24" x14ac:dyDescent="0.3">
      <c r="B728" t="s">
        <v>821</v>
      </c>
      <c r="C728" t="s">
        <v>71</v>
      </c>
      <c r="D728" t="s">
        <v>5</v>
      </c>
      <c r="E728" t="s">
        <v>18</v>
      </c>
      <c r="F728" t="s">
        <v>11</v>
      </c>
      <c r="G728" t="s">
        <v>74</v>
      </c>
      <c r="H728">
        <v>2026</v>
      </c>
      <c r="I728">
        <v>107</v>
      </c>
      <c r="J728">
        <v>9.5</v>
      </c>
      <c r="K728" t="s">
        <v>21</v>
      </c>
      <c r="L728">
        <v>7</v>
      </c>
      <c r="M728">
        <v>8.1</v>
      </c>
      <c r="N728">
        <v>4880</v>
      </c>
      <c r="O728" t="s">
        <v>55</v>
      </c>
      <c r="P728">
        <v>54.3</v>
      </c>
      <c r="Q728" t="s">
        <v>86</v>
      </c>
      <c r="R728">
        <v>-39.5</v>
      </c>
      <c r="S728">
        <v>14.2</v>
      </c>
      <c r="T728">
        <v>6.4</v>
      </c>
      <c r="U728">
        <v>6</v>
      </c>
      <c r="V728">
        <v>5.2</v>
      </c>
      <c r="W728">
        <v>5</v>
      </c>
      <c r="X728" t="s">
        <v>57</v>
      </c>
    </row>
    <row r="729" spans="2:24" x14ac:dyDescent="0.3">
      <c r="B729" t="s">
        <v>822</v>
      </c>
      <c r="C729" t="s">
        <v>106</v>
      </c>
      <c r="D729" t="s">
        <v>3</v>
      </c>
      <c r="E729" t="s">
        <v>18</v>
      </c>
      <c r="F729" t="s">
        <v>12</v>
      </c>
      <c r="G729" t="s">
        <v>69</v>
      </c>
      <c r="H729">
        <v>2025</v>
      </c>
      <c r="I729">
        <v>14845</v>
      </c>
      <c r="J729">
        <v>25.1</v>
      </c>
      <c r="K729" t="s">
        <v>22</v>
      </c>
      <c r="L729">
        <v>3.7</v>
      </c>
      <c r="M729">
        <v>7.7</v>
      </c>
      <c r="N729">
        <v>1067</v>
      </c>
      <c r="O729" t="s">
        <v>75</v>
      </c>
      <c r="P729">
        <v>64.400000000000006</v>
      </c>
      <c r="Q729" t="s">
        <v>125</v>
      </c>
      <c r="R729">
        <v>-43.5</v>
      </c>
      <c r="S729">
        <v>13.3</v>
      </c>
      <c r="T729">
        <v>-3.2</v>
      </c>
      <c r="U729">
        <v>2.9</v>
      </c>
      <c r="V729">
        <v>7.2</v>
      </c>
      <c r="W729">
        <v>3.5</v>
      </c>
      <c r="X729" t="s">
        <v>66</v>
      </c>
    </row>
    <row r="730" spans="2:24" x14ac:dyDescent="0.3">
      <c r="B730" t="s">
        <v>823</v>
      </c>
      <c r="C730" t="s">
        <v>142</v>
      </c>
      <c r="D730" t="s">
        <v>2</v>
      </c>
      <c r="E730" t="s">
        <v>16</v>
      </c>
      <c r="F730" t="s">
        <v>10</v>
      </c>
      <c r="G730" t="s">
        <v>63</v>
      </c>
      <c r="H730">
        <v>2024</v>
      </c>
      <c r="I730">
        <v>9826</v>
      </c>
      <c r="J730">
        <v>30</v>
      </c>
      <c r="K730" t="s">
        <v>24</v>
      </c>
      <c r="L730">
        <v>7.9</v>
      </c>
      <c r="M730">
        <v>10</v>
      </c>
      <c r="N730">
        <v>1970</v>
      </c>
      <c r="O730" t="s">
        <v>75</v>
      </c>
      <c r="P730">
        <v>26.7</v>
      </c>
      <c r="Q730" t="s">
        <v>76</v>
      </c>
      <c r="R730">
        <v>2.6</v>
      </c>
      <c r="S730">
        <v>-20.9</v>
      </c>
      <c r="T730">
        <v>-11.7</v>
      </c>
      <c r="U730">
        <v>8</v>
      </c>
      <c r="V730">
        <v>2.7</v>
      </c>
      <c r="W730">
        <v>2.1</v>
      </c>
      <c r="X730" t="s">
        <v>66</v>
      </c>
    </row>
    <row r="731" spans="2:24" x14ac:dyDescent="0.3">
      <c r="B731" t="s">
        <v>824</v>
      </c>
      <c r="C731" t="s">
        <v>90</v>
      </c>
      <c r="D731" t="s">
        <v>6</v>
      </c>
      <c r="E731" t="s">
        <v>19</v>
      </c>
      <c r="F731" t="s">
        <v>12</v>
      </c>
      <c r="G731" t="s">
        <v>54</v>
      </c>
      <c r="H731">
        <v>2025</v>
      </c>
      <c r="I731">
        <v>842</v>
      </c>
      <c r="J731">
        <v>12.4</v>
      </c>
      <c r="K731" t="s">
        <v>21</v>
      </c>
      <c r="L731">
        <v>11.8</v>
      </c>
      <c r="M731">
        <v>8.1</v>
      </c>
      <c r="N731">
        <v>1240</v>
      </c>
      <c r="O731" t="s">
        <v>64</v>
      </c>
      <c r="P731">
        <v>63.9</v>
      </c>
      <c r="Q731" t="s">
        <v>84</v>
      </c>
      <c r="R731">
        <v>42.5</v>
      </c>
      <c r="S731">
        <v>48.7</v>
      </c>
      <c r="T731">
        <v>21.9</v>
      </c>
      <c r="U731">
        <v>7.7</v>
      </c>
      <c r="V731">
        <v>8.1</v>
      </c>
      <c r="W731">
        <v>6.8</v>
      </c>
      <c r="X731" t="s">
        <v>116</v>
      </c>
    </row>
    <row r="732" spans="2:24" x14ac:dyDescent="0.3">
      <c r="B732" t="s">
        <v>825</v>
      </c>
      <c r="C732" t="s">
        <v>27</v>
      </c>
      <c r="D732" t="s">
        <v>2</v>
      </c>
      <c r="E732" t="s">
        <v>17</v>
      </c>
      <c r="F732" t="s">
        <v>9</v>
      </c>
      <c r="G732" t="s">
        <v>101</v>
      </c>
      <c r="H732">
        <v>2025</v>
      </c>
      <c r="I732">
        <v>14307</v>
      </c>
      <c r="J732">
        <v>17.100000000000001</v>
      </c>
      <c r="K732" t="s">
        <v>24</v>
      </c>
      <c r="L732">
        <v>4.0999999999999996</v>
      </c>
      <c r="M732">
        <v>7.9</v>
      </c>
      <c r="N732">
        <v>3583</v>
      </c>
      <c r="O732" t="s">
        <v>64</v>
      </c>
      <c r="P732">
        <v>16.2</v>
      </c>
      <c r="Q732" t="s">
        <v>56</v>
      </c>
      <c r="R732">
        <v>84.8</v>
      </c>
      <c r="S732">
        <v>-11.8</v>
      </c>
      <c r="T732">
        <v>-11.4</v>
      </c>
      <c r="U732">
        <v>4.5</v>
      </c>
      <c r="V732">
        <v>7</v>
      </c>
      <c r="W732">
        <v>4</v>
      </c>
      <c r="X732" t="s">
        <v>66</v>
      </c>
    </row>
    <row r="733" spans="2:24" x14ac:dyDescent="0.3">
      <c r="B733" t="s">
        <v>826</v>
      </c>
      <c r="C733" t="s">
        <v>100</v>
      </c>
      <c r="D733" t="s">
        <v>3</v>
      </c>
      <c r="E733" t="s">
        <v>18</v>
      </c>
      <c r="F733" t="s">
        <v>12</v>
      </c>
      <c r="G733" t="s">
        <v>69</v>
      </c>
      <c r="H733">
        <v>2024</v>
      </c>
      <c r="I733">
        <v>1963</v>
      </c>
      <c r="J733">
        <v>3.1</v>
      </c>
      <c r="K733" t="s">
        <v>21</v>
      </c>
      <c r="L733">
        <v>3.2</v>
      </c>
      <c r="M733">
        <v>6.3</v>
      </c>
      <c r="N733">
        <v>1820</v>
      </c>
      <c r="O733" t="s">
        <v>64</v>
      </c>
      <c r="P733">
        <v>59.7</v>
      </c>
      <c r="Q733" t="s">
        <v>88</v>
      </c>
      <c r="R733">
        <v>44.9</v>
      </c>
      <c r="S733">
        <v>56.3</v>
      </c>
      <c r="T733">
        <v>23.8</v>
      </c>
      <c r="U733">
        <v>3.8</v>
      </c>
      <c r="V733">
        <v>10</v>
      </c>
      <c r="W733">
        <v>8.4</v>
      </c>
      <c r="X733" t="s">
        <v>57</v>
      </c>
    </row>
    <row r="734" spans="2:24" x14ac:dyDescent="0.3">
      <c r="B734" t="s">
        <v>827</v>
      </c>
      <c r="C734" t="s">
        <v>94</v>
      </c>
      <c r="D734" t="s">
        <v>6</v>
      </c>
      <c r="E734" t="s">
        <v>14</v>
      </c>
      <c r="F734" t="s">
        <v>9</v>
      </c>
      <c r="G734" t="s">
        <v>69</v>
      </c>
      <c r="H734">
        <v>2025</v>
      </c>
      <c r="I734">
        <v>5478</v>
      </c>
      <c r="J734">
        <v>14.2</v>
      </c>
      <c r="K734" t="s">
        <v>25</v>
      </c>
      <c r="L734">
        <v>5.7</v>
      </c>
      <c r="M734">
        <v>9</v>
      </c>
      <c r="N734">
        <v>1915</v>
      </c>
      <c r="O734" t="s">
        <v>64</v>
      </c>
      <c r="P734">
        <v>83.1</v>
      </c>
      <c r="Q734" t="s">
        <v>76</v>
      </c>
      <c r="R734">
        <v>76.7</v>
      </c>
      <c r="S734">
        <v>52.1</v>
      </c>
      <c r="T734">
        <v>21.8</v>
      </c>
      <c r="U734">
        <v>6</v>
      </c>
      <c r="V734">
        <v>7.3</v>
      </c>
      <c r="W734">
        <v>6.8</v>
      </c>
      <c r="X734" t="s">
        <v>66</v>
      </c>
    </row>
    <row r="735" spans="2:24" x14ac:dyDescent="0.3">
      <c r="B735" t="s">
        <v>828</v>
      </c>
      <c r="C735" t="s">
        <v>106</v>
      </c>
      <c r="D735" t="s">
        <v>3</v>
      </c>
      <c r="E735" t="s">
        <v>18</v>
      </c>
      <c r="F735" t="s">
        <v>10</v>
      </c>
      <c r="G735" t="s">
        <v>112</v>
      </c>
      <c r="H735">
        <v>2025</v>
      </c>
      <c r="I735">
        <v>4779</v>
      </c>
      <c r="J735">
        <v>5.4</v>
      </c>
      <c r="K735" t="s">
        <v>23</v>
      </c>
      <c r="L735">
        <v>4.7</v>
      </c>
      <c r="M735">
        <v>2</v>
      </c>
      <c r="N735">
        <v>5330</v>
      </c>
      <c r="O735" t="s">
        <v>64</v>
      </c>
      <c r="P735">
        <v>57.4</v>
      </c>
      <c r="Q735" t="s">
        <v>125</v>
      </c>
      <c r="R735">
        <v>14.8</v>
      </c>
      <c r="S735">
        <v>20.100000000000001</v>
      </c>
      <c r="T735">
        <v>3.4</v>
      </c>
      <c r="U735">
        <v>3.3</v>
      </c>
      <c r="V735">
        <v>8.6999999999999993</v>
      </c>
      <c r="W735">
        <v>7</v>
      </c>
      <c r="X735" t="s">
        <v>116</v>
      </c>
    </row>
    <row r="736" spans="2:24" x14ac:dyDescent="0.3">
      <c r="B736" t="s">
        <v>829</v>
      </c>
      <c r="C736" t="s">
        <v>97</v>
      </c>
      <c r="D736" t="s">
        <v>3</v>
      </c>
      <c r="E736" t="s">
        <v>19</v>
      </c>
      <c r="F736" t="s">
        <v>10</v>
      </c>
      <c r="G736" t="s">
        <v>60</v>
      </c>
      <c r="H736">
        <v>2024</v>
      </c>
      <c r="I736">
        <v>2365</v>
      </c>
      <c r="J736">
        <v>6.9</v>
      </c>
      <c r="K736" t="s">
        <v>23</v>
      </c>
      <c r="L736">
        <v>3.4</v>
      </c>
      <c r="M736">
        <v>4.5</v>
      </c>
      <c r="N736">
        <v>1062</v>
      </c>
      <c r="O736" t="s">
        <v>64</v>
      </c>
      <c r="P736">
        <v>44.2</v>
      </c>
      <c r="Q736" t="s">
        <v>86</v>
      </c>
      <c r="R736">
        <v>80.3</v>
      </c>
      <c r="S736">
        <v>46.8</v>
      </c>
      <c r="T736">
        <v>9.6999999999999993</v>
      </c>
      <c r="U736">
        <v>3.3</v>
      </c>
      <c r="V736">
        <v>9.1999999999999993</v>
      </c>
      <c r="W736">
        <v>7.7</v>
      </c>
      <c r="X736" t="s">
        <v>57</v>
      </c>
    </row>
    <row r="737" spans="2:24" x14ac:dyDescent="0.3">
      <c r="B737" t="s">
        <v>830</v>
      </c>
      <c r="C737" t="s">
        <v>59</v>
      </c>
      <c r="D737" t="s">
        <v>4</v>
      </c>
      <c r="E737" t="s">
        <v>18</v>
      </c>
      <c r="F737" t="s">
        <v>12</v>
      </c>
      <c r="G737" t="s">
        <v>74</v>
      </c>
      <c r="H737">
        <v>2025</v>
      </c>
      <c r="I737">
        <v>6457</v>
      </c>
      <c r="J737">
        <v>7.6</v>
      </c>
      <c r="K737" t="s">
        <v>24</v>
      </c>
      <c r="L737">
        <v>5.5</v>
      </c>
      <c r="M737">
        <v>4.8</v>
      </c>
      <c r="N737">
        <v>5133</v>
      </c>
      <c r="O737" t="s">
        <v>55</v>
      </c>
      <c r="P737">
        <v>42.8</v>
      </c>
      <c r="Q737" t="s">
        <v>65</v>
      </c>
      <c r="R737">
        <v>-18.2</v>
      </c>
      <c r="S737">
        <v>36.1</v>
      </c>
      <c r="T737">
        <v>15</v>
      </c>
      <c r="U737">
        <v>5.5</v>
      </c>
      <c r="V737">
        <v>9.1</v>
      </c>
      <c r="W737">
        <v>8.3000000000000007</v>
      </c>
      <c r="X737" t="s">
        <v>116</v>
      </c>
    </row>
    <row r="738" spans="2:24" x14ac:dyDescent="0.3">
      <c r="B738" t="s">
        <v>831</v>
      </c>
      <c r="C738" t="s">
        <v>71</v>
      </c>
      <c r="D738" t="s">
        <v>6</v>
      </c>
      <c r="E738" t="s">
        <v>16</v>
      </c>
      <c r="F738" t="s">
        <v>9</v>
      </c>
      <c r="G738" t="s">
        <v>78</v>
      </c>
      <c r="H738">
        <v>2024</v>
      </c>
      <c r="I738">
        <v>3343</v>
      </c>
      <c r="J738">
        <v>6.6</v>
      </c>
      <c r="K738" t="s">
        <v>25</v>
      </c>
      <c r="L738">
        <v>12.1</v>
      </c>
      <c r="M738">
        <v>10</v>
      </c>
      <c r="N738">
        <v>1428</v>
      </c>
      <c r="O738" t="s">
        <v>55</v>
      </c>
      <c r="P738">
        <v>51.3</v>
      </c>
      <c r="Q738" t="s">
        <v>65</v>
      </c>
      <c r="R738">
        <v>-36.700000000000003</v>
      </c>
      <c r="S738">
        <v>-13.2</v>
      </c>
      <c r="T738">
        <v>-6.7</v>
      </c>
      <c r="U738">
        <v>9.4</v>
      </c>
      <c r="V738">
        <v>8</v>
      </c>
      <c r="W738">
        <v>5.9</v>
      </c>
      <c r="X738" t="s">
        <v>116</v>
      </c>
    </row>
    <row r="739" spans="2:24" x14ac:dyDescent="0.3">
      <c r="B739" t="s">
        <v>832</v>
      </c>
      <c r="C739" t="s">
        <v>73</v>
      </c>
      <c r="D739" t="s">
        <v>3</v>
      </c>
      <c r="E739" t="s">
        <v>16</v>
      </c>
      <c r="F739" t="s">
        <v>9</v>
      </c>
      <c r="G739" t="s">
        <v>104</v>
      </c>
      <c r="H739">
        <v>2024</v>
      </c>
      <c r="I739">
        <v>2066</v>
      </c>
      <c r="J739">
        <v>37.6</v>
      </c>
      <c r="K739" t="s">
        <v>23</v>
      </c>
      <c r="L739">
        <v>14.1</v>
      </c>
      <c r="M739">
        <v>10</v>
      </c>
      <c r="N739">
        <v>666</v>
      </c>
      <c r="O739" t="s">
        <v>75</v>
      </c>
      <c r="P739">
        <v>52.8</v>
      </c>
      <c r="Q739" t="s">
        <v>86</v>
      </c>
      <c r="R739">
        <v>63.3</v>
      </c>
      <c r="S739">
        <v>33.799999999999997</v>
      </c>
      <c r="T739">
        <v>3.5</v>
      </c>
      <c r="U739">
        <v>8.4</v>
      </c>
      <c r="V739">
        <v>5.6</v>
      </c>
      <c r="W739">
        <v>2.7</v>
      </c>
      <c r="X739" t="s">
        <v>66</v>
      </c>
    </row>
    <row r="740" spans="2:24" x14ac:dyDescent="0.3">
      <c r="B740" t="s">
        <v>833</v>
      </c>
      <c r="C740" t="s">
        <v>106</v>
      </c>
      <c r="D740" t="s">
        <v>7</v>
      </c>
      <c r="E740" t="s">
        <v>18</v>
      </c>
      <c r="F740" t="s">
        <v>9</v>
      </c>
      <c r="G740" t="s">
        <v>54</v>
      </c>
      <c r="H740">
        <v>2024</v>
      </c>
      <c r="I740">
        <v>4529</v>
      </c>
      <c r="J740">
        <v>37.799999999999997</v>
      </c>
      <c r="K740" t="s">
        <v>25</v>
      </c>
      <c r="L740">
        <v>2.5</v>
      </c>
      <c r="M740">
        <v>10</v>
      </c>
      <c r="N740">
        <v>1908</v>
      </c>
      <c r="O740" t="s">
        <v>75</v>
      </c>
      <c r="P740">
        <v>32.799999999999997</v>
      </c>
      <c r="Q740" t="s">
        <v>79</v>
      </c>
      <c r="R740">
        <v>42.1</v>
      </c>
      <c r="S740">
        <v>19.8</v>
      </c>
      <c r="T740">
        <v>2.7</v>
      </c>
      <c r="U740">
        <v>3.4</v>
      </c>
      <c r="V740">
        <v>3.4</v>
      </c>
      <c r="W740">
        <v>1.8</v>
      </c>
      <c r="X740" t="s">
        <v>66</v>
      </c>
    </row>
    <row r="741" spans="2:24" x14ac:dyDescent="0.3">
      <c r="B741" t="s">
        <v>834</v>
      </c>
      <c r="C741" t="s">
        <v>92</v>
      </c>
      <c r="D741" t="s">
        <v>7</v>
      </c>
      <c r="E741" t="s">
        <v>16</v>
      </c>
      <c r="F741" t="s">
        <v>9</v>
      </c>
      <c r="G741" t="s">
        <v>78</v>
      </c>
      <c r="H741">
        <v>2024</v>
      </c>
      <c r="I741">
        <v>800</v>
      </c>
      <c r="J741">
        <v>5.0999999999999996</v>
      </c>
      <c r="K741" t="s">
        <v>23</v>
      </c>
      <c r="L741">
        <v>9.1</v>
      </c>
      <c r="M741">
        <v>10</v>
      </c>
      <c r="N741">
        <v>4924</v>
      </c>
      <c r="O741" t="s">
        <v>55</v>
      </c>
      <c r="P741">
        <v>26</v>
      </c>
      <c r="Q741" t="s">
        <v>65</v>
      </c>
      <c r="R741">
        <v>32.6</v>
      </c>
      <c r="S741">
        <v>57.2</v>
      </c>
      <c r="T741">
        <v>33.6</v>
      </c>
      <c r="U741">
        <v>8</v>
      </c>
      <c r="V741">
        <v>9.8000000000000007</v>
      </c>
      <c r="W741">
        <v>7.3</v>
      </c>
      <c r="X741" t="s">
        <v>57</v>
      </c>
    </row>
    <row r="742" spans="2:24" x14ac:dyDescent="0.3">
      <c r="B742" t="s">
        <v>835</v>
      </c>
      <c r="C742" t="s">
        <v>122</v>
      </c>
      <c r="D742" t="s">
        <v>2</v>
      </c>
      <c r="E742" t="s">
        <v>15</v>
      </c>
      <c r="F742" t="s">
        <v>11</v>
      </c>
      <c r="G742" t="s">
        <v>54</v>
      </c>
      <c r="H742">
        <v>2026</v>
      </c>
      <c r="I742">
        <v>531</v>
      </c>
      <c r="J742">
        <v>8.8000000000000007</v>
      </c>
      <c r="K742" t="s">
        <v>22</v>
      </c>
      <c r="L742">
        <v>9.1999999999999993</v>
      </c>
      <c r="M742">
        <v>8.3000000000000007</v>
      </c>
      <c r="N742">
        <v>4457</v>
      </c>
      <c r="O742" t="s">
        <v>55</v>
      </c>
      <c r="P742">
        <v>41.1</v>
      </c>
      <c r="Q742" t="s">
        <v>76</v>
      </c>
      <c r="R742">
        <v>0.2</v>
      </c>
      <c r="S742">
        <v>3.2</v>
      </c>
      <c r="T742">
        <v>10.6</v>
      </c>
      <c r="U742">
        <v>6.9</v>
      </c>
      <c r="V742">
        <v>7.2</v>
      </c>
      <c r="W742">
        <v>6.4</v>
      </c>
      <c r="X742" t="s">
        <v>57</v>
      </c>
    </row>
    <row r="743" spans="2:24" x14ac:dyDescent="0.3">
      <c r="B743" t="s">
        <v>836</v>
      </c>
      <c r="C743" t="s">
        <v>97</v>
      </c>
      <c r="D743" t="s">
        <v>3</v>
      </c>
      <c r="E743" t="s">
        <v>18</v>
      </c>
      <c r="F743" t="s">
        <v>10</v>
      </c>
      <c r="G743" t="s">
        <v>60</v>
      </c>
      <c r="H743">
        <v>2025</v>
      </c>
      <c r="I743">
        <v>3886</v>
      </c>
      <c r="J743">
        <v>7.5</v>
      </c>
      <c r="K743" t="s">
        <v>24</v>
      </c>
      <c r="L743">
        <v>1</v>
      </c>
      <c r="M743">
        <v>2.4</v>
      </c>
      <c r="N743">
        <v>1438</v>
      </c>
      <c r="O743" t="s">
        <v>64</v>
      </c>
      <c r="P743">
        <v>44.9</v>
      </c>
      <c r="Q743" t="s">
        <v>79</v>
      </c>
      <c r="R743">
        <v>-1.9</v>
      </c>
      <c r="S743">
        <v>-24.7</v>
      </c>
      <c r="T743">
        <v>-2.1</v>
      </c>
      <c r="U743">
        <v>1.4</v>
      </c>
      <c r="V743">
        <v>5.7</v>
      </c>
      <c r="W743">
        <v>6.2</v>
      </c>
      <c r="X743" t="s">
        <v>116</v>
      </c>
    </row>
    <row r="744" spans="2:24" x14ac:dyDescent="0.3">
      <c r="B744" t="s">
        <v>837</v>
      </c>
      <c r="C744" t="s">
        <v>94</v>
      </c>
      <c r="D744" t="s">
        <v>6</v>
      </c>
      <c r="E744" t="s">
        <v>15</v>
      </c>
      <c r="F744" t="s">
        <v>9</v>
      </c>
      <c r="G744" t="s">
        <v>131</v>
      </c>
      <c r="H744">
        <v>2024</v>
      </c>
      <c r="I744">
        <v>833</v>
      </c>
      <c r="J744">
        <v>8.3000000000000007</v>
      </c>
      <c r="K744" t="s">
        <v>22</v>
      </c>
      <c r="L744">
        <v>7.4</v>
      </c>
      <c r="M744">
        <v>5.9</v>
      </c>
      <c r="N744">
        <v>2057</v>
      </c>
      <c r="O744" t="s">
        <v>55</v>
      </c>
      <c r="P744">
        <v>82.2</v>
      </c>
      <c r="Q744" t="s">
        <v>88</v>
      </c>
      <c r="R744">
        <v>-28.5</v>
      </c>
      <c r="S744">
        <v>6.4</v>
      </c>
      <c r="T744">
        <v>9.3000000000000007</v>
      </c>
      <c r="U744">
        <v>7</v>
      </c>
      <c r="V744">
        <v>6.5</v>
      </c>
      <c r="W744">
        <v>6.6</v>
      </c>
      <c r="X744" t="s">
        <v>57</v>
      </c>
    </row>
    <row r="745" spans="2:24" x14ac:dyDescent="0.3">
      <c r="B745" t="s">
        <v>838</v>
      </c>
      <c r="C745" t="s">
        <v>142</v>
      </c>
      <c r="D745" t="s">
        <v>8</v>
      </c>
      <c r="E745" t="s">
        <v>15</v>
      </c>
      <c r="F745" t="s">
        <v>10</v>
      </c>
      <c r="G745" t="s">
        <v>54</v>
      </c>
      <c r="H745">
        <v>2025</v>
      </c>
      <c r="I745">
        <v>2165</v>
      </c>
      <c r="J745">
        <v>4</v>
      </c>
      <c r="K745" t="s">
        <v>22</v>
      </c>
      <c r="L745">
        <v>0.9</v>
      </c>
      <c r="M745">
        <v>1</v>
      </c>
      <c r="N745">
        <v>1442</v>
      </c>
      <c r="O745" t="s">
        <v>64</v>
      </c>
      <c r="P745">
        <v>29.6</v>
      </c>
      <c r="Q745" t="s">
        <v>88</v>
      </c>
      <c r="R745">
        <v>39</v>
      </c>
      <c r="S745">
        <v>10.7</v>
      </c>
      <c r="T745">
        <v>13.3</v>
      </c>
      <c r="U745">
        <v>1</v>
      </c>
      <c r="V745">
        <v>8.1</v>
      </c>
      <c r="W745">
        <v>8.3000000000000007</v>
      </c>
      <c r="X745" t="s">
        <v>116</v>
      </c>
    </row>
    <row r="746" spans="2:24" x14ac:dyDescent="0.3">
      <c r="B746" t="s">
        <v>839</v>
      </c>
      <c r="C746" t="s">
        <v>73</v>
      </c>
      <c r="D746" t="s">
        <v>3</v>
      </c>
      <c r="E746" t="s">
        <v>19</v>
      </c>
      <c r="F746" t="s">
        <v>12</v>
      </c>
      <c r="G746" t="s">
        <v>115</v>
      </c>
      <c r="H746">
        <v>2025</v>
      </c>
      <c r="I746">
        <v>1241</v>
      </c>
      <c r="J746">
        <v>7.9</v>
      </c>
      <c r="K746" t="s">
        <v>24</v>
      </c>
      <c r="L746">
        <v>7.6</v>
      </c>
      <c r="M746">
        <v>4.2</v>
      </c>
      <c r="N746">
        <v>2832</v>
      </c>
      <c r="O746" t="s">
        <v>55</v>
      </c>
      <c r="P746">
        <v>79.599999999999994</v>
      </c>
      <c r="Q746" t="s">
        <v>79</v>
      </c>
      <c r="R746">
        <v>-30.8</v>
      </c>
      <c r="S746">
        <v>-0.6</v>
      </c>
      <c r="T746">
        <v>-4.9000000000000004</v>
      </c>
      <c r="U746">
        <v>8.1</v>
      </c>
      <c r="V746">
        <v>6.3</v>
      </c>
      <c r="W746">
        <v>7.3</v>
      </c>
      <c r="X746" t="s">
        <v>57</v>
      </c>
    </row>
    <row r="747" spans="2:24" x14ac:dyDescent="0.3">
      <c r="B747" t="s">
        <v>840</v>
      </c>
      <c r="C747" t="s">
        <v>90</v>
      </c>
      <c r="D747" t="s">
        <v>5</v>
      </c>
      <c r="E747" t="s">
        <v>15</v>
      </c>
      <c r="F747" t="s">
        <v>10</v>
      </c>
      <c r="G747" t="s">
        <v>112</v>
      </c>
      <c r="H747">
        <v>2024</v>
      </c>
      <c r="I747">
        <v>2254</v>
      </c>
      <c r="J747">
        <v>13.4</v>
      </c>
      <c r="K747" t="s">
        <v>21</v>
      </c>
      <c r="L747">
        <v>6.6</v>
      </c>
      <c r="M747">
        <v>7</v>
      </c>
      <c r="N747">
        <v>722</v>
      </c>
      <c r="O747" t="s">
        <v>64</v>
      </c>
      <c r="P747">
        <v>25</v>
      </c>
      <c r="Q747" t="s">
        <v>125</v>
      </c>
      <c r="R747">
        <v>62.6</v>
      </c>
      <c r="S747">
        <v>-24.9</v>
      </c>
      <c r="T747">
        <v>-7.9</v>
      </c>
      <c r="U747">
        <v>4</v>
      </c>
      <c r="V747">
        <v>4.2</v>
      </c>
      <c r="W747">
        <v>3.9</v>
      </c>
      <c r="X747" t="s">
        <v>66</v>
      </c>
    </row>
    <row r="748" spans="2:24" x14ac:dyDescent="0.3">
      <c r="B748" t="s">
        <v>841</v>
      </c>
      <c r="C748" t="s">
        <v>139</v>
      </c>
      <c r="D748" t="s">
        <v>8</v>
      </c>
      <c r="E748" t="s">
        <v>17</v>
      </c>
      <c r="F748" t="s">
        <v>10</v>
      </c>
      <c r="G748" t="s">
        <v>112</v>
      </c>
      <c r="H748">
        <v>2024</v>
      </c>
      <c r="I748">
        <v>2041</v>
      </c>
      <c r="J748">
        <v>1.2</v>
      </c>
      <c r="K748" t="s">
        <v>24</v>
      </c>
      <c r="L748">
        <v>6.4</v>
      </c>
      <c r="M748">
        <v>6.1</v>
      </c>
      <c r="N748">
        <v>5656</v>
      </c>
      <c r="O748" t="s">
        <v>118</v>
      </c>
      <c r="P748">
        <v>25.4</v>
      </c>
      <c r="Q748" t="s">
        <v>56</v>
      </c>
      <c r="R748">
        <v>-42.7</v>
      </c>
      <c r="S748">
        <v>-13.5</v>
      </c>
      <c r="T748">
        <v>-6.9</v>
      </c>
      <c r="U748">
        <v>7.8</v>
      </c>
      <c r="V748">
        <v>7.6</v>
      </c>
      <c r="W748">
        <v>6.5</v>
      </c>
      <c r="X748" t="s">
        <v>116</v>
      </c>
    </row>
    <row r="749" spans="2:24" x14ac:dyDescent="0.3">
      <c r="B749" t="s">
        <v>842</v>
      </c>
      <c r="C749" t="s">
        <v>139</v>
      </c>
      <c r="D749" t="s">
        <v>8</v>
      </c>
      <c r="E749" t="s">
        <v>19</v>
      </c>
      <c r="F749" t="s">
        <v>12</v>
      </c>
      <c r="G749" t="s">
        <v>69</v>
      </c>
      <c r="H749">
        <v>2025</v>
      </c>
      <c r="I749">
        <v>5559</v>
      </c>
      <c r="J749">
        <v>3.1</v>
      </c>
      <c r="K749" t="s">
        <v>21</v>
      </c>
      <c r="L749">
        <v>5.0999999999999996</v>
      </c>
      <c r="M749">
        <v>2.4</v>
      </c>
      <c r="N749">
        <v>2778</v>
      </c>
      <c r="O749" t="s">
        <v>55</v>
      </c>
      <c r="P749">
        <v>86.6</v>
      </c>
      <c r="Q749" t="s">
        <v>79</v>
      </c>
      <c r="R749">
        <v>55.4</v>
      </c>
      <c r="S749">
        <v>8.1</v>
      </c>
      <c r="T749">
        <v>11.9</v>
      </c>
      <c r="U749">
        <v>4.5</v>
      </c>
      <c r="V749">
        <v>8.5</v>
      </c>
      <c r="W749">
        <v>8.3000000000000007</v>
      </c>
      <c r="X749" t="s">
        <v>116</v>
      </c>
    </row>
    <row r="750" spans="2:24" x14ac:dyDescent="0.3">
      <c r="B750" t="s">
        <v>843</v>
      </c>
      <c r="C750" t="s">
        <v>27</v>
      </c>
      <c r="D750" t="s">
        <v>3</v>
      </c>
      <c r="E750" t="s">
        <v>17</v>
      </c>
      <c r="F750" t="s">
        <v>12</v>
      </c>
      <c r="G750" t="s">
        <v>115</v>
      </c>
      <c r="H750">
        <v>2026</v>
      </c>
      <c r="I750">
        <v>3889</v>
      </c>
      <c r="J750">
        <v>29.2</v>
      </c>
      <c r="K750" t="s">
        <v>23</v>
      </c>
      <c r="L750">
        <v>7.7</v>
      </c>
      <c r="M750">
        <v>10</v>
      </c>
      <c r="N750">
        <v>995</v>
      </c>
      <c r="O750" t="s">
        <v>64</v>
      </c>
      <c r="P750">
        <v>64.5</v>
      </c>
      <c r="Q750" t="s">
        <v>86</v>
      </c>
      <c r="R750">
        <v>21.2</v>
      </c>
      <c r="S750">
        <v>-2.2999999999999998</v>
      </c>
      <c r="T750">
        <v>-3.7</v>
      </c>
      <c r="U750">
        <v>8.9</v>
      </c>
      <c r="V750">
        <v>3</v>
      </c>
      <c r="W750">
        <v>3.4</v>
      </c>
      <c r="X750" t="s">
        <v>66</v>
      </c>
    </row>
    <row r="751" spans="2:24" x14ac:dyDescent="0.3">
      <c r="B751" t="s">
        <v>844</v>
      </c>
      <c r="C751" t="s">
        <v>106</v>
      </c>
      <c r="D751" t="s">
        <v>7</v>
      </c>
      <c r="E751" t="s">
        <v>19</v>
      </c>
      <c r="F751" t="s">
        <v>11</v>
      </c>
      <c r="G751" t="s">
        <v>54</v>
      </c>
      <c r="H751">
        <v>2025</v>
      </c>
      <c r="I751">
        <v>2783</v>
      </c>
      <c r="J751">
        <v>10</v>
      </c>
      <c r="K751" t="s">
        <v>23</v>
      </c>
      <c r="L751">
        <v>5.6</v>
      </c>
      <c r="M751">
        <v>9</v>
      </c>
      <c r="N751">
        <v>809</v>
      </c>
      <c r="O751" t="s">
        <v>64</v>
      </c>
      <c r="P751">
        <v>16</v>
      </c>
      <c r="Q751" t="s">
        <v>65</v>
      </c>
      <c r="R751">
        <v>84.3</v>
      </c>
      <c r="S751">
        <v>58.7</v>
      </c>
      <c r="T751">
        <v>16.8</v>
      </c>
      <c r="U751">
        <v>6.1</v>
      </c>
      <c r="V751">
        <v>8.1999999999999993</v>
      </c>
      <c r="W751">
        <v>7.1</v>
      </c>
      <c r="X751" t="s">
        <v>116</v>
      </c>
    </row>
    <row r="752" spans="2:24" x14ac:dyDescent="0.3">
      <c r="B752" t="s">
        <v>845</v>
      </c>
      <c r="C752" t="s">
        <v>106</v>
      </c>
      <c r="D752" t="s">
        <v>8</v>
      </c>
      <c r="E752" t="s">
        <v>16</v>
      </c>
      <c r="F752" t="s">
        <v>12</v>
      </c>
      <c r="G752" t="s">
        <v>104</v>
      </c>
      <c r="H752">
        <v>2024</v>
      </c>
      <c r="I752">
        <v>63</v>
      </c>
      <c r="J752">
        <v>7.8</v>
      </c>
      <c r="K752" t="s">
        <v>24</v>
      </c>
      <c r="L752">
        <v>2.2000000000000002</v>
      </c>
      <c r="M752">
        <v>7.4</v>
      </c>
      <c r="N752">
        <v>3532</v>
      </c>
      <c r="O752" t="s">
        <v>64</v>
      </c>
      <c r="P752">
        <v>47.9</v>
      </c>
      <c r="Q752" t="s">
        <v>76</v>
      </c>
      <c r="R752">
        <v>29.3</v>
      </c>
      <c r="S752">
        <v>-14.3</v>
      </c>
      <c r="T752">
        <v>-1.7</v>
      </c>
      <c r="U752">
        <v>3.7</v>
      </c>
      <c r="V752">
        <v>7.1</v>
      </c>
      <c r="W752">
        <v>5.0999999999999996</v>
      </c>
      <c r="X752" t="s">
        <v>57</v>
      </c>
    </row>
    <row r="753" spans="2:24" x14ac:dyDescent="0.3">
      <c r="B753" t="s">
        <v>846</v>
      </c>
      <c r="C753" t="s">
        <v>71</v>
      </c>
      <c r="D753" t="s">
        <v>6</v>
      </c>
      <c r="E753" t="s">
        <v>15</v>
      </c>
      <c r="F753" t="s">
        <v>12</v>
      </c>
      <c r="G753" t="s">
        <v>98</v>
      </c>
      <c r="H753">
        <v>2024</v>
      </c>
      <c r="I753">
        <v>3608</v>
      </c>
      <c r="J753">
        <v>17.3</v>
      </c>
      <c r="K753" t="s">
        <v>24</v>
      </c>
      <c r="L753">
        <v>13.9</v>
      </c>
      <c r="M753">
        <v>6.7</v>
      </c>
      <c r="N753">
        <v>657</v>
      </c>
      <c r="O753" t="s">
        <v>64</v>
      </c>
      <c r="P753">
        <v>80.400000000000006</v>
      </c>
      <c r="Q753" t="s">
        <v>65</v>
      </c>
      <c r="R753">
        <v>85.2</v>
      </c>
      <c r="S753">
        <v>27.5</v>
      </c>
      <c r="T753">
        <v>5.0999999999999996</v>
      </c>
      <c r="U753">
        <v>8.4</v>
      </c>
      <c r="V753">
        <v>4.5</v>
      </c>
      <c r="W753">
        <v>5.2</v>
      </c>
      <c r="X753" t="s">
        <v>116</v>
      </c>
    </row>
    <row r="754" spans="2:24" x14ac:dyDescent="0.3">
      <c r="B754" t="s">
        <v>847</v>
      </c>
      <c r="C754" t="s">
        <v>53</v>
      </c>
      <c r="D754" t="s">
        <v>3</v>
      </c>
      <c r="E754" t="s">
        <v>16</v>
      </c>
      <c r="F754" t="s">
        <v>9</v>
      </c>
      <c r="G754" t="s">
        <v>98</v>
      </c>
      <c r="H754">
        <v>2026</v>
      </c>
      <c r="I754">
        <v>2240</v>
      </c>
      <c r="J754">
        <v>2.9</v>
      </c>
      <c r="K754" t="s">
        <v>25</v>
      </c>
      <c r="L754">
        <v>5.3</v>
      </c>
      <c r="M754">
        <v>9.1999999999999993</v>
      </c>
      <c r="N754">
        <v>3351</v>
      </c>
      <c r="O754" t="s">
        <v>55</v>
      </c>
      <c r="P754">
        <v>50.7</v>
      </c>
      <c r="Q754" t="s">
        <v>88</v>
      </c>
      <c r="R754">
        <v>78.400000000000006</v>
      </c>
      <c r="S754">
        <v>14.8</v>
      </c>
      <c r="T754">
        <v>4.0999999999999996</v>
      </c>
      <c r="U754">
        <v>7.1</v>
      </c>
      <c r="V754">
        <v>8.6</v>
      </c>
      <c r="W754">
        <v>7.3</v>
      </c>
      <c r="X754" t="s">
        <v>57</v>
      </c>
    </row>
    <row r="755" spans="2:24" x14ac:dyDescent="0.3">
      <c r="B755" t="s">
        <v>848</v>
      </c>
      <c r="C755" t="s">
        <v>68</v>
      </c>
      <c r="D755" t="s">
        <v>8</v>
      </c>
      <c r="E755" t="s">
        <v>15</v>
      </c>
      <c r="F755" t="s">
        <v>12</v>
      </c>
      <c r="G755" t="s">
        <v>98</v>
      </c>
      <c r="H755">
        <v>2026</v>
      </c>
      <c r="I755">
        <v>3967</v>
      </c>
      <c r="J755">
        <v>9.1999999999999993</v>
      </c>
      <c r="K755" t="s">
        <v>23</v>
      </c>
      <c r="L755">
        <v>2.9</v>
      </c>
      <c r="M755">
        <v>5.5</v>
      </c>
      <c r="N755">
        <v>5280</v>
      </c>
      <c r="O755" t="s">
        <v>64</v>
      </c>
      <c r="P755">
        <v>88.9</v>
      </c>
      <c r="Q755" t="s">
        <v>86</v>
      </c>
      <c r="R755">
        <v>73.099999999999994</v>
      </c>
      <c r="S755">
        <v>1.2</v>
      </c>
      <c r="T755">
        <v>-2.1</v>
      </c>
      <c r="U755">
        <v>1.8</v>
      </c>
      <c r="V755">
        <v>7.3</v>
      </c>
      <c r="W755">
        <v>6.8</v>
      </c>
      <c r="X755" t="s">
        <v>116</v>
      </c>
    </row>
    <row r="756" spans="2:24" x14ac:dyDescent="0.3">
      <c r="B756" t="s">
        <v>849</v>
      </c>
      <c r="C756" t="s">
        <v>90</v>
      </c>
      <c r="D756" t="s">
        <v>6</v>
      </c>
      <c r="E756" t="s">
        <v>17</v>
      </c>
      <c r="F756" t="s">
        <v>10</v>
      </c>
      <c r="G756" t="s">
        <v>131</v>
      </c>
      <c r="H756">
        <v>2025</v>
      </c>
      <c r="I756">
        <v>8404</v>
      </c>
      <c r="J756">
        <v>36.799999999999997</v>
      </c>
      <c r="K756" t="s">
        <v>22</v>
      </c>
      <c r="L756">
        <v>9.4</v>
      </c>
      <c r="M756">
        <v>10</v>
      </c>
      <c r="N756">
        <v>1632</v>
      </c>
      <c r="O756" t="s">
        <v>75</v>
      </c>
      <c r="P756">
        <v>84.3</v>
      </c>
      <c r="Q756" t="s">
        <v>76</v>
      </c>
      <c r="R756">
        <v>77.900000000000006</v>
      </c>
      <c r="S756">
        <v>25.3</v>
      </c>
      <c r="T756">
        <v>7.7</v>
      </c>
      <c r="U756">
        <v>7.7</v>
      </c>
      <c r="V756">
        <v>4.5999999999999996</v>
      </c>
      <c r="W756">
        <v>3.7</v>
      </c>
      <c r="X756" t="s">
        <v>66</v>
      </c>
    </row>
    <row r="757" spans="2:24" x14ac:dyDescent="0.3">
      <c r="B757" t="s">
        <v>850</v>
      </c>
      <c r="C757" t="s">
        <v>106</v>
      </c>
      <c r="D757" t="s">
        <v>7</v>
      </c>
      <c r="E757" t="s">
        <v>17</v>
      </c>
      <c r="F757" t="s">
        <v>10</v>
      </c>
      <c r="G757" t="s">
        <v>54</v>
      </c>
      <c r="H757">
        <v>2024</v>
      </c>
      <c r="I757">
        <v>18167</v>
      </c>
      <c r="J757">
        <v>35.799999999999997</v>
      </c>
      <c r="K757" t="s">
        <v>23</v>
      </c>
      <c r="L757">
        <v>1.8</v>
      </c>
      <c r="M757">
        <v>10</v>
      </c>
      <c r="N757">
        <v>681</v>
      </c>
      <c r="O757" t="s">
        <v>75</v>
      </c>
      <c r="P757">
        <v>33.5</v>
      </c>
      <c r="Q757" t="s">
        <v>56</v>
      </c>
      <c r="R757">
        <v>16.600000000000001</v>
      </c>
      <c r="S757">
        <v>24.6</v>
      </c>
      <c r="T757">
        <v>-1</v>
      </c>
      <c r="U757">
        <v>2</v>
      </c>
      <c r="V757">
        <v>3.2</v>
      </c>
      <c r="W757">
        <v>3.3</v>
      </c>
      <c r="X757" t="s">
        <v>66</v>
      </c>
    </row>
    <row r="758" spans="2:24" x14ac:dyDescent="0.3">
      <c r="B758" t="s">
        <v>851</v>
      </c>
      <c r="C758" t="s">
        <v>106</v>
      </c>
      <c r="D758" t="s">
        <v>3</v>
      </c>
      <c r="E758" t="s">
        <v>17</v>
      </c>
      <c r="F758" t="s">
        <v>11</v>
      </c>
      <c r="G758" t="s">
        <v>69</v>
      </c>
      <c r="H758">
        <v>2025</v>
      </c>
      <c r="I758">
        <v>2273</v>
      </c>
      <c r="J758">
        <v>3.9</v>
      </c>
      <c r="K758" t="s">
        <v>22</v>
      </c>
      <c r="L758">
        <v>8.6</v>
      </c>
      <c r="M758">
        <v>6</v>
      </c>
      <c r="N758">
        <v>2803</v>
      </c>
      <c r="O758" t="s">
        <v>55</v>
      </c>
      <c r="P758">
        <v>47.8</v>
      </c>
      <c r="Q758" t="s">
        <v>79</v>
      </c>
      <c r="R758">
        <v>-32.799999999999997</v>
      </c>
      <c r="S758">
        <v>39.799999999999997</v>
      </c>
      <c r="T758">
        <v>17.2</v>
      </c>
      <c r="U758">
        <v>5.6</v>
      </c>
      <c r="V758">
        <v>7.3</v>
      </c>
      <c r="W758">
        <v>7.8</v>
      </c>
      <c r="X758" t="s">
        <v>57</v>
      </c>
    </row>
    <row r="759" spans="2:24" x14ac:dyDescent="0.3">
      <c r="B759" t="s">
        <v>852</v>
      </c>
      <c r="C759" t="s">
        <v>106</v>
      </c>
      <c r="D759" t="s">
        <v>2</v>
      </c>
      <c r="E759" t="s">
        <v>18</v>
      </c>
      <c r="F759" t="s">
        <v>10</v>
      </c>
      <c r="G759" t="s">
        <v>115</v>
      </c>
      <c r="H759">
        <v>2024</v>
      </c>
      <c r="I759">
        <v>5332</v>
      </c>
      <c r="J759">
        <v>34</v>
      </c>
      <c r="K759" t="s">
        <v>23</v>
      </c>
      <c r="L759">
        <v>1.7</v>
      </c>
      <c r="M759">
        <v>9.9</v>
      </c>
      <c r="N759">
        <v>4073</v>
      </c>
      <c r="O759" t="s">
        <v>64</v>
      </c>
      <c r="P759">
        <v>85.8</v>
      </c>
      <c r="Q759" t="s">
        <v>76</v>
      </c>
      <c r="R759">
        <v>44</v>
      </c>
      <c r="S759">
        <v>53.4</v>
      </c>
      <c r="T759">
        <v>13.4</v>
      </c>
      <c r="U759">
        <v>1.9</v>
      </c>
      <c r="V759">
        <v>7.2</v>
      </c>
      <c r="W759">
        <v>4</v>
      </c>
      <c r="X759" t="s">
        <v>66</v>
      </c>
    </row>
    <row r="760" spans="2:24" x14ac:dyDescent="0.3">
      <c r="B760" t="s">
        <v>853</v>
      </c>
      <c r="C760" t="s">
        <v>73</v>
      </c>
      <c r="D760" t="s">
        <v>3</v>
      </c>
      <c r="E760" t="s">
        <v>19</v>
      </c>
      <c r="F760" t="s">
        <v>10</v>
      </c>
      <c r="G760" t="s">
        <v>63</v>
      </c>
      <c r="H760">
        <v>2024</v>
      </c>
      <c r="I760">
        <v>2411</v>
      </c>
      <c r="J760">
        <v>39.4</v>
      </c>
      <c r="K760" t="s">
        <v>25</v>
      </c>
      <c r="L760">
        <v>1.9</v>
      </c>
      <c r="M760">
        <v>8.3000000000000007</v>
      </c>
      <c r="N760">
        <v>1465</v>
      </c>
      <c r="O760" t="s">
        <v>75</v>
      </c>
      <c r="P760">
        <v>33.1</v>
      </c>
      <c r="Q760" t="s">
        <v>86</v>
      </c>
      <c r="R760">
        <v>89.5</v>
      </c>
      <c r="S760">
        <v>-20.5</v>
      </c>
      <c r="T760">
        <v>-13.6</v>
      </c>
      <c r="U760">
        <v>1.8</v>
      </c>
      <c r="V760">
        <v>1.7</v>
      </c>
      <c r="W760">
        <v>1</v>
      </c>
      <c r="X760" t="s">
        <v>66</v>
      </c>
    </row>
    <row r="761" spans="2:24" x14ac:dyDescent="0.3">
      <c r="B761" t="s">
        <v>854</v>
      </c>
      <c r="C761" t="s">
        <v>92</v>
      </c>
      <c r="D761" t="s">
        <v>7</v>
      </c>
      <c r="E761" t="s">
        <v>17</v>
      </c>
      <c r="F761" t="s">
        <v>12</v>
      </c>
      <c r="G761" t="s">
        <v>63</v>
      </c>
      <c r="H761">
        <v>2025</v>
      </c>
      <c r="I761">
        <v>2233</v>
      </c>
      <c r="J761">
        <v>4.2</v>
      </c>
      <c r="K761" t="s">
        <v>21</v>
      </c>
      <c r="L761">
        <v>4.4000000000000004</v>
      </c>
      <c r="M761">
        <v>4.7</v>
      </c>
      <c r="N761">
        <v>2069</v>
      </c>
      <c r="O761" t="s">
        <v>55</v>
      </c>
      <c r="P761">
        <v>71.2</v>
      </c>
      <c r="Q761" t="s">
        <v>88</v>
      </c>
      <c r="R761">
        <v>-35.9</v>
      </c>
      <c r="S761">
        <v>-7.2</v>
      </c>
      <c r="T761">
        <v>4</v>
      </c>
      <c r="U761">
        <v>5.3</v>
      </c>
      <c r="V761">
        <v>7.7</v>
      </c>
      <c r="W761">
        <v>6.4</v>
      </c>
      <c r="X761" t="s">
        <v>116</v>
      </c>
    </row>
    <row r="762" spans="2:24" x14ac:dyDescent="0.3">
      <c r="B762" t="s">
        <v>855</v>
      </c>
      <c r="C762" t="s">
        <v>90</v>
      </c>
      <c r="D762" t="s">
        <v>3</v>
      </c>
      <c r="E762" t="s">
        <v>16</v>
      </c>
      <c r="F762" t="s">
        <v>9</v>
      </c>
      <c r="G762" t="s">
        <v>101</v>
      </c>
      <c r="H762">
        <v>2024</v>
      </c>
      <c r="I762">
        <v>3905</v>
      </c>
      <c r="J762">
        <v>8.1</v>
      </c>
      <c r="K762" t="s">
        <v>22</v>
      </c>
      <c r="L762">
        <v>11.1</v>
      </c>
      <c r="M762">
        <v>9.1999999999999993</v>
      </c>
      <c r="N762">
        <v>932</v>
      </c>
      <c r="O762" t="s">
        <v>55</v>
      </c>
      <c r="P762">
        <v>63.8</v>
      </c>
      <c r="Q762" t="s">
        <v>79</v>
      </c>
      <c r="R762">
        <v>-20.2</v>
      </c>
      <c r="S762">
        <v>49.7</v>
      </c>
      <c r="T762">
        <v>22.2</v>
      </c>
      <c r="U762">
        <v>8.5</v>
      </c>
      <c r="V762">
        <v>6.4</v>
      </c>
      <c r="W762">
        <v>7.1</v>
      </c>
      <c r="X762" t="s">
        <v>116</v>
      </c>
    </row>
    <row r="763" spans="2:24" x14ac:dyDescent="0.3">
      <c r="B763" t="s">
        <v>856</v>
      </c>
      <c r="C763" t="s">
        <v>137</v>
      </c>
      <c r="D763" t="s">
        <v>3</v>
      </c>
      <c r="E763" t="s">
        <v>16</v>
      </c>
      <c r="F763" t="s">
        <v>10</v>
      </c>
      <c r="G763" t="s">
        <v>104</v>
      </c>
      <c r="H763">
        <v>2026</v>
      </c>
      <c r="I763">
        <v>310</v>
      </c>
      <c r="J763">
        <v>9.1999999999999993</v>
      </c>
      <c r="K763" t="s">
        <v>22</v>
      </c>
      <c r="L763">
        <v>10.9</v>
      </c>
      <c r="M763">
        <v>10</v>
      </c>
      <c r="N763">
        <v>4388</v>
      </c>
      <c r="O763" t="s">
        <v>55</v>
      </c>
      <c r="P763">
        <v>88.8</v>
      </c>
      <c r="Q763" t="s">
        <v>56</v>
      </c>
      <c r="R763">
        <v>2.9</v>
      </c>
      <c r="S763">
        <v>25.6</v>
      </c>
      <c r="T763">
        <v>18.3</v>
      </c>
      <c r="U763">
        <v>7.1</v>
      </c>
      <c r="V763">
        <v>7</v>
      </c>
      <c r="W763">
        <v>5</v>
      </c>
      <c r="X763" t="s">
        <v>116</v>
      </c>
    </row>
    <row r="764" spans="2:24" x14ac:dyDescent="0.3">
      <c r="B764" t="s">
        <v>857</v>
      </c>
      <c r="C764" t="s">
        <v>27</v>
      </c>
      <c r="D764" t="s">
        <v>2</v>
      </c>
      <c r="E764" t="s">
        <v>16</v>
      </c>
      <c r="F764" t="s">
        <v>10</v>
      </c>
      <c r="G764" t="s">
        <v>101</v>
      </c>
      <c r="H764">
        <v>2026</v>
      </c>
      <c r="I764">
        <v>8058</v>
      </c>
      <c r="J764">
        <v>36.5</v>
      </c>
      <c r="K764" t="s">
        <v>25</v>
      </c>
      <c r="L764">
        <v>11.1</v>
      </c>
      <c r="M764">
        <v>10</v>
      </c>
      <c r="N764">
        <v>2666</v>
      </c>
      <c r="O764" t="s">
        <v>75</v>
      </c>
      <c r="P764">
        <v>32.299999999999997</v>
      </c>
      <c r="Q764" t="s">
        <v>56</v>
      </c>
      <c r="R764">
        <v>-1.8</v>
      </c>
      <c r="S764">
        <v>27.1</v>
      </c>
      <c r="T764">
        <v>4.8</v>
      </c>
      <c r="U764">
        <v>9.9</v>
      </c>
      <c r="V764">
        <v>5.7</v>
      </c>
      <c r="W764">
        <v>2.8</v>
      </c>
      <c r="X764" t="s">
        <v>66</v>
      </c>
    </row>
    <row r="765" spans="2:24" x14ac:dyDescent="0.3">
      <c r="B765" t="s">
        <v>858</v>
      </c>
      <c r="C765" t="s">
        <v>73</v>
      </c>
      <c r="D765" t="s">
        <v>2</v>
      </c>
      <c r="E765" t="s">
        <v>16</v>
      </c>
      <c r="F765" t="s">
        <v>11</v>
      </c>
      <c r="G765" t="s">
        <v>101</v>
      </c>
      <c r="H765">
        <v>2024</v>
      </c>
      <c r="I765">
        <v>4661</v>
      </c>
      <c r="J765">
        <v>2.8</v>
      </c>
      <c r="K765" t="s">
        <v>21</v>
      </c>
      <c r="L765">
        <v>6.4</v>
      </c>
      <c r="M765">
        <v>3.1</v>
      </c>
      <c r="N765">
        <v>6864</v>
      </c>
      <c r="O765" t="s">
        <v>118</v>
      </c>
      <c r="P765">
        <v>17.8</v>
      </c>
      <c r="Q765" t="s">
        <v>56</v>
      </c>
      <c r="R765">
        <v>88.4</v>
      </c>
      <c r="S765">
        <v>6.8</v>
      </c>
      <c r="T765">
        <v>5.0999999999999996</v>
      </c>
      <c r="U765">
        <v>6.3</v>
      </c>
      <c r="V765">
        <v>6.8</v>
      </c>
      <c r="W765">
        <v>8.1</v>
      </c>
      <c r="X765" t="s">
        <v>116</v>
      </c>
    </row>
    <row r="766" spans="2:24" x14ac:dyDescent="0.3">
      <c r="B766" t="s">
        <v>859</v>
      </c>
      <c r="C766" t="s">
        <v>71</v>
      </c>
      <c r="D766" t="s">
        <v>6</v>
      </c>
      <c r="E766" t="s">
        <v>19</v>
      </c>
      <c r="F766" t="s">
        <v>12</v>
      </c>
      <c r="G766" t="s">
        <v>69</v>
      </c>
      <c r="H766">
        <v>2024</v>
      </c>
      <c r="I766">
        <v>404</v>
      </c>
      <c r="J766">
        <v>2.7</v>
      </c>
      <c r="K766" t="s">
        <v>22</v>
      </c>
      <c r="L766">
        <v>7.4</v>
      </c>
      <c r="M766">
        <v>5.6</v>
      </c>
      <c r="N766">
        <v>3773</v>
      </c>
      <c r="O766" t="s">
        <v>55</v>
      </c>
      <c r="P766">
        <v>50.8</v>
      </c>
      <c r="Q766" t="s">
        <v>86</v>
      </c>
      <c r="R766">
        <v>-29.4</v>
      </c>
      <c r="S766">
        <v>-7</v>
      </c>
      <c r="T766">
        <v>-7</v>
      </c>
      <c r="U766">
        <v>9.3000000000000007</v>
      </c>
      <c r="V766">
        <v>5.7</v>
      </c>
      <c r="W766">
        <v>7.4</v>
      </c>
      <c r="X766" t="s">
        <v>57</v>
      </c>
    </row>
    <row r="767" spans="2:24" x14ac:dyDescent="0.3">
      <c r="B767" t="s">
        <v>860</v>
      </c>
      <c r="C767" t="s">
        <v>139</v>
      </c>
      <c r="D767" t="s">
        <v>8</v>
      </c>
      <c r="E767" t="s">
        <v>17</v>
      </c>
      <c r="F767" t="s">
        <v>11</v>
      </c>
      <c r="G767" t="s">
        <v>69</v>
      </c>
      <c r="H767">
        <v>2026</v>
      </c>
      <c r="I767">
        <v>3958</v>
      </c>
      <c r="J767">
        <v>9</v>
      </c>
      <c r="K767" t="s">
        <v>24</v>
      </c>
      <c r="L767">
        <v>1.7</v>
      </c>
      <c r="M767">
        <v>2.4</v>
      </c>
      <c r="N767">
        <v>5432</v>
      </c>
      <c r="O767" t="s">
        <v>55</v>
      </c>
      <c r="P767">
        <v>34.1</v>
      </c>
      <c r="Q767" t="s">
        <v>88</v>
      </c>
      <c r="R767">
        <v>11.9</v>
      </c>
      <c r="S767">
        <v>22.8</v>
      </c>
      <c r="T767">
        <v>9.8000000000000007</v>
      </c>
      <c r="U767">
        <v>1</v>
      </c>
      <c r="V767">
        <v>5.5</v>
      </c>
      <c r="W767">
        <v>6.4</v>
      </c>
      <c r="X767" t="s">
        <v>116</v>
      </c>
    </row>
    <row r="768" spans="2:24" x14ac:dyDescent="0.3">
      <c r="B768" t="s">
        <v>861</v>
      </c>
      <c r="C768" t="s">
        <v>106</v>
      </c>
      <c r="D768" t="s">
        <v>2</v>
      </c>
      <c r="E768" t="s">
        <v>15</v>
      </c>
      <c r="F768" t="s">
        <v>10</v>
      </c>
      <c r="G768" t="s">
        <v>115</v>
      </c>
      <c r="H768">
        <v>2026</v>
      </c>
      <c r="I768">
        <v>1038</v>
      </c>
      <c r="J768">
        <v>2.9</v>
      </c>
      <c r="K768" t="s">
        <v>23</v>
      </c>
      <c r="L768">
        <v>6</v>
      </c>
      <c r="M768">
        <v>9.3000000000000007</v>
      </c>
      <c r="N768">
        <v>8309</v>
      </c>
      <c r="O768" t="s">
        <v>118</v>
      </c>
      <c r="P768">
        <v>23.8</v>
      </c>
      <c r="Q768" t="s">
        <v>56</v>
      </c>
      <c r="R768">
        <v>23.7</v>
      </c>
      <c r="S768">
        <v>-12.5</v>
      </c>
      <c r="T768">
        <v>6.1</v>
      </c>
      <c r="U768">
        <v>7.1</v>
      </c>
      <c r="V768">
        <v>4.8</v>
      </c>
      <c r="W768">
        <v>5.5</v>
      </c>
      <c r="X768" t="s">
        <v>57</v>
      </c>
    </row>
    <row r="769" spans="2:24" x14ac:dyDescent="0.3">
      <c r="B769" t="s">
        <v>862</v>
      </c>
      <c r="C769" t="s">
        <v>100</v>
      </c>
      <c r="D769" t="s">
        <v>3</v>
      </c>
      <c r="E769" t="s">
        <v>19</v>
      </c>
      <c r="F769" t="s">
        <v>11</v>
      </c>
      <c r="G769" t="s">
        <v>74</v>
      </c>
      <c r="H769">
        <v>2024</v>
      </c>
      <c r="I769">
        <v>5637</v>
      </c>
      <c r="J769">
        <v>18</v>
      </c>
      <c r="K769" t="s">
        <v>21</v>
      </c>
      <c r="L769">
        <v>9.6</v>
      </c>
      <c r="M769">
        <v>10</v>
      </c>
      <c r="N769">
        <v>596</v>
      </c>
      <c r="O769" t="s">
        <v>64</v>
      </c>
      <c r="P769">
        <v>70.8</v>
      </c>
      <c r="Q769" t="s">
        <v>125</v>
      </c>
      <c r="R769">
        <v>18</v>
      </c>
      <c r="S769">
        <v>50.2</v>
      </c>
      <c r="T769">
        <v>23.6</v>
      </c>
      <c r="U769">
        <v>6.5</v>
      </c>
      <c r="V769">
        <v>7.8</v>
      </c>
      <c r="W769">
        <v>4.8</v>
      </c>
      <c r="X769" t="s">
        <v>116</v>
      </c>
    </row>
    <row r="770" spans="2:24" x14ac:dyDescent="0.3">
      <c r="B770" t="s">
        <v>863</v>
      </c>
      <c r="C770" t="s">
        <v>71</v>
      </c>
      <c r="D770" t="s">
        <v>5</v>
      </c>
      <c r="E770" t="s">
        <v>19</v>
      </c>
      <c r="F770" t="s">
        <v>11</v>
      </c>
      <c r="G770" t="s">
        <v>112</v>
      </c>
      <c r="H770">
        <v>2025</v>
      </c>
      <c r="I770">
        <v>3246</v>
      </c>
      <c r="J770">
        <v>11.3</v>
      </c>
      <c r="K770" t="s">
        <v>25</v>
      </c>
      <c r="L770">
        <v>14.1</v>
      </c>
      <c r="M770">
        <v>10</v>
      </c>
      <c r="N770">
        <v>1390</v>
      </c>
      <c r="O770" t="s">
        <v>55</v>
      </c>
      <c r="P770">
        <v>28.8</v>
      </c>
      <c r="Q770" t="s">
        <v>56</v>
      </c>
      <c r="R770">
        <v>75.900000000000006</v>
      </c>
      <c r="S770">
        <v>39.200000000000003</v>
      </c>
      <c r="T770">
        <v>23.3</v>
      </c>
      <c r="U770">
        <v>8.6</v>
      </c>
      <c r="V770">
        <v>8.4</v>
      </c>
      <c r="W770">
        <v>7</v>
      </c>
      <c r="X770" t="s">
        <v>116</v>
      </c>
    </row>
    <row r="771" spans="2:24" x14ac:dyDescent="0.3">
      <c r="B771" t="s">
        <v>864</v>
      </c>
      <c r="C771" t="s">
        <v>90</v>
      </c>
      <c r="D771" t="s">
        <v>5</v>
      </c>
      <c r="E771" t="s">
        <v>17</v>
      </c>
      <c r="F771" t="s">
        <v>11</v>
      </c>
      <c r="G771" t="s">
        <v>131</v>
      </c>
      <c r="H771">
        <v>2026</v>
      </c>
      <c r="I771">
        <v>10353</v>
      </c>
      <c r="J771">
        <v>20.9</v>
      </c>
      <c r="K771" t="s">
        <v>25</v>
      </c>
      <c r="L771">
        <v>2.6</v>
      </c>
      <c r="M771">
        <v>5.9</v>
      </c>
      <c r="N771">
        <v>1417</v>
      </c>
      <c r="O771" t="s">
        <v>75</v>
      </c>
      <c r="P771">
        <v>29.4</v>
      </c>
      <c r="Q771" t="s">
        <v>56</v>
      </c>
      <c r="R771">
        <v>-21.3</v>
      </c>
      <c r="S771">
        <v>47.6</v>
      </c>
      <c r="T771">
        <v>17.8</v>
      </c>
      <c r="U771">
        <v>1.9</v>
      </c>
      <c r="V771">
        <v>5.5</v>
      </c>
      <c r="W771">
        <v>6.6</v>
      </c>
      <c r="X771" t="s">
        <v>66</v>
      </c>
    </row>
    <row r="772" spans="2:24" x14ac:dyDescent="0.3">
      <c r="B772" t="s">
        <v>865</v>
      </c>
      <c r="C772" t="s">
        <v>90</v>
      </c>
      <c r="D772" t="s">
        <v>6</v>
      </c>
      <c r="E772" t="s">
        <v>18</v>
      </c>
      <c r="F772" t="s">
        <v>9</v>
      </c>
      <c r="G772" t="s">
        <v>101</v>
      </c>
      <c r="H772">
        <v>2026</v>
      </c>
      <c r="I772">
        <v>2406</v>
      </c>
      <c r="J772">
        <v>8.4</v>
      </c>
      <c r="K772" t="s">
        <v>21</v>
      </c>
      <c r="L772">
        <v>11.5</v>
      </c>
      <c r="M772">
        <v>7.6</v>
      </c>
      <c r="N772">
        <v>534</v>
      </c>
      <c r="O772" t="s">
        <v>55</v>
      </c>
      <c r="P772">
        <v>79.8</v>
      </c>
      <c r="Q772" t="s">
        <v>84</v>
      </c>
      <c r="R772">
        <v>24.5</v>
      </c>
      <c r="S772">
        <v>-20.7</v>
      </c>
      <c r="T772">
        <v>-5.2</v>
      </c>
      <c r="U772">
        <v>7.4</v>
      </c>
      <c r="V772">
        <v>5</v>
      </c>
      <c r="W772">
        <v>4.4000000000000004</v>
      </c>
      <c r="X772" t="s">
        <v>57</v>
      </c>
    </row>
    <row r="773" spans="2:24" x14ac:dyDescent="0.3">
      <c r="B773" t="s">
        <v>866</v>
      </c>
      <c r="C773" t="s">
        <v>27</v>
      </c>
      <c r="D773" t="s">
        <v>2</v>
      </c>
      <c r="E773" t="s">
        <v>14</v>
      </c>
      <c r="F773" t="s">
        <v>11</v>
      </c>
      <c r="G773" t="s">
        <v>69</v>
      </c>
      <c r="H773">
        <v>2025</v>
      </c>
      <c r="I773">
        <v>524</v>
      </c>
      <c r="J773">
        <v>7.3</v>
      </c>
      <c r="K773" t="s">
        <v>21</v>
      </c>
      <c r="L773">
        <v>5.9</v>
      </c>
      <c r="M773">
        <v>6.1</v>
      </c>
      <c r="N773">
        <v>6988</v>
      </c>
      <c r="O773" t="s">
        <v>55</v>
      </c>
      <c r="P773">
        <v>45.7</v>
      </c>
      <c r="Q773" t="s">
        <v>76</v>
      </c>
      <c r="R773">
        <v>8.1999999999999993</v>
      </c>
      <c r="S773">
        <v>30.6</v>
      </c>
      <c r="T773">
        <v>11.5</v>
      </c>
      <c r="U773">
        <v>4.3</v>
      </c>
      <c r="V773">
        <v>7.7</v>
      </c>
      <c r="W773">
        <v>6</v>
      </c>
      <c r="X773" t="s">
        <v>57</v>
      </c>
    </row>
    <row r="774" spans="2:24" x14ac:dyDescent="0.3">
      <c r="B774" t="s">
        <v>867</v>
      </c>
      <c r="C774" t="s">
        <v>106</v>
      </c>
      <c r="D774" t="s">
        <v>8</v>
      </c>
      <c r="E774" t="s">
        <v>16</v>
      </c>
      <c r="F774" t="s">
        <v>9</v>
      </c>
      <c r="G774" t="s">
        <v>78</v>
      </c>
      <c r="H774">
        <v>2026</v>
      </c>
      <c r="I774">
        <v>6532</v>
      </c>
      <c r="J774">
        <v>8.8000000000000007</v>
      </c>
      <c r="K774" t="s">
        <v>21</v>
      </c>
      <c r="L774">
        <v>1.7</v>
      </c>
      <c r="M774">
        <v>3.9</v>
      </c>
      <c r="N774">
        <v>1972</v>
      </c>
      <c r="O774" t="s">
        <v>64</v>
      </c>
      <c r="P774">
        <v>52.1</v>
      </c>
      <c r="Q774" t="s">
        <v>56</v>
      </c>
      <c r="R774">
        <v>50.8</v>
      </c>
      <c r="S774">
        <v>49.7</v>
      </c>
      <c r="T774">
        <v>18</v>
      </c>
      <c r="U774">
        <v>2.7</v>
      </c>
      <c r="V774">
        <v>6.7</v>
      </c>
      <c r="W774">
        <v>7.5</v>
      </c>
      <c r="X774" t="s">
        <v>116</v>
      </c>
    </row>
    <row r="775" spans="2:24" x14ac:dyDescent="0.3">
      <c r="B775" t="s">
        <v>868</v>
      </c>
      <c r="C775" t="s">
        <v>53</v>
      </c>
      <c r="D775" t="s">
        <v>2</v>
      </c>
      <c r="E775" t="s">
        <v>14</v>
      </c>
      <c r="F775" t="s">
        <v>9</v>
      </c>
      <c r="G775" t="s">
        <v>115</v>
      </c>
      <c r="H775">
        <v>2026</v>
      </c>
      <c r="I775">
        <v>2197</v>
      </c>
      <c r="J775">
        <v>5.6</v>
      </c>
      <c r="K775" t="s">
        <v>24</v>
      </c>
      <c r="L775">
        <v>9.6999999999999993</v>
      </c>
      <c r="M775">
        <v>10</v>
      </c>
      <c r="N775">
        <v>5755</v>
      </c>
      <c r="O775" t="s">
        <v>55</v>
      </c>
      <c r="P775">
        <v>47.2</v>
      </c>
      <c r="Q775" t="s">
        <v>76</v>
      </c>
      <c r="R775">
        <v>-11.2</v>
      </c>
      <c r="S775">
        <v>12.5</v>
      </c>
      <c r="T775">
        <v>12.5</v>
      </c>
      <c r="U775">
        <v>6.2</v>
      </c>
      <c r="V775">
        <v>8.3000000000000007</v>
      </c>
      <c r="W775">
        <v>6.7</v>
      </c>
      <c r="X775" t="s">
        <v>57</v>
      </c>
    </row>
    <row r="776" spans="2:24" x14ac:dyDescent="0.3">
      <c r="B776" t="s">
        <v>869</v>
      </c>
      <c r="C776" t="s">
        <v>159</v>
      </c>
      <c r="D776" t="s">
        <v>2</v>
      </c>
      <c r="E776" t="s">
        <v>17</v>
      </c>
      <c r="F776" t="s">
        <v>10</v>
      </c>
      <c r="G776" t="s">
        <v>69</v>
      </c>
      <c r="H776">
        <v>2025</v>
      </c>
      <c r="I776">
        <v>1540</v>
      </c>
      <c r="J776">
        <v>8.4</v>
      </c>
      <c r="K776" t="s">
        <v>22</v>
      </c>
      <c r="L776">
        <v>2.1</v>
      </c>
      <c r="M776">
        <v>3.5</v>
      </c>
      <c r="N776">
        <v>1417</v>
      </c>
      <c r="O776" t="s">
        <v>75</v>
      </c>
      <c r="P776">
        <v>35</v>
      </c>
      <c r="Q776" t="s">
        <v>56</v>
      </c>
      <c r="R776">
        <v>-1.2</v>
      </c>
      <c r="S776">
        <v>-18.3</v>
      </c>
      <c r="T776">
        <v>-0.2</v>
      </c>
      <c r="U776">
        <v>2.4</v>
      </c>
      <c r="V776">
        <v>4.0999999999999996</v>
      </c>
      <c r="W776">
        <v>6.8</v>
      </c>
      <c r="X776" t="s">
        <v>57</v>
      </c>
    </row>
    <row r="777" spans="2:24" x14ac:dyDescent="0.3">
      <c r="B777" t="s">
        <v>870</v>
      </c>
      <c r="C777" t="s">
        <v>59</v>
      </c>
      <c r="D777" t="s">
        <v>4</v>
      </c>
      <c r="E777" t="s">
        <v>19</v>
      </c>
      <c r="F777" t="s">
        <v>12</v>
      </c>
      <c r="G777" t="s">
        <v>104</v>
      </c>
      <c r="H777">
        <v>2024</v>
      </c>
      <c r="I777">
        <v>2056</v>
      </c>
      <c r="J777">
        <v>2.9</v>
      </c>
      <c r="K777" t="s">
        <v>24</v>
      </c>
      <c r="L777">
        <v>1</v>
      </c>
      <c r="M777">
        <v>2.9</v>
      </c>
      <c r="N777">
        <v>2362</v>
      </c>
      <c r="O777" t="s">
        <v>64</v>
      </c>
      <c r="P777">
        <v>30</v>
      </c>
      <c r="Q777" t="s">
        <v>88</v>
      </c>
      <c r="R777">
        <v>-3.5</v>
      </c>
      <c r="S777">
        <v>21.3</v>
      </c>
      <c r="T777">
        <v>2</v>
      </c>
      <c r="U777">
        <v>1.1000000000000001</v>
      </c>
      <c r="V777">
        <v>6</v>
      </c>
      <c r="W777">
        <v>8.6</v>
      </c>
      <c r="X777" t="s">
        <v>57</v>
      </c>
    </row>
    <row r="778" spans="2:24" x14ac:dyDescent="0.3">
      <c r="B778" t="s">
        <v>871</v>
      </c>
      <c r="C778" t="s">
        <v>106</v>
      </c>
      <c r="D778" t="s">
        <v>4</v>
      </c>
      <c r="E778" t="s">
        <v>18</v>
      </c>
      <c r="F778" t="s">
        <v>10</v>
      </c>
      <c r="G778" t="s">
        <v>115</v>
      </c>
      <c r="H778">
        <v>2025</v>
      </c>
      <c r="I778">
        <v>1871</v>
      </c>
      <c r="J778">
        <v>7.2</v>
      </c>
      <c r="K778" t="s">
        <v>22</v>
      </c>
      <c r="L778">
        <v>5</v>
      </c>
      <c r="M778">
        <v>7.8</v>
      </c>
      <c r="N778">
        <v>3738</v>
      </c>
      <c r="O778" t="s">
        <v>55</v>
      </c>
      <c r="P778">
        <v>47.8</v>
      </c>
      <c r="Q778" t="s">
        <v>79</v>
      </c>
      <c r="R778">
        <v>-14</v>
      </c>
      <c r="S778">
        <v>30.1</v>
      </c>
      <c r="T778">
        <v>21</v>
      </c>
      <c r="U778">
        <v>6.8</v>
      </c>
      <c r="V778">
        <v>6.6</v>
      </c>
      <c r="W778">
        <v>6.9</v>
      </c>
      <c r="X778" t="s">
        <v>57</v>
      </c>
    </row>
    <row r="779" spans="2:24" x14ac:dyDescent="0.3">
      <c r="B779" t="s">
        <v>872</v>
      </c>
      <c r="C779" t="s">
        <v>159</v>
      </c>
      <c r="D779" t="s">
        <v>2</v>
      </c>
      <c r="E779" t="s">
        <v>19</v>
      </c>
      <c r="F779" t="s">
        <v>9</v>
      </c>
      <c r="G779" t="s">
        <v>115</v>
      </c>
      <c r="H779">
        <v>2025</v>
      </c>
      <c r="I779">
        <v>859</v>
      </c>
      <c r="J779">
        <v>8</v>
      </c>
      <c r="K779" t="s">
        <v>23</v>
      </c>
      <c r="L779">
        <v>2</v>
      </c>
      <c r="M779">
        <v>3.8</v>
      </c>
      <c r="N779">
        <v>6473</v>
      </c>
      <c r="O779" t="s">
        <v>55</v>
      </c>
      <c r="P779">
        <v>40</v>
      </c>
      <c r="Q779" t="s">
        <v>56</v>
      </c>
      <c r="R779">
        <v>89.8</v>
      </c>
      <c r="S779">
        <v>51.4</v>
      </c>
      <c r="T779">
        <v>24.3</v>
      </c>
      <c r="U779">
        <v>1.3</v>
      </c>
      <c r="V779">
        <v>8.9</v>
      </c>
      <c r="W779">
        <v>8.3000000000000007</v>
      </c>
      <c r="X779" t="s">
        <v>57</v>
      </c>
    </row>
    <row r="780" spans="2:24" x14ac:dyDescent="0.3">
      <c r="B780" t="s">
        <v>873</v>
      </c>
      <c r="C780" t="s">
        <v>59</v>
      </c>
      <c r="D780" t="s">
        <v>4</v>
      </c>
      <c r="E780" t="s">
        <v>18</v>
      </c>
      <c r="F780" t="s">
        <v>10</v>
      </c>
      <c r="G780" t="s">
        <v>131</v>
      </c>
      <c r="H780">
        <v>2024</v>
      </c>
      <c r="I780">
        <v>1387</v>
      </c>
      <c r="J780">
        <v>7</v>
      </c>
      <c r="K780" t="s">
        <v>21</v>
      </c>
      <c r="L780">
        <v>14.2</v>
      </c>
      <c r="M780">
        <v>10</v>
      </c>
      <c r="N780">
        <v>5582</v>
      </c>
      <c r="O780" t="s">
        <v>55</v>
      </c>
      <c r="P780">
        <v>44</v>
      </c>
      <c r="Q780" t="s">
        <v>79</v>
      </c>
      <c r="R780">
        <v>-6.4</v>
      </c>
      <c r="S780">
        <v>14.3</v>
      </c>
      <c r="T780">
        <v>1</v>
      </c>
      <c r="U780">
        <v>9</v>
      </c>
      <c r="V780">
        <v>7.7</v>
      </c>
      <c r="W780">
        <v>5.5</v>
      </c>
      <c r="X780" t="s">
        <v>116</v>
      </c>
    </row>
    <row r="781" spans="2:24" x14ac:dyDescent="0.3">
      <c r="B781" t="s">
        <v>874</v>
      </c>
      <c r="C781" t="s">
        <v>68</v>
      </c>
      <c r="D781" t="s">
        <v>8</v>
      </c>
      <c r="E781" t="s">
        <v>17</v>
      </c>
      <c r="F781" t="s">
        <v>10</v>
      </c>
      <c r="G781" t="s">
        <v>98</v>
      </c>
      <c r="H781">
        <v>2025</v>
      </c>
      <c r="I781">
        <v>2441</v>
      </c>
      <c r="J781">
        <v>8.3000000000000007</v>
      </c>
      <c r="K781" t="s">
        <v>23</v>
      </c>
      <c r="L781">
        <v>9.1</v>
      </c>
      <c r="M781">
        <v>10</v>
      </c>
      <c r="N781">
        <v>2770</v>
      </c>
      <c r="O781" t="s">
        <v>55</v>
      </c>
      <c r="P781">
        <v>54.1</v>
      </c>
      <c r="Q781" t="s">
        <v>76</v>
      </c>
      <c r="R781">
        <v>-37.299999999999997</v>
      </c>
      <c r="S781">
        <v>-17.5</v>
      </c>
      <c r="T781">
        <v>-7.1</v>
      </c>
      <c r="U781">
        <v>9.5</v>
      </c>
      <c r="V781">
        <v>4.3</v>
      </c>
      <c r="W781">
        <v>4.5999999999999996</v>
      </c>
      <c r="X781" t="s">
        <v>57</v>
      </c>
    </row>
    <row r="782" spans="2:24" x14ac:dyDescent="0.3">
      <c r="B782" t="s">
        <v>875</v>
      </c>
      <c r="C782" t="s">
        <v>68</v>
      </c>
      <c r="D782" t="s">
        <v>8</v>
      </c>
      <c r="E782" t="s">
        <v>17</v>
      </c>
      <c r="F782" t="s">
        <v>9</v>
      </c>
      <c r="G782" t="s">
        <v>69</v>
      </c>
      <c r="H782">
        <v>2026</v>
      </c>
      <c r="I782">
        <v>1859</v>
      </c>
      <c r="J782">
        <v>15.4</v>
      </c>
      <c r="K782" t="s">
        <v>23</v>
      </c>
      <c r="L782">
        <v>2.9</v>
      </c>
      <c r="M782">
        <v>6.8</v>
      </c>
      <c r="N782">
        <v>5695</v>
      </c>
      <c r="O782" t="s">
        <v>64</v>
      </c>
      <c r="P782">
        <v>60.9</v>
      </c>
      <c r="Q782" t="s">
        <v>88</v>
      </c>
      <c r="R782">
        <v>71.8</v>
      </c>
      <c r="S782">
        <v>-0.8</v>
      </c>
      <c r="T782">
        <v>-6.2</v>
      </c>
      <c r="U782">
        <v>2.8</v>
      </c>
      <c r="V782">
        <v>5.9</v>
      </c>
      <c r="W782">
        <v>5</v>
      </c>
      <c r="X782" t="s">
        <v>116</v>
      </c>
    </row>
    <row r="783" spans="2:24" x14ac:dyDescent="0.3">
      <c r="B783" t="s">
        <v>876</v>
      </c>
      <c r="C783" t="s">
        <v>106</v>
      </c>
      <c r="D783" t="s">
        <v>4</v>
      </c>
      <c r="E783" t="s">
        <v>18</v>
      </c>
      <c r="F783" t="s">
        <v>9</v>
      </c>
      <c r="G783" t="s">
        <v>63</v>
      </c>
      <c r="H783">
        <v>2024</v>
      </c>
      <c r="I783">
        <v>5047</v>
      </c>
      <c r="J783">
        <v>3.5</v>
      </c>
      <c r="K783" t="s">
        <v>24</v>
      </c>
      <c r="L783">
        <v>12.8</v>
      </c>
      <c r="M783">
        <v>9.9</v>
      </c>
      <c r="N783">
        <v>5672</v>
      </c>
      <c r="O783" t="s">
        <v>118</v>
      </c>
      <c r="P783">
        <v>51.6</v>
      </c>
      <c r="Q783" t="s">
        <v>79</v>
      </c>
      <c r="R783">
        <v>-34.6</v>
      </c>
      <c r="S783">
        <v>-13.7</v>
      </c>
      <c r="T783">
        <v>-11.4</v>
      </c>
      <c r="U783">
        <v>9.8000000000000007</v>
      </c>
      <c r="V783">
        <v>8.3000000000000007</v>
      </c>
      <c r="W783">
        <v>5.8</v>
      </c>
      <c r="X783" t="s">
        <v>116</v>
      </c>
    </row>
    <row r="784" spans="2:24" x14ac:dyDescent="0.3">
      <c r="B784" t="s">
        <v>877</v>
      </c>
      <c r="C784" t="s">
        <v>159</v>
      </c>
      <c r="D784" t="s">
        <v>7</v>
      </c>
      <c r="E784" t="s">
        <v>15</v>
      </c>
      <c r="F784" t="s">
        <v>9</v>
      </c>
      <c r="G784" t="s">
        <v>112</v>
      </c>
      <c r="H784">
        <v>2024</v>
      </c>
      <c r="I784">
        <v>3979</v>
      </c>
      <c r="J784">
        <v>19.2</v>
      </c>
      <c r="K784" t="s">
        <v>23</v>
      </c>
      <c r="L784">
        <v>14.7</v>
      </c>
      <c r="M784">
        <v>9.8000000000000007</v>
      </c>
      <c r="N784">
        <v>1795</v>
      </c>
      <c r="O784" t="s">
        <v>64</v>
      </c>
      <c r="P784">
        <v>14.9</v>
      </c>
      <c r="Q784" t="s">
        <v>56</v>
      </c>
      <c r="R784">
        <v>81.3</v>
      </c>
      <c r="S784">
        <v>38.1</v>
      </c>
      <c r="T784">
        <v>17.8</v>
      </c>
      <c r="U784">
        <v>9.1999999999999993</v>
      </c>
      <c r="V784">
        <v>6.4</v>
      </c>
      <c r="W784">
        <v>4.7</v>
      </c>
      <c r="X784" t="s">
        <v>66</v>
      </c>
    </row>
    <row r="785" spans="2:24" x14ac:dyDescent="0.3">
      <c r="B785" t="s">
        <v>878</v>
      </c>
      <c r="C785" t="s">
        <v>90</v>
      </c>
      <c r="D785" t="s">
        <v>5</v>
      </c>
      <c r="E785" t="s">
        <v>14</v>
      </c>
      <c r="F785" t="s">
        <v>11</v>
      </c>
      <c r="G785" t="s">
        <v>131</v>
      </c>
      <c r="H785">
        <v>2025</v>
      </c>
      <c r="I785">
        <v>1344</v>
      </c>
      <c r="J785">
        <v>2.2999999999999998</v>
      </c>
      <c r="K785" t="s">
        <v>25</v>
      </c>
      <c r="L785">
        <v>1.6</v>
      </c>
      <c r="M785">
        <v>2</v>
      </c>
      <c r="N785">
        <v>4975</v>
      </c>
      <c r="O785" t="s">
        <v>55</v>
      </c>
      <c r="P785">
        <v>68</v>
      </c>
      <c r="Q785" t="s">
        <v>56</v>
      </c>
      <c r="R785">
        <v>84</v>
      </c>
      <c r="S785">
        <v>-24.3</v>
      </c>
      <c r="T785">
        <v>-5.0999999999999996</v>
      </c>
      <c r="U785">
        <v>2.6</v>
      </c>
      <c r="V785">
        <v>5.3</v>
      </c>
      <c r="W785">
        <v>6.6</v>
      </c>
      <c r="X785" t="s">
        <v>57</v>
      </c>
    </row>
    <row r="786" spans="2:24" x14ac:dyDescent="0.3">
      <c r="B786" t="s">
        <v>879</v>
      </c>
      <c r="C786" t="s">
        <v>100</v>
      </c>
      <c r="D786" t="s">
        <v>3</v>
      </c>
      <c r="E786" t="s">
        <v>15</v>
      </c>
      <c r="F786" t="s">
        <v>12</v>
      </c>
      <c r="G786" t="s">
        <v>74</v>
      </c>
      <c r="H786">
        <v>2026</v>
      </c>
      <c r="I786">
        <v>1819</v>
      </c>
      <c r="J786">
        <v>13.4</v>
      </c>
      <c r="K786" t="s">
        <v>22</v>
      </c>
      <c r="L786">
        <v>9.4</v>
      </c>
      <c r="M786">
        <v>10</v>
      </c>
      <c r="N786">
        <v>3805</v>
      </c>
      <c r="O786" t="s">
        <v>64</v>
      </c>
      <c r="P786">
        <v>22.5</v>
      </c>
      <c r="Q786" t="s">
        <v>125</v>
      </c>
      <c r="R786">
        <v>-3.1</v>
      </c>
      <c r="S786">
        <v>23.1</v>
      </c>
      <c r="T786">
        <v>7.4</v>
      </c>
      <c r="U786">
        <v>5.7</v>
      </c>
      <c r="V786">
        <v>7.4</v>
      </c>
      <c r="W786">
        <v>6.2</v>
      </c>
      <c r="X786" t="s">
        <v>116</v>
      </c>
    </row>
    <row r="787" spans="2:24" x14ac:dyDescent="0.3">
      <c r="B787" t="s">
        <v>880</v>
      </c>
      <c r="C787" t="s">
        <v>73</v>
      </c>
      <c r="D787" t="s">
        <v>2</v>
      </c>
      <c r="E787" t="s">
        <v>16</v>
      </c>
      <c r="F787" t="s">
        <v>11</v>
      </c>
      <c r="G787" t="s">
        <v>101</v>
      </c>
      <c r="H787">
        <v>2026</v>
      </c>
      <c r="I787">
        <v>995</v>
      </c>
      <c r="J787">
        <v>6.1</v>
      </c>
      <c r="K787" t="s">
        <v>23</v>
      </c>
      <c r="L787">
        <v>3.6</v>
      </c>
      <c r="M787">
        <v>5.7</v>
      </c>
      <c r="N787">
        <v>4723</v>
      </c>
      <c r="O787" t="s">
        <v>64</v>
      </c>
      <c r="P787">
        <v>78.099999999999994</v>
      </c>
      <c r="Q787" t="s">
        <v>56</v>
      </c>
      <c r="R787">
        <v>57.2</v>
      </c>
      <c r="S787">
        <v>26.2</v>
      </c>
      <c r="T787">
        <v>6.2</v>
      </c>
      <c r="U787">
        <v>2.8</v>
      </c>
      <c r="V787">
        <v>5.8</v>
      </c>
      <c r="W787">
        <v>6.8</v>
      </c>
      <c r="X787" t="s">
        <v>57</v>
      </c>
    </row>
    <row r="788" spans="2:24" x14ac:dyDescent="0.3">
      <c r="B788" t="s">
        <v>881</v>
      </c>
      <c r="C788" t="s">
        <v>27</v>
      </c>
      <c r="D788" t="s">
        <v>3</v>
      </c>
      <c r="E788" t="s">
        <v>16</v>
      </c>
      <c r="F788" t="s">
        <v>11</v>
      </c>
      <c r="G788" t="s">
        <v>98</v>
      </c>
      <c r="H788">
        <v>2026</v>
      </c>
      <c r="I788">
        <v>1363</v>
      </c>
      <c r="J788">
        <v>6.2</v>
      </c>
      <c r="K788" t="s">
        <v>24</v>
      </c>
      <c r="L788">
        <v>4.5</v>
      </c>
      <c r="M788">
        <v>8.1999999999999993</v>
      </c>
      <c r="N788">
        <v>5832</v>
      </c>
      <c r="O788" t="s">
        <v>55</v>
      </c>
      <c r="P788">
        <v>71.5</v>
      </c>
      <c r="Q788" t="s">
        <v>65</v>
      </c>
      <c r="R788">
        <v>-23.3</v>
      </c>
      <c r="S788">
        <v>53.1</v>
      </c>
      <c r="T788">
        <v>19.2</v>
      </c>
      <c r="U788">
        <v>5</v>
      </c>
      <c r="V788">
        <v>10</v>
      </c>
      <c r="W788">
        <v>7.1</v>
      </c>
      <c r="X788" t="s">
        <v>57</v>
      </c>
    </row>
    <row r="789" spans="2:24" x14ac:dyDescent="0.3">
      <c r="B789" t="s">
        <v>882</v>
      </c>
      <c r="C789" t="s">
        <v>106</v>
      </c>
      <c r="D789" t="s">
        <v>8</v>
      </c>
      <c r="E789" t="s">
        <v>17</v>
      </c>
      <c r="F789" t="s">
        <v>9</v>
      </c>
      <c r="G789" t="s">
        <v>131</v>
      </c>
      <c r="H789">
        <v>2024</v>
      </c>
      <c r="I789">
        <v>1717</v>
      </c>
      <c r="J789">
        <v>7.5</v>
      </c>
      <c r="K789" t="s">
        <v>23</v>
      </c>
      <c r="L789">
        <v>3.3</v>
      </c>
      <c r="M789">
        <v>3.7</v>
      </c>
      <c r="N789">
        <v>5836</v>
      </c>
      <c r="O789" t="s">
        <v>55</v>
      </c>
      <c r="P789">
        <v>77</v>
      </c>
      <c r="Q789" t="s">
        <v>125</v>
      </c>
      <c r="R789">
        <v>81.900000000000006</v>
      </c>
      <c r="S789">
        <v>23.4</v>
      </c>
      <c r="T789">
        <v>12.6</v>
      </c>
      <c r="U789">
        <v>3.8</v>
      </c>
      <c r="V789">
        <v>5.5</v>
      </c>
      <c r="W789">
        <v>7.2</v>
      </c>
      <c r="X789" t="s">
        <v>116</v>
      </c>
    </row>
    <row r="790" spans="2:24" x14ac:dyDescent="0.3">
      <c r="B790" t="s">
        <v>883</v>
      </c>
      <c r="C790" t="s">
        <v>92</v>
      </c>
      <c r="D790" t="s">
        <v>7</v>
      </c>
      <c r="E790" t="s">
        <v>15</v>
      </c>
      <c r="F790" t="s">
        <v>9</v>
      </c>
      <c r="G790" t="s">
        <v>54</v>
      </c>
      <c r="H790">
        <v>2024</v>
      </c>
      <c r="I790">
        <v>1685</v>
      </c>
      <c r="J790">
        <v>16.5</v>
      </c>
      <c r="K790" t="s">
        <v>24</v>
      </c>
      <c r="L790">
        <v>3.5</v>
      </c>
      <c r="M790">
        <v>6.6</v>
      </c>
      <c r="N790">
        <v>2010</v>
      </c>
      <c r="O790" t="s">
        <v>64</v>
      </c>
      <c r="P790">
        <v>87.2</v>
      </c>
      <c r="Q790" t="s">
        <v>79</v>
      </c>
      <c r="R790">
        <v>-23.4</v>
      </c>
      <c r="S790">
        <v>-1.5</v>
      </c>
      <c r="T790">
        <v>-3.5</v>
      </c>
      <c r="U790">
        <v>5.3</v>
      </c>
      <c r="V790">
        <v>4.4000000000000004</v>
      </c>
      <c r="W790">
        <v>4.7</v>
      </c>
      <c r="X790" t="s">
        <v>116</v>
      </c>
    </row>
    <row r="791" spans="2:24" x14ac:dyDescent="0.3">
      <c r="B791" t="s">
        <v>884</v>
      </c>
      <c r="C791" t="s">
        <v>94</v>
      </c>
      <c r="D791" t="s">
        <v>6</v>
      </c>
      <c r="E791" t="s">
        <v>15</v>
      </c>
      <c r="F791" t="s">
        <v>12</v>
      </c>
      <c r="G791" t="s">
        <v>54</v>
      </c>
      <c r="H791">
        <v>2026</v>
      </c>
      <c r="I791">
        <v>760</v>
      </c>
      <c r="J791">
        <v>9.4</v>
      </c>
      <c r="K791" t="s">
        <v>22</v>
      </c>
      <c r="L791">
        <v>1.4</v>
      </c>
      <c r="M791">
        <v>2.9</v>
      </c>
      <c r="N791">
        <v>2055</v>
      </c>
      <c r="O791" t="s">
        <v>64</v>
      </c>
      <c r="P791">
        <v>42</v>
      </c>
      <c r="Q791" t="s">
        <v>76</v>
      </c>
      <c r="R791">
        <v>4.9000000000000004</v>
      </c>
      <c r="S791">
        <v>27.2</v>
      </c>
      <c r="T791">
        <v>10.4</v>
      </c>
      <c r="U791">
        <v>1.9</v>
      </c>
      <c r="V791">
        <v>5.3</v>
      </c>
      <c r="W791">
        <v>6.4</v>
      </c>
      <c r="X791" t="s">
        <v>57</v>
      </c>
    </row>
    <row r="792" spans="2:24" x14ac:dyDescent="0.3">
      <c r="B792" t="s">
        <v>885</v>
      </c>
      <c r="C792" t="s">
        <v>122</v>
      </c>
      <c r="D792" t="s">
        <v>2</v>
      </c>
      <c r="E792" t="s">
        <v>14</v>
      </c>
      <c r="F792" t="s">
        <v>11</v>
      </c>
      <c r="G792" t="s">
        <v>115</v>
      </c>
      <c r="H792">
        <v>2026</v>
      </c>
      <c r="I792">
        <v>735</v>
      </c>
      <c r="J792">
        <v>0.5</v>
      </c>
      <c r="K792" t="s">
        <v>22</v>
      </c>
      <c r="L792">
        <v>5.6</v>
      </c>
      <c r="M792">
        <v>3.7</v>
      </c>
      <c r="N792">
        <v>7492</v>
      </c>
      <c r="O792" t="s">
        <v>118</v>
      </c>
      <c r="P792">
        <v>85.5</v>
      </c>
      <c r="Q792" t="s">
        <v>56</v>
      </c>
      <c r="R792">
        <v>-42.9</v>
      </c>
      <c r="S792">
        <v>37</v>
      </c>
      <c r="T792">
        <v>13.1</v>
      </c>
      <c r="U792">
        <v>5.9</v>
      </c>
      <c r="V792">
        <v>9.5</v>
      </c>
      <c r="W792">
        <v>8.9</v>
      </c>
      <c r="X792" t="s">
        <v>57</v>
      </c>
    </row>
    <row r="793" spans="2:24" x14ac:dyDescent="0.3">
      <c r="B793" t="s">
        <v>886</v>
      </c>
      <c r="C793" t="s">
        <v>122</v>
      </c>
      <c r="D793" t="s">
        <v>2</v>
      </c>
      <c r="E793" t="s">
        <v>18</v>
      </c>
      <c r="F793" t="s">
        <v>10</v>
      </c>
      <c r="G793" t="s">
        <v>131</v>
      </c>
      <c r="H793">
        <v>2024</v>
      </c>
      <c r="I793">
        <v>1270</v>
      </c>
      <c r="J793">
        <v>2.7</v>
      </c>
      <c r="K793" t="s">
        <v>23</v>
      </c>
      <c r="L793">
        <v>4.4000000000000004</v>
      </c>
      <c r="M793">
        <v>9.1999999999999993</v>
      </c>
      <c r="N793">
        <v>5896</v>
      </c>
      <c r="O793" t="s">
        <v>55</v>
      </c>
      <c r="P793">
        <v>50.9</v>
      </c>
      <c r="Q793" t="s">
        <v>76</v>
      </c>
      <c r="R793">
        <v>60.4</v>
      </c>
      <c r="S793">
        <v>41.1</v>
      </c>
      <c r="T793">
        <v>27.2</v>
      </c>
      <c r="U793">
        <v>4.8</v>
      </c>
      <c r="V793">
        <v>7.8</v>
      </c>
      <c r="W793">
        <v>6.4</v>
      </c>
      <c r="X793" t="s">
        <v>57</v>
      </c>
    </row>
    <row r="794" spans="2:24" x14ac:dyDescent="0.3">
      <c r="B794" t="s">
        <v>887</v>
      </c>
      <c r="C794" t="s">
        <v>106</v>
      </c>
      <c r="D794" t="s">
        <v>2</v>
      </c>
      <c r="E794" t="s">
        <v>15</v>
      </c>
      <c r="F794" t="s">
        <v>10</v>
      </c>
      <c r="G794" t="s">
        <v>78</v>
      </c>
      <c r="H794">
        <v>2025</v>
      </c>
      <c r="I794">
        <v>5337</v>
      </c>
      <c r="J794">
        <v>4.3</v>
      </c>
      <c r="K794" t="s">
        <v>22</v>
      </c>
      <c r="L794">
        <v>5.0999999999999996</v>
      </c>
      <c r="M794">
        <v>6.4</v>
      </c>
      <c r="N794">
        <v>2079</v>
      </c>
      <c r="O794" t="s">
        <v>55</v>
      </c>
      <c r="P794">
        <v>86.5</v>
      </c>
      <c r="Q794" t="s">
        <v>76</v>
      </c>
      <c r="R794">
        <v>41.3</v>
      </c>
      <c r="S794">
        <v>15.7</v>
      </c>
      <c r="T794">
        <v>0.6</v>
      </c>
      <c r="U794">
        <v>4.8</v>
      </c>
      <c r="V794">
        <v>5.5</v>
      </c>
      <c r="W794">
        <v>6.8</v>
      </c>
      <c r="X794" t="s">
        <v>116</v>
      </c>
    </row>
    <row r="795" spans="2:24" x14ac:dyDescent="0.3">
      <c r="B795" t="s">
        <v>888</v>
      </c>
      <c r="C795" t="s">
        <v>106</v>
      </c>
      <c r="D795" t="s">
        <v>2</v>
      </c>
      <c r="E795" t="s">
        <v>15</v>
      </c>
      <c r="F795" t="s">
        <v>9</v>
      </c>
      <c r="G795" t="s">
        <v>131</v>
      </c>
      <c r="H795">
        <v>2024</v>
      </c>
      <c r="I795">
        <v>4261</v>
      </c>
      <c r="J795">
        <v>11.7</v>
      </c>
      <c r="K795" t="s">
        <v>25</v>
      </c>
      <c r="L795">
        <v>12.1</v>
      </c>
      <c r="M795">
        <v>10</v>
      </c>
      <c r="N795">
        <v>5161</v>
      </c>
      <c r="O795" t="s">
        <v>55</v>
      </c>
      <c r="P795">
        <v>34.299999999999997</v>
      </c>
      <c r="Q795" t="s">
        <v>76</v>
      </c>
      <c r="R795">
        <v>-5.6</v>
      </c>
      <c r="S795">
        <v>21.3</v>
      </c>
      <c r="T795">
        <v>1.9</v>
      </c>
      <c r="U795">
        <v>9</v>
      </c>
      <c r="V795">
        <v>6.1</v>
      </c>
      <c r="W795">
        <v>4.5</v>
      </c>
      <c r="X795" t="s">
        <v>116</v>
      </c>
    </row>
    <row r="796" spans="2:24" x14ac:dyDescent="0.3">
      <c r="B796" t="s">
        <v>889</v>
      </c>
      <c r="C796" t="s">
        <v>68</v>
      </c>
      <c r="D796" t="s">
        <v>8</v>
      </c>
      <c r="E796" t="s">
        <v>14</v>
      </c>
      <c r="F796" t="s">
        <v>12</v>
      </c>
      <c r="G796" t="s">
        <v>98</v>
      </c>
      <c r="H796">
        <v>2024</v>
      </c>
      <c r="I796">
        <v>17840</v>
      </c>
      <c r="J796">
        <v>16.8</v>
      </c>
      <c r="K796" t="s">
        <v>22</v>
      </c>
      <c r="L796">
        <v>4.5999999999999996</v>
      </c>
      <c r="M796">
        <v>5.7</v>
      </c>
      <c r="N796">
        <v>212</v>
      </c>
      <c r="O796" t="s">
        <v>64</v>
      </c>
      <c r="P796">
        <v>25.2</v>
      </c>
      <c r="Q796" t="s">
        <v>65</v>
      </c>
      <c r="R796">
        <v>74.5</v>
      </c>
      <c r="S796">
        <v>15.1</v>
      </c>
      <c r="T796">
        <v>-1.2</v>
      </c>
      <c r="U796">
        <v>5.8</v>
      </c>
      <c r="V796">
        <v>5</v>
      </c>
      <c r="W796">
        <v>6.2</v>
      </c>
      <c r="X796" t="s">
        <v>66</v>
      </c>
    </row>
    <row r="797" spans="2:24" x14ac:dyDescent="0.3">
      <c r="B797" t="s">
        <v>890</v>
      </c>
      <c r="C797" t="s">
        <v>62</v>
      </c>
      <c r="D797" t="s">
        <v>2</v>
      </c>
      <c r="E797" t="s">
        <v>14</v>
      </c>
      <c r="F797" t="s">
        <v>10</v>
      </c>
      <c r="G797" t="s">
        <v>104</v>
      </c>
      <c r="H797">
        <v>2025</v>
      </c>
      <c r="I797">
        <v>6106</v>
      </c>
      <c r="J797">
        <v>8.6999999999999993</v>
      </c>
      <c r="K797" t="s">
        <v>21</v>
      </c>
      <c r="L797">
        <v>5.9</v>
      </c>
      <c r="M797">
        <v>7.9</v>
      </c>
      <c r="N797">
        <v>1182</v>
      </c>
      <c r="O797" t="s">
        <v>64</v>
      </c>
      <c r="P797">
        <v>45.2</v>
      </c>
      <c r="Q797" t="s">
        <v>56</v>
      </c>
      <c r="R797">
        <v>-16.2</v>
      </c>
      <c r="S797">
        <v>23.8</v>
      </c>
      <c r="T797">
        <v>9.5</v>
      </c>
      <c r="U797">
        <v>5.2</v>
      </c>
      <c r="V797">
        <v>5.0999999999999996</v>
      </c>
      <c r="W797">
        <v>5.4</v>
      </c>
      <c r="X797" t="s">
        <v>116</v>
      </c>
    </row>
    <row r="798" spans="2:24" x14ac:dyDescent="0.3">
      <c r="B798" t="s">
        <v>891</v>
      </c>
      <c r="C798" t="s">
        <v>142</v>
      </c>
      <c r="D798" t="s">
        <v>2</v>
      </c>
      <c r="E798" t="s">
        <v>17</v>
      </c>
      <c r="F798" t="s">
        <v>9</v>
      </c>
      <c r="G798" t="s">
        <v>78</v>
      </c>
      <c r="H798">
        <v>2026</v>
      </c>
      <c r="I798">
        <v>2760</v>
      </c>
      <c r="J798">
        <v>1.6</v>
      </c>
      <c r="K798" t="s">
        <v>23</v>
      </c>
      <c r="L798">
        <v>3.4</v>
      </c>
      <c r="M798">
        <v>2.1</v>
      </c>
      <c r="N798">
        <v>2845</v>
      </c>
      <c r="O798" t="s">
        <v>55</v>
      </c>
      <c r="P798">
        <v>14.2</v>
      </c>
      <c r="Q798" t="s">
        <v>76</v>
      </c>
      <c r="R798">
        <v>-19.3</v>
      </c>
      <c r="S798">
        <v>18.7</v>
      </c>
      <c r="T798">
        <v>1.9</v>
      </c>
      <c r="U798">
        <v>5.6</v>
      </c>
      <c r="V798">
        <v>8.6999999999999993</v>
      </c>
      <c r="W798">
        <v>8.5</v>
      </c>
      <c r="X798" t="s">
        <v>116</v>
      </c>
    </row>
    <row r="799" spans="2:24" x14ac:dyDescent="0.3">
      <c r="B799" t="s">
        <v>892</v>
      </c>
      <c r="C799" t="s">
        <v>142</v>
      </c>
      <c r="D799" t="s">
        <v>8</v>
      </c>
      <c r="E799" t="s">
        <v>14</v>
      </c>
      <c r="F799" t="s">
        <v>10</v>
      </c>
      <c r="G799" t="s">
        <v>104</v>
      </c>
      <c r="H799">
        <v>2025</v>
      </c>
      <c r="I799">
        <v>1389</v>
      </c>
      <c r="J799">
        <v>4.8</v>
      </c>
      <c r="K799" t="s">
        <v>25</v>
      </c>
      <c r="L799">
        <v>6.8</v>
      </c>
      <c r="M799">
        <v>3.5</v>
      </c>
      <c r="N799">
        <v>1085</v>
      </c>
      <c r="O799" t="s">
        <v>64</v>
      </c>
      <c r="P799">
        <v>16.7</v>
      </c>
      <c r="Q799" t="s">
        <v>86</v>
      </c>
      <c r="R799">
        <v>71.5</v>
      </c>
      <c r="S799">
        <v>26.6</v>
      </c>
      <c r="T799">
        <v>6.2</v>
      </c>
      <c r="U799">
        <v>4.5</v>
      </c>
      <c r="V799">
        <v>7.4</v>
      </c>
      <c r="W799">
        <v>6.8</v>
      </c>
      <c r="X799" t="s">
        <v>116</v>
      </c>
    </row>
    <row r="800" spans="2:24" x14ac:dyDescent="0.3">
      <c r="B800" t="s">
        <v>893</v>
      </c>
      <c r="C800" t="s">
        <v>62</v>
      </c>
      <c r="D800" t="s">
        <v>2</v>
      </c>
      <c r="E800" t="s">
        <v>14</v>
      </c>
      <c r="F800" t="s">
        <v>12</v>
      </c>
      <c r="G800" t="s">
        <v>115</v>
      </c>
      <c r="H800">
        <v>2026</v>
      </c>
      <c r="I800">
        <v>6490</v>
      </c>
      <c r="J800">
        <v>17.3</v>
      </c>
      <c r="K800" t="s">
        <v>21</v>
      </c>
      <c r="L800">
        <v>5.8</v>
      </c>
      <c r="M800">
        <v>9.4</v>
      </c>
      <c r="N800">
        <v>7748</v>
      </c>
      <c r="O800" t="s">
        <v>55</v>
      </c>
      <c r="P800">
        <v>17.7</v>
      </c>
      <c r="Q800" t="s">
        <v>56</v>
      </c>
      <c r="R800">
        <v>-41.1</v>
      </c>
      <c r="S800">
        <v>-0.4</v>
      </c>
      <c r="T800">
        <v>-9.5</v>
      </c>
      <c r="U800">
        <v>6.5</v>
      </c>
      <c r="V800">
        <v>6.6</v>
      </c>
      <c r="W800">
        <v>4.4000000000000004</v>
      </c>
      <c r="X800" t="s">
        <v>116</v>
      </c>
    </row>
    <row r="801" spans="2:24" x14ac:dyDescent="0.3">
      <c r="B801" t="s">
        <v>894</v>
      </c>
      <c r="C801" t="s">
        <v>83</v>
      </c>
      <c r="D801" t="s">
        <v>4</v>
      </c>
      <c r="E801" t="s">
        <v>19</v>
      </c>
      <c r="F801" t="s">
        <v>10</v>
      </c>
      <c r="G801" t="s">
        <v>131</v>
      </c>
      <c r="H801">
        <v>2026</v>
      </c>
      <c r="I801">
        <v>3588</v>
      </c>
      <c r="J801">
        <v>16</v>
      </c>
      <c r="K801" t="s">
        <v>25</v>
      </c>
      <c r="L801">
        <v>1.8</v>
      </c>
      <c r="M801">
        <v>6.4</v>
      </c>
      <c r="N801">
        <v>1818</v>
      </c>
      <c r="O801" t="s">
        <v>75</v>
      </c>
      <c r="P801">
        <v>84.7</v>
      </c>
      <c r="Q801" t="s">
        <v>88</v>
      </c>
      <c r="R801">
        <v>-9</v>
      </c>
      <c r="S801">
        <v>-0.8</v>
      </c>
      <c r="T801">
        <v>-1.1000000000000001</v>
      </c>
      <c r="U801">
        <v>2.8</v>
      </c>
      <c r="V801">
        <v>6.3</v>
      </c>
      <c r="W801">
        <v>4.5</v>
      </c>
      <c r="X801" t="s">
        <v>116</v>
      </c>
    </row>
    <row r="802" spans="2:24" x14ac:dyDescent="0.3">
      <c r="B802" t="s">
        <v>895</v>
      </c>
      <c r="C802" t="s">
        <v>83</v>
      </c>
      <c r="D802" t="s">
        <v>4</v>
      </c>
      <c r="E802" t="s">
        <v>14</v>
      </c>
      <c r="F802" t="s">
        <v>9</v>
      </c>
      <c r="G802" t="s">
        <v>131</v>
      </c>
      <c r="H802">
        <v>2024</v>
      </c>
      <c r="I802">
        <v>2236</v>
      </c>
      <c r="J802">
        <v>6.2</v>
      </c>
      <c r="K802" t="s">
        <v>22</v>
      </c>
      <c r="L802">
        <v>4.9000000000000004</v>
      </c>
      <c r="M802">
        <v>2.6</v>
      </c>
      <c r="N802">
        <v>1385</v>
      </c>
      <c r="O802" t="s">
        <v>64</v>
      </c>
      <c r="P802">
        <v>19.8</v>
      </c>
      <c r="Q802" t="s">
        <v>65</v>
      </c>
      <c r="R802">
        <v>2.5</v>
      </c>
      <c r="S802">
        <v>11.2</v>
      </c>
      <c r="T802">
        <v>2.6</v>
      </c>
      <c r="U802">
        <v>2.9</v>
      </c>
      <c r="V802">
        <v>8.6</v>
      </c>
      <c r="W802">
        <v>6.3</v>
      </c>
      <c r="X802" t="s">
        <v>57</v>
      </c>
    </row>
    <row r="803" spans="2:24" x14ac:dyDescent="0.3">
      <c r="B803" t="s">
        <v>896</v>
      </c>
      <c r="C803" t="s">
        <v>106</v>
      </c>
      <c r="D803" t="s">
        <v>8</v>
      </c>
      <c r="E803" t="s">
        <v>15</v>
      </c>
      <c r="F803" t="s">
        <v>9</v>
      </c>
      <c r="G803" t="s">
        <v>63</v>
      </c>
      <c r="H803">
        <v>2026</v>
      </c>
      <c r="I803">
        <v>2448</v>
      </c>
      <c r="J803">
        <v>8.5</v>
      </c>
      <c r="K803" t="s">
        <v>23</v>
      </c>
      <c r="L803">
        <v>4.8</v>
      </c>
      <c r="M803">
        <v>7.4</v>
      </c>
      <c r="N803">
        <v>4364</v>
      </c>
      <c r="O803" t="s">
        <v>64</v>
      </c>
      <c r="P803">
        <v>67.5</v>
      </c>
      <c r="Q803" t="s">
        <v>56</v>
      </c>
      <c r="R803">
        <v>47.2</v>
      </c>
      <c r="S803">
        <v>-8.6</v>
      </c>
      <c r="T803">
        <v>-7.3</v>
      </c>
      <c r="U803">
        <v>4</v>
      </c>
      <c r="V803">
        <v>7.1</v>
      </c>
      <c r="W803">
        <v>6.1</v>
      </c>
      <c r="X803" t="s">
        <v>57</v>
      </c>
    </row>
    <row r="804" spans="2:24" x14ac:dyDescent="0.3">
      <c r="B804" t="s">
        <v>897</v>
      </c>
      <c r="C804" t="s">
        <v>53</v>
      </c>
      <c r="D804" t="s">
        <v>3</v>
      </c>
      <c r="E804" t="s">
        <v>19</v>
      </c>
      <c r="F804" t="s">
        <v>12</v>
      </c>
      <c r="G804" t="s">
        <v>78</v>
      </c>
      <c r="H804">
        <v>2024</v>
      </c>
      <c r="I804">
        <v>7782</v>
      </c>
      <c r="J804">
        <v>27.3</v>
      </c>
      <c r="K804" t="s">
        <v>22</v>
      </c>
      <c r="L804">
        <v>5.2</v>
      </c>
      <c r="M804">
        <v>10</v>
      </c>
      <c r="N804">
        <v>1543</v>
      </c>
      <c r="O804" t="s">
        <v>75</v>
      </c>
      <c r="P804">
        <v>88</v>
      </c>
      <c r="Q804" t="s">
        <v>125</v>
      </c>
      <c r="R804">
        <v>-33.799999999999997</v>
      </c>
      <c r="S804">
        <v>33.5</v>
      </c>
      <c r="T804">
        <v>7.6</v>
      </c>
      <c r="U804">
        <v>4.8</v>
      </c>
      <c r="V804">
        <v>7.2</v>
      </c>
      <c r="W804">
        <v>3.6</v>
      </c>
      <c r="X804" t="s">
        <v>66</v>
      </c>
    </row>
    <row r="805" spans="2:24" x14ac:dyDescent="0.3">
      <c r="B805" t="s">
        <v>898</v>
      </c>
      <c r="C805" t="s">
        <v>122</v>
      </c>
      <c r="D805" t="s">
        <v>2</v>
      </c>
      <c r="E805" t="s">
        <v>15</v>
      </c>
      <c r="F805" t="s">
        <v>9</v>
      </c>
      <c r="G805" t="s">
        <v>60</v>
      </c>
      <c r="H805">
        <v>2024</v>
      </c>
      <c r="I805">
        <v>7808</v>
      </c>
      <c r="J805">
        <v>35.299999999999997</v>
      </c>
      <c r="K805" t="s">
        <v>23</v>
      </c>
      <c r="L805">
        <v>14.1</v>
      </c>
      <c r="M805">
        <v>10</v>
      </c>
      <c r="N805">
        <v>9385</v>
      </c>
      <c r="O805" t="s">
        <v>55</v>
      </c>
      <c r="P805">
        <v>25.8</v>
      </c>
      <c r="Q805" t="s">
        <v>56</v>
      </c>
      <c r="R805">
        <v>26</v>
      </c>
      <c r="S805">
        <v>58.9</v>
      </c>
      <c r="T805">
        <v>19.5</v>
      </c>
      <c r="U805">
        <v>9.3000000000000007</v>
      </c>
      <c r="V805">
        <v>5.5</v>
      </c>
      <c r="W805">
        <v>3.8</v>
      </c>
      <c r="X805" t="s">
        <v>66</v>
      </c>
    </row>
    <row r="806" spans="2:24" x14ac:dyDescent="0.3">
      <c r="B806" t="s">
        <v>899</v>
      </c>
      <c r="C806" t="s">
        <v>106</v>
      </c>
      <c r="D806" t="s">
        <v>7</v>
      </c>
      <c r="E806" t="s">
        <v>15</v>
      </c>
      <c r="F806" t="s">
        <v>9</v>
      </c>
      <c r="G806" t="s">
        <v>54</v>
      </c>
      <c r="H806">
        <v>2026</v>
      </c>
      <c r="I806">
        <v>1980</v>
      </c>
      <c r="J806">
        <v>4.7</v>
      </c>
      <c r="K806" t="s">
        <v>24</v>
      </c>
      <c r="L806">
        <v>6.6</v>
      </c>
      <c r="M806">
        <v>6.2</v>
      </c>
      <c r="N806">
        <v>5453</v>
      </c>
      <c r="O806" t="s">
        <v>55</v>
      </c>
      <c r="P806">
        <v>85.5</v>
      </c>
      <c r="Q806" t="s">
        <v>76</v>
      </c>
      <c r="R806">
        <v>82.2</v>
      </c>
      <c r="S806">
        <v>-6.9</v>
      </c>
      <c r="T806">
        <v>0.4</v>
      </c>
      <c r="U806">
        <v>7.3</v>
      </c>
      <c r="V806">
        <v>6.4</v>
      </c>
      <c r="W806">
        <v>6.1</v>
      </c>
      <c r="X806" t="s">
        <v>57</v>
      </c>
    </row>
    <row r="807" spans="2:24" x14ac:dyDescent="0.3">
      <c r="B807" t="s">
        <v>900</v>
      </c>
      <c r="C807" t="s">
        <v>53</v>
      </c>
      <c r="D807" t="s">
        <v>7</v>
      </c>
      <c r="E807" t="s">
        <v>16</v>
      </c>
      <c r="F807" t="s">
        <v>11</v>
      </c>
      <c r="G807" t="s">
        <v>101</v>
      </c>
      <c r="H807">
        <v>2024</v>
      </c>
      <c r="I807">
        <v>12251</v>
      </c>
      <c r="J807">
        <v>31.6</v>
      </c>
      <c r="K807" t="s">
        <v>23</v>
      </c>
      <c r="L807">
        <v>4.5999999999999996</v>
      </c>
      <c r="M807">
        <v>10</v>
      </c>
      <c r="N807">
        <v>463</v>
      </c>
      <c r="O807" t="s">
        <v>64</v>
      </c>
      <c r="P807">
        <v>84.2</v>
      </c>
      <c r="Q807" t="s">
        <v>125</v>
      </c>
      <c r="R807">
        <v>-12.3</v>
      </c>
      <c r="S807">
        <v>-10.7</v>
      </c>
      <c r="T807">
        <v>-12.7</v>
      </c>
      <c r="U807">
        <v>7.2</v>
      </c>
      <c r="V807">
        <v>2.2999999999999998</v>
      </c>
      <c r="W807">
        <v>1.8</v>
      </c>
      <c r="X807" t="s">
        <v>66</v>
      </c>
    </row>
    <row r="808" spans="2:24" x14ac:dyDescent="0.3">
      <c r="B808" t="s">
        <v>901</v>
      </c>
      <c r="C808" t="s">
        <v>27</v>
      </c>
      <c r="D808" t="s">
        <v>2</v>
      </c>
      <c r="E808" t="s">
        <v>15</v>
      </c>
      <c r="F808" t="s">
        <v>10</v>
      </c>
      <c r="G808" t="s">
        <v>98</v>
      </c>
      <c r="H808">
        <v>2026</v>
      </c>
      <c r="I808">
        <v>330</v>
      </c>
      <c r="J808">
        <v>7</v>
      </c>
      <c r="K808" t="s">
        <v>25</v>
      </c>
      <c r="L808">
        <v>12.4</v>
      </c>
      <c r="M808">
        <v>10</v>
      </c>
      <c r="N808">
        <v>1415</v>
      </c>
      <c r="O808" t="s">
        <v>55</v>
      </c>
      <c r="P808">
        <v>62.9</v>
      </c>
      <c r="Q808" t="s">
        <v>76</v>
      </c>
      <c r="R808">
        <v>39.5</v>
      </c>
      <c r="S808">
        <v>10.1</v>
      </c>
      <c r="T808">
        <v>14.3</v>
      </c>
      <c r="U808">
        <v>8</v>
      </c>
      <c r="V808">
        <v>8.1</v>
      </c>
      <c r="W808">
        <v>6.4</v>
      </c>
      <c r="X808" t="s">
        <v>57</v>
      </c>
    </row>
    <row r="809" spans="2:24" x14ac:dyDescent="0.3">
      <c r="B809" t="s">
        <v>902</v>
      </c>
      <c r="C809" t="s">
        <v>68</v>
      </c>
      <c r="D809" t="s">
        <v>8</v>
      </c>
      <c r="E809" t="s">
        <v>14</v>
      </c>
      <c r="F809" t="s">
        <v>12</v>
      </c>
      <c r="G809" t="s">
        <v>115</v>
      </c>
      <c r="H809">
        <v>2024</v>
      </c>
      <c r="I809">
        <v>3243</v>
      </c>
      <c r="J809">
        <v>9.9</v>
      </c>
      <c r="K809" t="s">
        <v>25</v>
      </c>
      <c r="L809">
        <v>14.3</v>
      </c>
      <c r="M809">
        <v>10</v>
      </c>
      <c r="N809">
        <v>2364</v>
      </c>
      <c r="O809" t="s">
        <v>55</v>
      </c>
      <c r="P809">
        <v>75.400000000000006</v>
      </c>
      <c r="Q809" t="s">
        <v>76</v>
      </c>
      <c r="R809">
        <v>70.400000000000006</v>
      </c>
      <c r="S809">
        <v>41.7</v>
      </c>
      <c r="T809">
        <v>11.6</v>
      </c>
      <c r="U809">
        <v>9.5</v>
      </c>
      <c r="V809">
        <v>6.4</v>
      </c>
      <c r="W809">
        <v>6.6</v>
      </c>
      <c r="X809" t="s">
        <v>116</v>
      </c>
    </row>
    <row r="810" spans="2:24" x14ac:dyDescent="0.3">
      <c r="B810" t="s">
        <v>903</v>
      </c>
      <c r="C810" t="s">
        <v>106</v>
      </c>
      <c r="D810" t="s">
        <v>3</v>
      </c>
      <c r="E810" t="s">
        <v>16</v>
      </c>
      <c r="F810" t="s">
        <v>12</v>
      </c>
      <c r="G810" t="s">
        <v>74</v>
      </c>
      <c r="H810">
        <v>2026</v>
      </c>
      <c r="I810">
        <v>3341</v>
      </c>
      <c r="J810">
        <v>35.1</v>
      </c>
      <c r="K810" t="s">
        <v>22</v>
      </c>
      <c r="L810">
        <v>8.6</v>
      </c>
      <c r="M810">
        <v>10</v>
      </c>
      <c r="N810">
        <v>1314</v>
      </c>
      <c r="O810" t="s">
        <v>75</v>
      </c>
      <c r="P810">
        <v>12.7</v>
      </c>
      <c r="Q810" t="s">
        <v>76</v>
      </c>
      <c r="R810">
        <v>16</v>
      </c>
      <c r="S810">
        <v>30.8</v>
      </c>
      <c r="T810">
        <v>-0.5</v>
      </c>
      <c r="U810">
        <v>9.8000000000000007</v>
      </c>
      <c r="V810">
        <v>6.2</v>
      </c>
      <c r="W810">
        <v>2.7</v>
      </c>
      <c r="X810" t="s">
        <v>66</v>
      </c>
    </row>
    <row r="811" spans="2:24" x14ac:dyDescent="0.3">
      <c r="B811" t="s">
        <v>904</v>
      </c>
      <c r="C811" t="s">
        <v>27</v>
      </c>
      <c r="D811" t="s">
        <v>2</v>
      </c>
      <c r="E811" t="s">
        <v>17</v>
      </c>
      <c r="F811" t="s">
        <v>11</v>
      </c>
      <c r="G811" t="s">
        <v>131</v>
      </c>
      <c r="H811">
        <v>2025</v>
      </c>
      <c r="I811">
        <v>12714</v>
      </c>
      <c r="J811">
        <v>21.4</v>
      </c>
      <c r="K811" t="s">
        <v>25</v>
      </c>
      <c r="L811">
        <v>1.7</v>
      </c>
      <c r="M811">
        <v>7.5</v>
      </c>
      <c r="N811">
        <v>1886</v>
      </c>
      <c r="O811" t="s">
        <v>75</v>
      </c>
      <c r="P811">
        <v>61.6</v>
      </c>
      <c r="Q811" t="s">
        <v>56</v>
      </c>
      <c r="R811">
        <v>83.9</v>
      </c>
      <c r="S811">
        <v>1</v>
      </c>
      <c r="T811">
        <v>-2.7</v>
      </c>
      <c r="U811">
        <v>2.4</v>
      </c>
      <c r="V811">
        <v>6.5</v>
      </c>
      <c r="W811">
        <v>3.7</v>
      </c>
      <c r="X811" t="s">
        <v>66</v>
      </c>
    </row>
    <row r="812" spans="2:24" x14ac:dyDescent="0.3">
      <c r="B812" t="s">
        <v>905</v>
      </c>
      <c r="C812" t="s">
        <v>137</v>
      </c>
      <c r="D812" t="s">
        <v>4</v>
      </c>
      <c r="E812" t="s">
        <v>16</v>
      </c>
      <c r="F812" t="s">
        <v>9</v>
      </c>
      <c r="G812" t="s">
        <v>104</v>
      </c>
      <c r="H812">
        <v>2026</v>
      </c>
      <c r="I812">
        <v>6211</v>
      </c>
      <c r="J812">
        <v>1</v>
      </c>
      <c r="K812" t="s">
        <v>21</v>
      </c>
      <c r="L812">
        <v>3.4</v>
      </c>
      <c r="M812">
        <v>2.2000000000000002</v>
      </c>
      <c r="N812">
        <v>5386</v>
      </c>
      <c r="O812" t="s">
        <v>55</v>
      </c>
      <c r="P812">
        <v>58.6</v>
      </c>
      <c r="Q812" t="s">
        <v>125</v>
      </c>
      <c r="R812">
        <v>86.2</v>
      </c>
      <c r="S812">
        <v>-12</v>
      </c>
      <c r="T812">
        <v>-4.4000000000000004</v>
      </c>
      <c r="U812">
        <v>3.1</v>
      </c>
      <c r="V812">
        <v>6.9</v>
      </c>
      <c r="W812">
        <v>6.7</v>
      </c>
      <c r="X812" t="s">
        <v>116</v>
      </c>
    </row>
    <row r="813" spans="2:24" x14ac:dyDescent="0.3">
      <c r="B813" t="s">
        <v>906</v>
      </c>
      <c r="C813" t="s">
        <v>159</v>
      </c>
      <c r="D813" t="s">
        <v>2</v>
      </c>
      <c r="E813" t="s">
        <v>18</v>
      </c>
      <c r="F813" t="s">
        <v>10</v>
      </c>
      <c r="G813" t="s">
        <v>63</v>
      </c>
      <c r="H813">
        <v>2024</v>
      </c>
      <c r="I813">
        <v>1352</v>
      </c>
      <c r="J813">
        <v>3</v>
      </c>
      <c r="K813" t="s">
        <v>25</v>
      </c>
      <c r="L813">
        <v>6.1</v>
      </c>
      <c r="M813">
        <v>3.1</v>
      </c>
      <c r="N813">
        <v>5436</v>
      </c>
      <c r="O813" t="s">
        <v>55</v>
      </c>
      <c r="P813">
        <v>46.6</v>
      </c>
      <c r="Q813" t="s">
        <v>56</v>
      </c>
      <c r="R813">
        <v>58.3</v>
      </c>
      <c r="S813">
        <v>17.7</v>
      </c>
      <c r="T813">
        <v>8.6</v>
      </c>
      <c r="U813">
        <v>6.3</v>
      </c>
      <c r="V813">
        <v>6.2</v>
      </c>
      <c r="W813">
        <v>8.3000000000000007</v>
      </c>
      <c r="X813" t="s">
        <v>57</v>
      </c>
    </row>
    <row r="814" spans="2:24" x14ac:dyDescent="0.3">
      <c r="B814" t="s">
        <v>907</v>
      </c>
      <c r="C814" t="s">
        <v>90</v>
      </c>
      <c r="D814" t="s">
        <v>5</v>
      </c>
      <c r="E814" t="s">
        <v>18</v>
      </c>
      <c r="F814" t="s">
        <v>9</v>
      </c>
      <c r="G814" t="s">
        <v>112</v>
      </c>
      <c r="H814">
        <v>2024</v>
      </c>
      <c r="I814">
        <v>3431</v>
      </c>
      <c r="J814">
        <v>6.1</v>
      </c>
      <c r="K814" t="s">
        <v>23</v>
      </c>
      <c r="L814">
        <v>2.1</v>
      </c>
      <c r="M814">
        <v>1.2</v>
      </c>
      <c r="N814">
        <v>739</v>
      </c>
      <c r="O814" t="s">
        <v>64</v>
      </c>
      <c r="P814">
        <v>36.799999999999997</v>
      </c>
      <c r="Q814" t="s">
        <v>65</v>
      </c>
      <c r="R814">
        <v>-27.5</v>
      </c>
      <c r="S814">
        <v>32.5</v>
      </c>
      <c r="T814">
        <v>19</v>
      </c>
      <c r="U814">
        <v>1.8</v>
      </c>
      <c r="V814">
        <v>7.8</v>
      </c>
      <c r="W814">
        <v>7.7</v>
      </c>
      <c r="X814" t="s">
        <v>116</v>
      </c>
    </row>
    <row r="815" spans="2:24" x14ac:dyDescent="0.3">
      <c r="B815" t="s">
        <v>908</v>
      </c>
      <c r="C815" t="s">
        <v>142</v>
      </c>
      <c r="D815" t="s">
        <v>2</v>
      </c>
      <c r="E815" t="s">
        <v>14</v>
      </c>
      <c r="F815" t="s">
        <v>9</v>
      </c>
      <c r="G815" t="s">
        <v>54</v>
      </c>
      <c r="H815">
        <v>2025</v>
      </c>
      <c r="I815">
        <v>1499</v>
      </c>
      <c r="J815">
        <v>4.8</v>
      </c>
      <c r="K815" t="s">
        <v>24</v>
      </c>
      <c r="L815">
        <v>3.4</v>
      </c>
      <c r="M815">
        <v>2.5</v>
      </c>
      <c r="N815">
        <v>5554</v>
      </c>
      <c r="O815" t="s">
        <v>55</v>
      </c>
      <c r="P815">
        <v>75.2</v>
      </c>
      <c r="Q815" t="s">
        <v>76</v>
      </c>
      <c r="R815">
        <v>85</v>
      </c>
      <c r="S815">
        <v>60</v>
      </c>
      <c r="T815">
        <v>29.6</v>
      </c>
      <c r="U815">
        <v>2.1</v>
      </c>
      <c r="V815">
        <v>7.4</v>
      </c>
      <c r="W815">
        <v>8.3000000000000007</v>
      </c>
      <c r="X815" t="s">
        <v>57</v>
      </c>
    </row>
    <row r="816" spans="2:24" x14ac:dyDescent="0.3">
      <c r="B816" t="s">
        <v>909</v>
      </c>
      <c r="C816" t="s">
        <v>83</v>
      </c>
      <c r="D816" t="s">
        <v>4</v>
      </c>
      <c r="E816" t="s">
        <v>16</v>
      </c>
      <c r="F816" t="s">
        <v>11</v>
      </c>
      <c r="G816" t="s">
        <v>74</v>
      </c>
      <c r="H816">
        <v>2025</v>
      </c>
      <c r="I816">
        <v>1889</v>
      </c>
      <c r="J816">
        <v>9.1</v>
      </c>
      <c r="K816" t="s">
        <v>21</v>
      </c>
      <c r="L816">
        <v>3.7</v>
      </c>
      <c r="M816">
        <v>8</v>
      </c>
      <c r="N816">
        <v>3559</v>
      </c>
      <c r="O816" t="s">
        <v>55</v>
      </c>
      <c r="P816">
        <v>54.8</v>
      </c>
      <c r="Q816" t="s">
        <v>86</v>
      </c>
      <c r="R816">
        <v>-15</v>
      </c>
      <c r="S816">
        <v>38.1</v>
      </c>
      <c r="T816">
        <v>6.1</v>
      </c>
      <c r="U816">
        <v>5</v>
      </c>
      <c r="V816">
        <v>6.3</v>
      </c>
      <c r="W816">
        <v>5.6</v>
      </c>
      <c r="X816" t="s">
        <v>116</v>
      </c>
    </row>
    <row r="817" spans="2:24" x14ac:dyDescent="0.3">
      <c r="B817" t="s">
        <v>910</v>
      </c>
      <c r="C817" t="s">
        <v>90</v>
      </c>
      <c r="D817" t="s">
        <v>6</v>
      </c>
      <c r="E817" t="s">
        <v>17</v>
      </c>
      <c r="F817" t="s">
        <v>9</v>
      </c>
      <c r="G817" t="s">
        <v>54</v>
      </c>
      <c r="H817">
        <v>2025</v>
      </c>
      <c r="I817">
        <v>2189</v>
      </c>
      <c r="J817">
        <v>1.2</v>
      </c>
      <c r="K817" t="s">
        <v>21</v>
      </c>
      <c r="L817">
        <v>6.4</v>
      </c>
      <c r="M817">
        <v>6.1</v>
      </c>
      <c r="N817">
        <v>3567</v>
      </c>
      <c r="O817" t="s">
        <v>55</v>
      </c>
      <c r="P817">
        <v>20.6</v>
      </c>
      <c r="Q817" t="s">
        <v>79</v>
      </c>
      <c r="R817">
        <v>-39.299999999999997</v>
      </c>
      <c r="S817">
        <v>-2.9</v>
      </c>
      <c r="T817">
        <v>7.3</v>
      </c>
      <c r="U817">
        <v>4.7</v>
      </c>
      <c r="V817">
        <v>5.6</v>
      </c>
      <c r="W817">
        <v>6.7</v>
      </c>
      <c r="X817" t="s">
        <v>116</v>
      </c>
    </row>
    <row r="818" spans="2:24" x14ac:dyDescent="0.3">
      <c r="B818" t="s">
        <v>911</v>
      </c>
      <c r="C818" t="s">
        <v>90</v>
      </c>
      <c r="D818" t="s">
        <v>3</v>
      </c>
      <c r="E818" t="s">
        <v>17</v>
      </c>
      <c r="F818" t="s">
        <v>12</v>
      </c>
      <c r="G818" t="s">
        <v>104</v>
      </c>
      <c r="H818">
        <v>2025</v>
      </c>
      <c r="I818">
        <v>4144</v>
      </c>
      <c r="J818">
        <v>14.9</v>
      </c>
      <c r="K818" t="s">
        <v>25</v>
      </c>
      <c r="L818">
        <v>8.6</v>
      </c>
      <c r="M818">
        <v>10</v>
      </c>
      <c r="N818">
        <v>5840</v>
      </c>
      <c r="O818" t="s">
        <v>55</v>
      </c>
      <c r="P818">
        <v>17.3</v>
      </c>
      <c r="Q818" t="s">
        <v>88</v>
      </c>
      <c r="R818">
        <v>46.9</v>
      </c>
      <c r="S818">
        <v>53.8</v>
      </c>
      <c r="T818">
        <v>29.6</v>
      </c>
      <c r="U818">
        <v>9.3000000000000007</v>
      </c>
      <c r="V818">
        <v>6.9</v>
      </c>
      <c r="W818">
        <v>6.8</v>
      </c>
      <c r="X818" t="s">
        <v>116</v>
      </c>
    </row>
    <row r="819" spans="2:24" x14ac:dyDescent="0.3">
      <c r="B819" t="s">
        <v>912</v>
      </c>
      <c r="C819" t="s">
        <v>81</v>
      </c>
      <c r="D819" t="s">
        <v>5</v>
      </c>
      <c r="E819" t="s">
        <v>15</v>
      </c>
      <c r="F819" t="s">
        <v>9</v>
      </c>
      <c r="G819" t="s">
        <v>131</v>
      </c>
      <c r="H819">
        <v>2024</v>
      </c>
      <c r="I819">
        <v>1333</v>
      </c>
      <c r="J819">
        <v>10.8</v>
      </c>
      <c r="K819" t="s">
        <v>21</v>
      </c>
      <c r="L819">
        <v>4.5999999999999996</v>
      </c>
      <c r="M819">
        <v>5</v>
      </c>
      <c r="N819">
        <v>5397</v>
      </c>
      <c r="O819" t="s">
        <v>64</v>
      </c>
      <c r="P819">
        <v>58.1</v>
      </c>
      <c r="Q819" t="s">
        <v>76</v>
      </c>
      <c r="R819">
        <v>28.1</v>
      </c>
      <c r="S819">
        <v>42.7</v>
      </c>
      <c r="T819">
        <v>17.600000000000001</v>
      </c>
      <c r="U819">
        <v>6.1</v>
      </c>
      <c r="V819">
        <v>8.1999999999999993</v>
      </c>
      <c r="W819">
        <v>8</v>
      </c>
      <c r="X819" t="s">
        <v>116</v>
      </c>
    </row>
    <row r="820" spans="2:24" x14ac:dyDescent="0.3">
      <c r="B820" t="s">
        <v>913</v>
      </c>
      <c r="C820" t="s">
        <v>27</v>
      </c>
      <c r="D820" t="s">
        <v>3</v>
      </c>
      <c r="E820" t="s">
        <v>16</v>
      </c>
      <c r="F820" t="s">
        <v>12</v>
      </c>
      <c r="G820" t="s">
        <v>98</v>
      </c>
      <c r="H820">
        <v>2024</v>
      </c>
      <c r="I820">
        <v>2169</v>
      </c>
      <c r="J820">
        <v>6.1</v>
      </c>
      <c r="K820" t="s">
        <v>25</v>
      </c>
      <c r="L820">
        <v>2</v>
      </c>
      <c r="M820">
        <v>4.8</v>
      </c>
      <c r="N820">
        <v>3115</v>
      </c>
      <c r="O820" t="s">
        <v>64</v>
      </c>
      <c r="P820">
        <v>82.4</v>
      </c>
      <c r="Q820" t="s">
        <v>79</v>
      </c>
      <c r="R820">
        <v>88.2</v>
      </c>
      <c r="S820">
        <v>20.9</v>
      </c>
      <c r="T820">
        <v>17.3</v>
      </c>
      <c r="U820">
        <v>3</v>
      </c>
      <c r="V820">
        <v>5.9</v>
      </c>
      <c r="W820">
        <v>6.6</v>
      </c>
      <c r="X820" t="s">
        <v>57</v>
      </c>
    </row>
    <row r="821" spans="2:24" x14ac:dyDescent="0.3">
      <c r="B821" t="s">
        <v>914</v>
      </c>
      <c r="C821" t="s">
        <v>94</v>
      </c>
      <c r="D821" t="s">
        <v>6</v>
      </c>
      <c r="E821" t="s">
        <v>16</v>
      </c>
      <c r="F821" t="s">
        <v>9</v>
      </c>
      <c r="G821" t="s">
        <v>98</v>
      </c>
      <c r="H821">
        <v>2024</v>
      </c>
      <c r="I821">
        <v>4138</v>
      </c>
      <c r="J821">
        <v>1.6</v>
      </c>
      <c r="K821" t="s">
        <v>25</v>
      </c>
      <c r="L821">
        <v>5.9</v>
      </c>
      <c r="M821">
        <v>9.1999999999999993</v>
      </c>
      <c r="N821">
        <v>3265</v>
      </c>
      <c r="O821" t="s">
        <v>55</v>
      </c>
      <c r="P821">
        <v>88.9</v>
      </c>
      <c r="Q821" t="s">
        <v>86</v>
      </c>
      <c r="R821">
        <v>30.8</v>
      </c>
      <c r="S821">
        <v>22.1</v>
      </c>
      <c r="T821">
        <v>10.6</v>
      </c>
      <c r="U821">
        <v>5</v>
      </c>
      <c r="V821">
        <v>9.3000000000000007</v>
      </c>
      <c r="W821">
        <v>6.2</v>
      </c>
      <c r="X821" t="s">
        <v>116</v>
      </c>
    </row>
    <row r="822" spans="2:24" x14ac:dyDescent="0.3">
      <c r="B822" t="s">
        <v>915</v>
      </c>
      <c r="C822" t="s">
        <v>90</v>
      </c>
      <c r="D822" t="s">
        <v>6</v>
      </c>
      <c r="E822" t="s">
        <v>17</v>
      </c>
      <c r="F822" t="s">
        <v>11</v>
      </c>
      <c r="G822" t="s">
        <v>69</v>
      </c>
      <c r="H822">
        <v>2025</v>
      </c>
      <c r="I822">
        <v>1345</v>
      </c>
      <c r="J822">
        <v>9.6999999999999993</v>
      </c>
      <c r="K822" t="s">
        <v>22</v>
      </c>
      <c r="L822">
        <v>3.5</v>
      </c>
      <c r="M822">
        <v>3</v>
      </c>
      <c r="N822">
        <v>1478</v>
      </c>
      <c r="O822" t="s">
        <v>64</v>
      </c>
      <c r="P822">
        <v>64.7</v>
      </c>
      <c r="Q822" t="s">
        <v>65</v>
      </c>
      <c r="R822">
        <v>73.099999999999994</v>
      </c>
      <c r="S822">
        <v>30.6</v>
      </c>
      <c r="T822">
        <v>7.3</v>
      </c>
      <c r="U822">
        <v>3</v>
      </c>
      <c r="V822">
        <v>8.9</v>
      </c>
      <c r="W822">
        <v>7.8</v>
      </c>
      <c r="X822" t="s">
        <v>116</v>
      </c>
    </row>
    <row r="823" spans="2:24" x14ac:dyDescent="0.3">
      <c r="B823" t="s">
        <v>916</v>
      </c>
      <c r="C823" t="s">
        <v>90</v>
      </c>
      <c r="D823" t="s">
        <v>6</v>
      </c>
      <c r="E823" t="s">
        <v>15</v>
      </c>
      <c r="F823" t="s">
        <v>9</v>
      </c>
      <c r="G823" t="s">
        <v>63</v>
      </c>
      <c r="H823">
        <v>2026</v>
      </c>
      <c r="I823">
        <v>1802</v>
      </c>
      <c r="J823">
        <v>3.7</v>
      </c>
      <c r="K823" t="s">
        <v>22</v>
      </c>
      <c r="L823">
        <v>3.6</v>
      </c>
      <c r="M823">
        <v>7.6</v>
      </c>
      <c r="N823">
        <v>1131</v>
      </c>
      <c r="O823" t="s">
        <v>64</v>
      </c>
      <c r="P823">
        <v>73.400000000000006</v>
      </c>
      <c r="Q823" t="s">
        <v>125</v>
      </c>
      <c r="R823">
        <v>45.9</v>
      </c>
      <c r="S823">
        <v>-18.3</v>
      </c>
      <c r="T823">
        <v>-4.8</v>
      </c>
      <c r="U823">
        <v>5.0999999999999996</v>
      </c>
      <c r="V823">
        <v>6.1</v>
      </c>
      <c r="W823">
        <v>6.5</v>
      </c>
      <c r="X823" t="s">
        <v>57</v>
      </c>
    </row>
    <row r="824" spans="2:24" x14ac:dyDescent="0.3">
      <c r="B824" t="s">
        <v>917</v>
      </c>
      <c r="C824" t="s">
        <v>92</v>
      </c>
      <c r="D824" t="s">
        <v>7</v>
      </c>
      <c r="E824" t="s">
        <v>17</v>
      </c>
      <c r="F824" t="s">
        <v>10</v>
      </c>
      <c r="G824" t="s">
        <v>54</v>
      </c>
      <c r="H824">
        <v>2025</v>
      </c>
      <c r="I824">
        <v>17451</v>
      </c>
      <c r="J824">
        <v>10.199999999999999</v>
      </c>
      <c r="K824" t="s">
        <v>24</v>
      </c>
      <c r="L824">
        <v>0.9</v>
      </c>
      <c r="M824">
        <v>3.5</v>
      </c>
      <c r="N824">
        <v>1532</v>
      </c>
      <c r="O824" t="s">
        <v>64</v>
      </c>
      <c r="P824">
        <v>30.5</v>
      </c>
      <c r="Q824" t="s">
        <v>79</v>
      </c>
      <c r="R824">
        <v>36.700000000000003</v>
      </c>
      <c r="S824">
        <v>26.7</v>
      </c>
      <c r="T824">
        <v>2.5</v>
      </c>
      <c r="U824">
        <v>1.4</v>
      </c>
      <c r="V824">
        <v>6.7</v>
      </c>
      <c r="W824">
        <v>7.5</v>
      </c>
      <c r="X824" t="s">
        <v>66</v>
      </c>
    </row>
    <row r="825" spans="2:24" x14ac:dyDescent="0.3">
      <c r="B825" t="s">
        <v>918</v>
      </c>
      <c r="C825" t="s">
        <v>139</v>
      </c>
      <c r="D825" t="s">
        <v>8</v>
      </c>
      <c r="E825" t="s">
        <v>15</v>
      </c>
      <c r="F825" t="s">
        <v>9</v>
      </c>
      <c r="G825" t="s">
        <v>69</v>
      </c>
      <c r="H825">
        <v>2025</v>
      </c>
      <c r="I825">
        <v>189</v>
      </c>
      <c r="J825">
        <v>2.6</v>
      </c>
      <c r="K825" t="s">
        <v>24</v>
      </c>
      <c r="L825">
        <v>4</v>
      </c>
      <c r="M825">
        <v>10</v>
      </c>
      <c r="N825">
        <v>2450</v>
      </c>
      <c r="O825" t="s">
        <v>55</v>
      </c>
      <c r="P825">
        <v>70.900000000000006</v>
      </c>
      <c r="Q825" t="s">
        <v>79</v>
      </c>
      <c r="R825">
        <v>23.9</v>
      </c>
      <c r="S825">
        <v>29.9</v>
      </c>
      <c r="T825">
        <v>6.9</v>
      </c>
      <c r="U825">
        <v>6.3</v>
      </c>
      <c r="V825">
        <v>8.4</v>
      </c>
      <c r="W825">
        <v>6.6</v>
      </c>
      <c r="X825" t="s">
        <v>57</v>
      </c>
    </row>
    <row r="826" spans="2:24" x14ac:dyDescent="0.3">
      <c r="B826" t="s">
        <v>919</v>
      </c>
      <c r="C826" t="s">
        <v>90</v>
      </c>
      <c r="D826" t="s">
        <v>2</v>
      </c>
      <c r="E826" t="s">
        <v>15</v>
      </c>
      <c r="F826" t="s">
        <v>11</v>
      </c>
      <c r="G826" t="s">
        <v>60</v>
      </c>
      <c r="H826">
        <v>2024</v>
      </c>
      <c r="I826">
        <v>4091</v>
      </c>
      <c r="J826">
        <v>8.5</v>
      </c>
      <c r="K826" t="s">
        <v>24</v>
      </c>
      <c r="L826">
        <v>7.3</v>
      </c>
      <c r="M826">
        <v>8.5</v>
      </c>
      <c r="N826">
        <v>7527</v>
      </c>
      <c r="O826" t="s">
        <v>55</v>
      </c>
      <c r="P826">
        <v>15.8</v>
      </c>
      <c r="Q826" t="s">
        <v>76</v>
      </c>
      <c r="R826">
        <v>-6.9</v>
      </c>
      <c r="S826">
        <v>4.3</v>
      </c>
      <c r="T826">
        <v>8.8000000000000007</v>
      </c>
      <c r="U826">
        <v>5.6</v>
      </c>
      <c r="V826">
        <v>8.3000000000000007</v>
      </c>
      <c r="W826">
        <v>4.5999999999999996</v>
      </c>
      <c r="X826" t="s">
        <v>66</v>
      </c>
    </row>
    <row r="827" spans="2:24" x14ac:dyDescent="0.3">
      <c r="B827" t="s">
        <v>920</v>
      </c>
      <c r="C827" t="s">
        <v>106</v>
      </c>
      <c r="D827" t="s">
        <v>2</v>
      </c>
      <c r="E827" t="s">
        <v>18</v>
      </c>
      <c r="F827" t="s">
        <v>9</v>
      </c>
      <c r="G827" t="s">
        <v>131</v>
      </c>
      <c r="H827">
        <v>2024</v>
      </c>
      <c r="I827">
        <v>5815</v>
      </c>
      <c r="J827">
        <v>5.4</v>
      </c>
      <c r="K827" t="s">
        <v>23</v>
      </c>
      <c r="L827">
        <v>3.6</v>
      </c>
      <c r="M827">
        <v>6.1</v>
      </c>
      <c r="N827">
        <v>1173</v>
      </c>
      <c r="O827" t="s">
        <v>64</v>
      </c>
      <c r="P827">
        <v>52</v>
      </c>
      <c r="Q827" t="s">
        <v>56</v>
      </c>
      <c r="R827">
        <v>-0.4</v>
      </c>
      <c r="S827">
        <v>-0.1</v>
      </c>
      <c r="T827">
        <v>4</v>
      </c>
      <c r="U827">
        <v>3</v>
      </c>
      <c r="V827">
        <v>6.2</v>
      </c>
      <c r="W827">
        <v>5.2</v>
      </c>
      <c r="X827" t="s">
        <v>116</v>
      </c>
    </row>
    <row r="828" spans="2:24" x14ac:dyDescent="0.3">
      <c r="B828" t="s">
        <v>921</v>
      </c>
      <c r="C828" t="s">
        <v>94</v>
      </c>
      <c r="D828" t="s">
        <v>6</v>
      </c>
      <c r="E828" t="s">
        <v>14</v>
      </c>
      <c r="F828" t="s">
        <v>12</v>
      </c>
      <c r="G828" t="s">
        <v>54</v>
      </c>
      <c r="H828">
        <v>2026</v>
      </c>
      <c r="I828">
        <v>1748</v>
      </c>
      <c r="J828">
        <v>23.7</v>
      </c>
      <c r="K828" t="s">
        <v>23</v>
      </c>
      <c r="L828">
        <v>2.2000000000000002</v>
      </c>
      <c r="M828">
        <v>9.1999999999999993</v>
      </c>
      <c r="N828">
        <v>1077</v>
      </c>
      <c r="O828" t="s">
        <v>75</v>
      </c>
      <c r="P828">
        <v>41.5</v>
      </c>
      <c r="Q828" t="s">
        <v>76</v>
      </c>
      <c r="R828">
        <v>12</v>
      </c>
      <c r="S828">
        <v>23.1</v>
      </c>
      <c r="T828">
        <v>-6.8</v>
      </c>
      <c r="U828">
        <v>2</v>
      </c>
      <c r="V828">
        <v>4.9000000000000004</v>
      </c>
      <c r="W828">
        <v>4.8</v>
      </c>
      <c r="X828" t="s">
        <v>66</v>
      </c>
    </row>
    <row r="829" spans="2:24" x14ac:dyDescent="0.3">
      <c r="B829" t="s">
        <v>922</v>
      </c>
      <c r="C829" t="s">
        <v>142</v>
      </c>
      <c r="D829" t="s">
        <v>2</v>
      </c>
      <c r="E829" t="s">
        <v>15</v>
      </c>
      <c r="F829" t="s">
        <v>12</v>
      </c>
      <c r="G829" t="s">
        <v>104</v>
      </c>
      <c r="H829">
        <v>2024</v>
      </c>
      <c r="I829">
        <v>461</v>
      </c>
      <c r="J829">
        <v>9.6</v>
      </c>
      <c r="K829" t="s">
        <v>21</v>
      </c>
      <c r="L829">
        <v>7</v>
      </c>
      <c r="M829">
        <v>10</v>
      </c>
      <c r="N829">
        <v>1205</v>
      </c>
      <c r="O829" t="s">
        <v>55</v>
      </c>
      <c r="P829">
        <v>23.8</v>
      </c>
      <c r="Q829" t="s">
        <v>76</v>
      </c>
      <c r="R829">
        <v>54.2</v>
      </c>
      <c r="S829">
        <v>46.6</v>
      </c>
      <c r="T829">
        <v>19.600000000000001</v>
      </c>
      <c r="U829">
        <v>9.1</v>
      </c>
      <c r="V829">
        <v>9.1999999999999993</v>
      </c>
      <c r="W829">
        <v>6.9</v>
      </c>
      <c r="X829" t="s">
        <v>57</v>
      </c>
    </row>
    <row r="830" spans="2:24" x14ac:dyDescent="0.3">
      <c r="B830" t="s">
        <v>923</v>
      </c>
      <c r="C830" t="s">
        <v>159</v>
      </c>
      <c r="D830" t="s">
        <v>7</v>
      </c>
      <c r="E830" t="s">
        <v>17</v>
      </c>
      <c r="F830" t="s">
        <v>11</v>
      </c>
      <c r="G830" t="s">
        <v>78</v>
      </c>
      <c r="H830">
        <v>2026</v>
      </c>
      <c r="I830">
        <v>9419</v>
      </c>
      <c r="J830">
        <v>38.6</v>
      </c>
      <c r="K830" t="s">
        <v>21</v>
      </c>
      <c r="L830">
        <v>2.1</v>
      </c>
      <c r="M830">
        <v>10</v>
      </c>
      <c r="N830">
        <v>976</v>
      </c>
      <c r="O830" t="s">
        <v>75</v>
      </c>
      <c r="P830">
        <v>22.9</v>
      </c>
      <c r="Q830" t="s">
        <v>84</v>
      </c>
      <c r="R830">
        <v>-35.299999999999997</v>
      </c>
      <c r="S830">
        <v>5</v>
      </c>
      <c r="T830">
        <v>-7.2</v>
      </c>
      <c r="U830">
        <v>2.5</v>
      </c>
      <c r="V830">
        <v>5.6</v>
      </c>
      <c r="W830">
        <v>2.9</v>
      </c>
      <c r="X830" t="s">
        <v>66</v>
      </c>
    </row>
    <row r="831" spans="2:24" x14ac:dyDescent="0.3">
      <c r="B831" t="s">
        <v>924</v>
      </c>
      <c r="C831" t="s">
        <v>90</v>
      </c>
      <c r="D831" t="s">
        <v>3</v>
      </c>
      <c r="E831" t="s">
        <v>16</v>
      </c>
      <c r="F831" t="s">
        <v>11</v>
      </c>
      <c r="G831" t="s">
        <v>63</v>
      </c>
      <c r="H831">
        <v>2025</v>
      </c>
      <c r="I831">
        <v>5822</v>
      </c>
      <c r="J831">
        <v>13.8</v>
      </c>
      <c r="K831" t="s">
        <v>23</v>
      </c>
      <c r="L831">
        <v>1.3</v>
      </c>
      <c r="M831">
        <v>1.9</v>
      </c>
      <c r="N831">
        <v>5080</v>
      </c>
      <c r="O831" t="s">
        <v>55</v>
      </c>
      <c r="P831">
        <v>58.2</v>
      </c>
      <c r="Q831" t="s">
        <v>84</v>
      </c>
      <c r="R831">
        <v>23.4</v>
      </c>
      <c r="S831">
        <v>32.200000000000003</v>
      </c>
      <c r="T831">
        <v>0.7</v>
      </c>
      <c r="U831">
        <v>1.2</v>
      </c>
      <c r="V831">
        <v>8.1</v>
      </c>
      <c r="W831">
        <v>7.5</v>
      </c>
      <c r="X831" t="s">
        <v>116</v>
      </c>
    </row>
    <row r="832" spans="2:24" x14ac:dyDescent="0.3">
      <c r="B832" t="s">
        <v>925</v>
      </c>
      <c r="C832" t="s">
        <v>73</v>
      </c>
      <c r="D832" t="s">
        <v>3</v>
      </c>
      <c r="E832" t="s">
        <v>19</v>
      </c>
      <c r="F832" t="s">
        <v>12</v>
      </c>
      <c r="G832" t="s">
        <v>60</v>
      </c>
      <c r="H832">
        <v>2025</v>
      </c>
      <c r="I832">
        <v>4730</v>
      </c>
      <c r="J832">
        <v>4.5999999999999996</v>
      </c>
      <c r="K832" t="s">
        <v>21</v>
      </c>
      <c r="L832">
        <v>14.8</v>
      </c>
      <c r="M832">
        <v>10</v>
      </c>
      <c r="N832">
        <v>4129</v>
      </c>
      <c r="O832" t="s">
        <v>55</v>
      </c>
      <c r="P832">
        <v>65.7</v>
      </c>
      <c r="Q832" t="s">
        <v>76</v>
      </c>
      <c r="R832">
        <v>-25.5</v>
      </c>
      <c r="S832">
        <v>-18.600000000000001</v>
      </c>
      <c r="T832">
        <v>-4.5999999999999996</v>
      </c>
      <c r="U832">
        <v>9.3000000000000007</v>
      </c>
      <c r="V832">
        <v>5</v>
      </c>
      <c r="W832">
        <v>4.5</v>
      </c>
      <c r="X832" t="s">
        <v>116</v>
      </c>
    </row>
    <row r="833" spans="2:24" x14ac:dyDescent="0.3">
      <c r="B833" t="s">
        <v>926</v>
      </c>
      <c r="C833" t="s">
        <v>100</v>
      </c>
      <c r="D833" t="s">
        <v>3</v>
      </c>
      <c r="E833" t="s">
        <v>19</v>
      </c>
      <c r="F833" t="s">
        <v>9</v>
      </c>
      <c r="G833" t="s">
        <v>104</v>
      </c>
      <c r="H833">
        <v>2026</v>
      </c>
      <c r="I833">
        <v>765</v>
      </c>
      <c r="J833">
        <v>0.2</v>
      </c>
      <c r="K833" t="s">
        <v>21</v>
      </c>
      <c r="L833">
        <v>10.1</v>
      </c>
      <c r="M833">
        <v>8.1999999999999993</v>
      </c>
      <c r="N833">
        <v>675</v>
      </c>
      <c r="O833" t="s">
        <v>55</v>
      </c>
      <c r="P833">
        <v>30.6</v>
      </c>
      <c r="Q833" t="s">
        <v>86</v>
      </c>
      <c r="R833">
        <v>-10.3</v>
      </c>
      <c r="S833">
        <v>-11.8</v>
      </c>
      <c r="T833">
        <v>4.5</v>
      </c>
      <c r="U833">
        <v>9.1999999999999993</v>
      </c>
      <c r="V833">
        <v>7.7</v>
      </c>
      <c r="W833">
        <v>6.7</v>
      </c>
      <c r="X833" t="s">
        <v>57</v>
      </c>
    </row>
    <row r="834" spans="2:24" x14ac:dyDescent="0.3">
      <c r="B834" t="s">
        <v>927</v>
      </c>
      <c r="C834" t="s">
        <v>122</v>
      </c>
      <c r="D834" t="s">
        <v>2</v>
      </c>
      <c r="E834" t="s">
        <v>17</v>
      </c>
      <c r="F834" t="s">
        <v>12</v>
      </c>
      <c r="G834" t="s">
        <v>63</v>
      </c>
      <c r="H834">
        <v>2024</v>
      </c>
      <c r="I834">
        <v>4178</v>
      </c>
      <c r="J834">
        <v>3.3</v>
      </c>
      <c r="K834" t="s">
        <v>21</v>
      </c>
      <c r="L834">
        <v>9.9</v>
      </c>
      <c r="M834">
        <v>10</v>
      </c>
      <c r="N834">
        <v>1408</v>
      </c>
      <c r="O834" t="s">
        <v>55</v>
      </c>
      <c r="P834">
        <v>68.599999999999994</v>
      </c>
      <c r="Q834" t="s">
        <v>56</v>
      </c>
      <c r="R834">
        <v>65.400000000000006</v>
      </c>
      <c r="S834">
        <v>59.8</v>
      </c>
      <c r="T834">
        <v>26.4</v>
      </c>
      <c r="U834">
        <v>9</v>
      </c>
      <c r="V834">
        <v>8</v>
      </c>
      <c r="W834">
        <v>7.7</v>
      </c>
      <c r="X834" t="s">
        <v>116</v>
      </c>
    </row>
    <row r="835" spans="2:24" x14ac:dyDescent="0.3">
      <c r="B835" t="s">
        <v>928</v>
      </c>
      <c r="C835" t="s">
        <v>73</v>
      </c>
      <c r="D835" t="s">
        <v>3</v>
      </c>
      <c r="E835" t="s">
        <v>15</v>
      </c>
      <c r="F835" t="s">
        <v>9</v>
      </c>
      <c r="G835" t="s">
        <v>115</v>
      </c>
      <c r="H835">
        <v>2025</v>
      </c>
      <c r="I835">
        <v>7542</v>
      </c>
      <c r="J835">
        <v>32.799999999999997</v>
      </c>
      <c r="K835" t="s">
        <v>25</v>
      </c>
      <c r="L835">
        <v>9.8000000000000007</v>
      </c>
      <c r="M835">
        <v>10</v>
      </c>
      <c r="N835">
        <v>340</v>
      </c>
      <c r="O835" t="s">
        <v>75</v>
      </c>
      <c r="P835">
        <v>83.1</v>
      </c>
      <c r="Q835" t="s">
        <v>125</v>
      </c>
      <c r="R835">
        <v>44.4</v>
      </c>
      <c r="S835">
        <v>33.799999999999997</v>
      </c>
      <c r="T835">
        <v>10.1</v>
      </c>
      <c r="U835">
        <v>7</v>
      </c>
      <c r="V835">
        <v>5.6</v>
      </c>
      <c r="W835">
        <v>3.7</v>
      </c>
      <c r="X835" t="s">
        <v>66</v>
      </c>
    </row>
    <row r="836" spans="2:24" x14ac:dyDescent="0.3">
      <c r="B836" t="s">
        <v>929</v>
      </c>
      <c r="C836" t="s">
        <v>137</v>
      </c>
      <c r="D836" t="s">
        <v>3</v>
      </c>
      <c r="E836" t="s">
        <v>14</v>
      </c>
      <c r="F836" t="s">
        <v>12</v>
      </c>
      <c r="G836" t="s">
        <v>101</v>
      </c>
      <c r="H836">
        <v>2026</v>
      </c>
      <c r="I836">
        <v>1091</v>
      </c>
      <c r="J836">
        <v>0.1</v>
      </c>
      <c r="K836" t="s">
        <v>23</v>
      </c>
      <c r="L836">
        <v>3.2</v>
      </c>
      <c r="M836">
        <v>4.0999999999999996</v>
      </c>
      <c r="N836">
        <v>1844</v>
      </c>
      <c r="O836" t="s">
        <v>64</v>
      </c>
      <c r="P836">
        <v>66.3</v>
      </c>
      <c r="Q836" t="s">
        <v>76</v>
      </c>
      <c r="R836">
        <v>-15.3</v>
      </c>
      <c r="S836">
        <v>7.5</v>
      </c>
      <c r="T836">
        <v>7.6</v>
      </c>
      <c r="U836">
        <v>4.8</v>
      </c>
      <c r="V836">
        <v>9.1</v>
      </c>
      <c r="W836">
        <v>8</v>
      </c>
      <c r="X836" t="s">
        <v>57</v>
      </c>
    </row>
    <row r="837" spans="2:24" x14ac:dyDescent="0.3">
      <c r="B837" t="s">
        <v>930</v>
      </c>
      <c r="C837" t="s">
        <v>27</v>
      </c>
      <c r="D837" t="s">
        <v>2</v>
      </c>
      <c r="E837" t="s">
        <v>19</v>
      </c>
      <c r="F837" t="s">
        <v>11</v>
      </c>
      <c r="G837" t="s">
        <v>112</v>
      </c>
      <c r="H837">
        <v>2025</v>
      </c>
      <c r="I837">
        <v>12491</v>
      </c>
      <c r="J837">
        <v>38.1</v>
      </c>
      <c r="K837" t="s">
        <v>21</v>
      </c>
      <c r="L837">
        <v>3</v>
      </c>
      <c r="M837">
        <v>10</v>
      </c>
      <c r="N837">
        <v>3737</v>
      </c>
      <c r="O837" t="s">
        <v>64</v>
      </c>
      <c r="P837">
        <v>77.099999999999994</v>
      </c>
      <c r="Q837" t="s">
        <v>76</v>
      </c>
      <c r="R837">
        <v>63.5</v>
      </c>
      <c r="S837">
        <v>-6.8</v>
      </c>
      <c r="T837">
        <v>-11.4</v>
      </c>
      <c r="U837">
        <v>2</v>
      </c>
      <c r="V837">
        <v>3.9</v>
      </c>
      <c r="W837">
        <v>2</v>
      </c>
      <c r="X837" t="s">
        <v>66</v>
      </c>
    </row>
    <row r="838" spans="2:24" x14ac:dyDescent="0.3">
      <c r="B838" t="s">
        <v>931</v>
      </c>
      <c r="C838" t="s">
        <v>142</v>
      </c>
      <c r="D838" t="s">
        <v>8</v>
      </c>
      <c r="E838" t="s">
        <v>18</v>
      </c>
      <c r="F838" t="s">
        <v>12</v>
      </c>
      <c r="G838" t="s">
        <v>131</v>
      </c>
      <c r="H838">
        <v>2024</v>
      </c>
      <c r="I838">
        <v>4812</v>
      </c>
      <c r="J838">
        <v>11.6</v>
      </c>
      <c r="K838" t="s">
        <v>21</v>
      </c>
      <c r="L838">
        <v>3.8</v>
      </c>
      <c r="M838">
        <v>4.7</v>
      </c>
      <c r="N838">
        <v>860</v>
      </c>
      <c r="O838" t="s">
        <v>64</v>
      </c>
      <c r="P838">
        <v>39</v>
      </c>
      <c r="Q838" t="s">
        <v>56</v>
      </c>
      <c r="R838">
        <v>38.6</v>
      </c>
      <c r="S838">
        <v>6.2</v>
      </c>
      <c r="T838">
        <v>4.4000000000000004</v>
      </c>
      <c r="U838">
        <v>3.4</v>
      </c>
      <c r="V838">
        <v>7.3</v>
      </c>
      <c r="W838">
        <v>5.5</v>
      </c>
      <c r="X838" t="s">
        <v>116</v>
      </c>
    </row>
    <row r="839" spans="2:24" x14ac:dyDescent="0.3">
      <c r="B839" t="s">
        <v>932</v>
      </c>
      <c r="C839" t="s">
        <v>106</v>
      </c>
      <c r="D839" t="s">
        <v>4</v>
      </c>
      <c r="E839" t="s">
        <v>18</v>
      </c>
      <c r="F839" t="s">
        <v>9</v>
      </c>
      <c r="G839" t="s">
        <v>131</v>
      </c>
      <c r="H839">
        <v>2024</v>
      </c>
      <c r="I839">
        <v>3990</v>
      </c>
      <c r="J839">
        <v>5</v>
      </c>
      <c r="K839" t="s">
        <v>25</v>
      </c>
      <c r="L839">
        <v>4.7</v>
      </c>
      <c r="M839">
        <v>4.5999999999999996</v>
      </c>
      <c r="N839">
        <v>1774</v>
      </c>
      <c r="O839" t="s">
        <v>64</v>
      </c>
      <c r="P839">
        <v>27.1</v>
      </c>
      <c r="Q839" t="s">
        <v>56</v>
      </c>
      <c r="R839">
        <v>-5.8</v>
      </c>
      <c r="S839">
        <v>40.9</v>
      </c>
      <c r="T839">
        <v>21.2</v>
      </c>
      <c r="U839">
        <v>2.8</v>
      </c>
      <c r="V839">
        <v>6.7</v>
      </c>
      <c r="W839">
        <v>8.1</v>
      </c>
      <c r="X839" t="s">
        <v>116</v>
      </c>
    </row>
    <row r="840" spans="2:24" x14ac:dyDescent="0.3">
      <c r="B840" t="s">
        <v>933</v>
      </c>
      <c r="C840" t="s">
        <v>106</v>
      </c>
      <c r="D840" t="s">
        <v>7</v>
      </c>
      <c r="E840" t="s">
        <v>19</v>
      </c>
      <c r="F840" t="s">
        <v>12</v>
      </c>
      <c r="G840" t="s">
        <v>104</v>
      </c>
      <c r="H840">
        <v>2025</v>
      </c>
      <c r="I840">
        <v>1536</v>
      </c>
      <c r="J840">
        <v>10.7</v>
      </c>
      <c r="K840" t="s">
        <v>25</v>
      </c>
      <c r="L840">
        <v>15.4</v>
      </c>
      <c r="M840">
        <v>8.6999999999999993</v>
      </c>
      <c r="N840">
        <v>3881</v>
      </c>
      <c r="O840" t="s">
        <v>55</v>
      </c>
      <c r="P840">
        <v>74.8</v>
      </c>
      <c r="Q840" t="s">
        <v>76</v>
      </c>
      <c r="R840">
        <v>-17.600000000000001</v>
      </c>
      <c r="S840">
        <v>43.8</v>
      </c>
      <c r="T840">
        <v>18</v>
      </c>
      <c r="U840">
        <v>9.1</v>
      </c>
      <c r="V840">
        <v>9.3000000000000007</v>
      </c>
      <c r="W840">
        <v>6.6</v>
      </c>
      <c r="X840" t="s">
        <v>116</v>
      </c>
    </row>
    <row r="841" spans="2:24" x14ac:dyDescent="0.3">
      <c r="B841" t="s">
        <v>934</v>
      </c>
      <c r="C841" t="s">
        <v>137</v>
      </c>
      <c r="D841" t="s">
        <v>4</v>
      </c>
      <c r="E841" t="s">
        <v>15</v>
      </c>
      <c r="F841" t="s">
        <v>12</v>
      </c>
      <c r="G841" t="s">
        <v>69</v>
      </c>
      <c r="H841">
        <v>2024</v>
      </c>
      <c r="I841">
        <v>19309</v>
      </c>
      <c r="J841">
        <v>34.4</v>
      </c>
      <c r="K841" t="s">
        <v>22</v>
      </c>
      <c r="L841">
        <v>10.4</v>
      </c>
      <c r="M841">
        <v>10</v>
      </c>
      <c r="N841">
        <v>1730</v>
      </c>
      <c r="O841" t="s">
        <v>64</v>
      </c>
      <c r="P841">
        <v>13.8</v>
      </c>
      <c r="Q841" t="s">
        <v>84</v>
      </c>
      <c r="R841">
        <v>83.9</v>
      </c>
      <c r="S841">
        <v>33.200000000000003</v>
      </c>
      <c r="T841">
        <v>2.6</v>
      </c>
      <c r="U841">
        <v>9</v>
      </c>
      <c r="V841">
        <v>6.4</v>
      </c>
      <c r="W841">
        <v>4</v>
      </c>
      <c r="X841" t="s">
        <v>66</v>
      </c>
    </row>
    <row r="842" spans="2:24" x14ac:dyDescent="0.3">
      <c r="B842" t="s">
        <v>935</v>
      </c>
      <c r="C842" t="s">
        <v>81</v>
      </c>
      <c r="D842" t="s">
        <v>5</v>
      </c>
      <c r="E842" t="s">
        <v>17</v>
      </c>
      <c r="F842" t="s">
        <v>12</v>
      </c>
      <c r="G842" t="s">
        <v>54</v>
      </c>
      <c r="H842">
        <v>2025</v>
      </c>
      <c r="I842">
        <v>2096</v>
      </c>
      <c r="J842">
        <v>7.4</v>
      </c>
      <c r="K842" t="s">
        <v>24</v>
      </c>
      <c r="L842">
        <v>3.9</v>
      </c>
      <c r="M842">
        <v>2.5</v>
      </c>
      <c r="N842">
        <v>1272</v>
      </c>
      <c r="O842" t="s">
        <v>64</v>
      </c>
      <c r="P842">
        <v>81.2</v>
      </c>
      <c r="Q842" t="s">
        <v>88</v>
      </c>
      <c r="R842">
        <v>31</v>
      </c>
      <c r="S842">
        <v>59.5</v>
      </c>
      <c r="T842">
        <v>14.2</v>
      </c>
      <c r="U842">
        <v>2.4</v>
      </c>
      <c r="V842">
        <v>9.6999999999999993</v>
      </c>
      <c r="W842">
        <v>8.4</v>
      </c>
      <c r="X842" t="s">
        <v>116</v>
      </c>
    </row>
    <row r="843" spans="2:24" x14ac:dyDescent="0.3">
      <c r="B843" t="s">
        <v>936</v>
      </c>
      <c r="C843" t="s">
        <v>106</v>
      </c>
      <c r="D843" t="s">
        <v>4</v>
      </c>
      <c r="E843" t="s">
        <v>18</v>
      </c>
      <c r="F843" t="s">
        <v>11</v>
      </c>
      <c r="G843" t="s">
        <v>104</v>
      </c>
      <c r="H843">
        <v>2026</v>
      </c>
      <c r="I843">
        <v>3956</v>
      </c>
      <c r="J843">
        <v>13.4</v>
      </c>
      <c r="K843" t="s">
        <v>24</v>
      </c>
      <c r="L843">
        <v>7.9</v>
      </c>
      <c r="M843">
        <v>9.8000000000000007</v>
      </c>
      <c r="N843">
        <v>4068</v>
      </c>
      <c r="O843" t="s">
        <v>64</v>
      </c>
      <c r="P843">
        <v>21.8</v>
      </c>
      <c r="Q843" t="s">
        <v>65</v>
      </c>
      <c r="R843">
        <v>73.400000000000006</v>
      </c>
      <c r="S843">
        <v>53.3</v>
      </c>
      <c r="T843">
        <v>29.1</v>
      </c>
      <c r="U843">
        <v>5.0999999999999996</v>
      </c>
      <c r="V843">
        <v>8.1999999999999993</v>
      </c>
      <c r="W843">
        <v>6.8</v>
      </c>
      <c r="X843" t="s">
        <v>116</v>
      </c>
    </row>
    <row r="844" spans="2:24" x14ac:dyDescent="0.3">
      <c r="B844" t="s">
        <v>937</v>
      </c>
      <c r="C844" t="s">
        <v>73</v>
      </c>
      <c r="D844" t="s">
        <v>2</v>
      </c>
      <c r="E844" t="s">
        <v>18</v>
      </c>
      <c r="F844" t="s">
        <v>10</v>
      </c>
      <c r="G844" t="s">
        <v>112</v>
      </c>
      <c r="H844">
        <v>2026</v>
      </c>
      <c r="I844">
        <v>2075</v>
      </c>
      <c r="J844">
        <v>9.5</v>
      </c>
      <c r="K844" t="s">
        <v>21</v>
      </c>
      <c r="L844">
        <v>13</v>
      </c>
      <c r="M844">
        <v>9</v>
      </c>
      <c r="N844">
        <v>1463</v>
      </c>
      <c r="O844" t="s">
        <v>55</v>
      </c>
      <c r="P844">
        <v>84.9</v>
      </c>
      <c r="Q844" t="s">
        <v>76</v>
      </c>
      <c r="R844">
        <v>38.5</v>
      </c>
      <c r="S844">
        <v>10.9</v>
      </c>
      <c r="T844">
        <v>14.8</v>
      </c>
      <c r="U844">
        <v>8.3000000000000007</v>
      </c>
      <c r="V844">
        <v>6.3</v>
      </c>
      <c r="W844">
        <v>5.6</v>
      </c>
      <c r="X844" t="s">
        <v>116</v>
      </c>
    </row>
    <row r="845" spans="2:24" x14ac:dyDescent="0.3">
      <c r="B845" t="s">
        <v>938</v>
      </c>
      <c r="C845" t="s">
        <v>81</v>
      </c>
      <c r="D845" t="s">
        <v>5</v>
      </c>
      <c r="E845" t="s">
        <v>14</v>
      </c>
      <c r="F845" t="s">
        <v>9</v>
      </c>
      <c r="G845" t="s">
        <v>101</v>
      </c>
      <c r="H845">
        <v>2024</v>
      </c>
      <c r="I845">
        <v>2324</v>
      </c>
      <c r="J845">
        <v>7.6</v>
      </c>
      <c r="K845" t="s">
        <v>21</v>
      </c>
      <c r="L845">
        <v>1.1000000000000001</v>
      </c>
      <c r="M845">
        <v>1.8</v>
      </c>
      <c r="N845">
        <v>5285</v>
      </c>
      <c r="O845" t="s">
        <v>55</v>
      </c>
      <c r="P845">
        <v>57.1</v>
      </c>
      <c r="Q845" t="s">
        <v>88</v>
      </c>
      <c r="R845">
        <v>25.8</v>
      </c>
      <c r="S845">
        <v>-17.3</v>
      </c>
      <c r="T845">
        <v>-0.1</v>
      </c>
      <c r="U845">
        <v>1.2</v>
      </c>
      <c r="V845">
        <v>6.2</v>
      </c>
      <c r="W845">
        <v>5.9</v>
      </c>
      <c r="X845" t="s">
        <v>57</v>
      </c>
    </row>
    <row r="846" spans="2:24" x14ac:dyDescent="0.3">
      <c r="B846" t="s">
        <v>939</v>
      </c>
      <c r="C846" t="s">
        <v>139</v>
      </c>
      <c r="D846" t="s">
        <v>8</v>
      </c>
      <c r="E846" t="s">
        <v>14</v>
      </c>
      <c r="F846" t="s">
        <v>10</v>
      </c>
      <c r="G846" t="s">
        <v>74</v>
      </c>
      <c r="H846">
        <v>2024</v>
      </c>
      <c r="I846">
        <v>2936</v>
      </c>
      <c r="J846">
        <v>5.2</v>
      </c>
      <c r="K846" t="s">
        <v>24</v>
      </c>
      <c r="L846">
        <v>9.1</v>
      </c>
      <c r="M846">
        <v>8.5</v>
      </c>
      <c r="N846">
        <v>3727</v>
      </c>
      <c r="O846" t="s">
        <v>64</v>
      </c>
      <c r="P846">
        <v>22.9</v>
      </c>
      <c r="Q846" t="s">
        <v>76</v>
      </c>
      <c r="R846">
        <v>-15.4</v>
      </c>
      <c r="S846">
        <v>25.1</v>
      </c>
      <c r="T846">
        <v>5.6</v>
      </c>
      <c r="U846">
        <v>7.2</v>
      </c>
      <c r="V846">
        <v>8.6</v>
      </c>
      <c r="W846">
        <v>6.4</v>
      </c>
      <c r="X846" t="s">
        <v>116</v>
      </c>
    </row>
    <row r="847" spans="2:24" x14ac:dyDescent="0.3">
      <c r="B847" t="s">
        <v>940</v>
      </c>
      <c r="C847" t="s">
        <v>83</v>
      </c>
      <c r="D847" t="s">
        <v>4</v>
      </c>
      <c r="E847" t="s">
        <v>18</v>
      </c>
      <c r="F847" t="s">
        <v>12</v>
      </c>
      <c r="G847" t="s">
        <v>104</v>
      </c>
      <c r="H847">
        <v>2026</v>
      </c>
      <c r="I847">
        <v>19446</v>
      </c>
      <c r="J847">
        <v>20.399999999999999</v>
      </c>
      <c r="K847" t="s">
        <v>24</v>
      </c>
      <c r="L847">
        <v>4.3</v>
      </c>
      <c r="M847">
        <v>10</v>
      </c>
      <c r="N847">
        <v>818</v>
      </c>
      <c r="O847" t="s">
        <v>64</v>
      </c>
      <c r="P847">
        <v>11.8</v>
      </c>
      <c r="Q847" t="s">
        <v>86</v>
      </c>
      <c r="R847">
        <v>-11.7</v>
      </c>
      <c r="S847">
        <v>46.5</v>
      </c>
      <c r="T847">
        <v>8.6999999999999993</v>
      </c>
      <c r="U847">
        <v>6.8</v>
      </c>
      <c r="V847">
        <v>6.5</v>
      </c>
      <c r="W847">
        <v>4.9000000000000004</v>
      </c>
      <c r="X847" t="s">
        <v>66</v>
      </c>
    </row>
    <row r="848" spans="2:24" x14ac:dyDescent="0.3">
      <c r="B848" t="s">
        <v>941</v>
      </c>
      <c r="C848" t="s">
        <v>90</v>
      </c>
      <c r="D848" t="s">
        <v>5</v>
      </c>
      <c r="E848" t="s">
        <v>17</v>
      </c>
      <c r="F848" t="s">
        <v>9</v>
      </c>
      <c r="G848" t="s">
        <v>112</v>
      </c>
      <c r="H848">
        <v>2025</v>
      </c>
      <c r="I848">
        <v>573</v>
      </c>
      <c r="J848">
        <v>3.9</v>
      </c>
      <c r="K848" t="s">
        <v>23</v>
      </c>
      <c r="L848">
        <v>4.0999999999999996</v>
      </c>
      <c r="M848">
        <v>3.7</v>
      </c>
      <c r="N848">
        <v>1445</v>
      </c>
      <c r="O848" t="s">
        <v>64</v>
      </c>
      <c r="P848">
        <v>81.900000000000006</v>
      </c>
      <c r="Q848" t="s">
        <v>76</v>
      </c>
      <c r="R848">
        <v>78.7</v>
      </c>
      <c r="S848">
        <v>44.5</v>
      </c>
      <c r="T848">
        <v>25.6</v>
      </c>
      <c r="U848">
        <v>4.4000000000000004</v>
      </c>
      <c r="V848">
        <v>7.2</v>
      </c>
      <c r="W848">
        <v>7.7</v>
      </c>
      <c r="X848" t="s">
        <v>116</v>
      </c>
    </row>
    <row r="849" spans="2:24" x14ac:dyDescent="0.3">
      <c r="B849" t="s">
        <v>942</v>
      </c>
      <c r="C849" t="s">
        <v>90</v>
      </c>
      <c r="D849" t="s">
        <v>2</v>
      </c>
      <c r="E849" t="s">
        <v>18</v>
      </c>
      <c r="F849" t="s">
        <v>11</v>
      </c>
      <c r="G849" t="s">
        <v>63</v>
      </c>
      <c r="H849">
        <v>2024</v>
      </c>
      <c r="I849">
        <v>8133</v>
      </c>
      <c r="J849">
        <v>28.5</v>
      </c>
      <c r="K849" t="s">
        <v>21</v>
      </c>
      <c r="L849">
        <v>2.1</v>
      </c>
      <c r="M849">
        <v>9.1999999999999993</v>
      </c>
      <c r="N849">
        <v>8529</v>
      </c>
      <c r="O849" t="s">
        <v>64</v>
      </c>
      <c r="P849">
        <v>71.2</v>
      </c>
      <c r="Q849" t="s">
        <v>76</v>
      </c>
      <c r="R849">
        <v>-23.8</v>
      </c>
      <c r="S849">
        <v>15.2</v>
      </c>
      <c r="T849">
        <v>1.8</v>
      </c>
      <c r="U849">
        <v>2.2000000000000002</v>
      </c>
      <c r="V849">
        <v>6.7</v>
      </c>
      <c r="W849">
        <v>2.9</v>
      </c>
      <c r="X849" t="s">
        <v>66</v>
      </c>
    </row>
    <row r="850" spans="2:24" x14ac:dyDescent="0.3">
      <c r="B850" t="s">
        <v>943</v>
      </c>
      <c r="C850" t="s">
        <v>106</v>
      </c>
      <c r="D850" t="s">
        <v>8</v>
      </c>
      <c r="E850" t="s">
        <v>16</v>
      </c>
      <c r="F850" t="s">
        <v>9</v>
      </c>
      <c r="G850" t="s">
        <v>104</v>
      </c>
      <c r="H850">
        <v>2026</v>
      </c>
      <c r="I850">
        <v>419</v>
      </c>
      <c r="J850">
        <v>7.2</v>
      </c>
      <c r="K850" t="s">
        <v>22</v>
      </c>
      <c r="L850">
        <v>2.8</v>
      </c>
      <c r="M850">
        <v>5.5</v>
      </c>
      <c r="N850">
        <v>2916</v>
      </c>
      <c r="O850" t="s">
        <v>64</v>
      </c>
      <c r="P850">
        <v>60.1</v>
      </c>
      <c r="Q850" t="s">
        <v>79</v>
      </c>
      <c r="R850">
        <v>49.7</v>
      </c>
      <c r="S850">
        <v>51.5</v>
      </c>
      <c r="T850">
        <v>21.1</v>
      </c>
      <c r="U850">
        <v>4.3</v>
      </c>
      <c r="V850">
        <v>8.4</v>
      </c>
      <c r="W850">
        <v>7.8</v>
      </c>
      <c r="X850" t="s">
        <v>116</v>
      </c>
    </row>
    <row r="851" spans="2:24" x14ac:dyDescent="0.3">
      <c r="B851" t="s">
        <v>944</v>
      </c>
      <c r="C851" t="s">
        <v>92</v>
      </c>
      <c r="D851" t="s">
        <v>7</v>
      </c>
      <c r="E851" t="s">
        <v>16</v>
      </c>
      <c r="F851" t="s">
        <v>12</v>
      </c>
      <c r="G851" t="s">
        <v>112</v>
      </c>
      <c r="H851">
        <v>2025</v>
      </c>
      <c r="I851">
        <v>685</v>
      </c>
      <c r="J851">
        <v>4.9000000000000004</v>
      </c>
      <c r="K851" t="s">
        <v>25</v>
      </c>
      <c r="L851">
        <v>6.4</v>
      </c>
      <c r="M851">
        <v>7</v>
      </c>
      <c r="N851">
        <v>4338</v>
      </c>
      <c r="O851" t="s">
        <v>55</v>
      </c>
      <c r="P851">
        <v>76.599999999999994</v>
      </c>
      <c r="Q851" t="s">
        <v>56</v>
      </c>
      <c r="R851">
        <v>40.6</v>
      </c>
      <c r="S851">
        <v>56.3</v>
      </c>
      <c r="T851">
        <v>26.7</v>
      </c>
      <c r="U851">
        <v>8.4</v>
      </c>
      <c r="V851">
        <v>9.5</v>
      </c>
      <c r="W851">
        <v>8.3000000000000007</v>
      </c>
      <c r="X851" t="s">
        <v>57</v>
      </c>
    </row>
    <row r="852" spans="2:24" x14ac:dyDescent="0.3">
      <c r="B852" t="s">
        <v>945</v>
      </c>
      <c r="C852" t="s">
        <v>90</v>
      </c>
      <c r="D852" t="s">
        <v>6</v>
      </c>
      <c r="E852" t="s">
        <v>16</v>
      </c>
      <c r="F852" t="s">
        <v>11</v>
      </c>
      <c r="G852" t="s">
        <v>60</v>
      </c>
      <c r="H852">
        <v>2025</v>
      </c>
      <c r="I852">
        <v>1775</v>
      </c>
      <c r="J852">
        <v>0.4</v>
      </c>
      <c r="K852" t="s">
        <v>21</v>
      </c>
      <c r="L852">
        <v>4.3</v>
      </c>
      <c r="M852">
        <v>6.3</v>
      </c>
      <c r="N852">
        <v>4720</v>
      </c>
      <c r="O852" t="s">
        <v>55</v>
      </c>
      <c r="P852">
        <v>14.1</v>
      </c>
      <c r="Q852" t="s">
        <v>76</v>
      </c>
      <c r="R852">
        <v>79.8</v>
      </c>
      <c r="S852">
        <v>27.5</v>
      </c>
      <c r="T852">
        <v>18</v>
      </c>
      <c r="U852">
        <v>5.8</v>
      </c>
      <c r="V852">
        <v>9</v>
      </c>
      <c r="W852">
        <v>7</v>
      </c>
      <c r="X852" t="s">
        <v>57</v>
      </c>
    </row>
    <row r="853" spans="2:24" x14ac:dyDescent="0.3">
      <c r="B853" t="s">
        <v>946</v>
      </c>
      <c r="C853" t="s">
        <v>159</v>
      </c>
      <c r="D853" t="s">
        <v>7</v>
      </c>
      <c r="E853" t="s">
        <v>18</v>
      </c>
      <c r="F853" t="s">
        <v>11</v>
      </c>
      <c r="G853" t="s">
        <v>74</v>
      </c>
      <c r="H853">
        <v>2025</v>
      </c>
      <c r="I853">
        <v>11932</v>
      </c>
      <c r="J853">
        <v>16</v>
      </c>
      <c r="K853" t="s">
        <v>24</v>
      </c>
      <c r="L853">
        <v>5</v>
      </c>
      <c r="M853">
        <v>10</v>
      </c>
      <c r="N853">
        <v>1095</v>
      </c>
      <c r="O853" t="s">
        <v>64</v>
      </c>
      <c r="P853">
        <v>24</v>
      </c>
      <c r="Q853" t="s">
        <v>65</v>
      </c>
      <c r="R853">
        <v>33.299999999999997</v>
      </c>
      <c r="S853">
        <v>46.3</v>
      </c>
      <c r="T853">
        <v>16.100000000000001</v>
      </c>
      <c r="U853">
        <v>6.2</v>
      </c>
      <c r="V853">
        <v>8.4</v>
      </c>
      <c r="W853">
        <v>4.9000000000000004</v>
      </c>
      <c r="X853" t="s">
        <v>66</v>
      </c>
    </row>
    <row r="854" spans="2:24" x14ac:dyDescent="0.3">
      <c r="B854" t="s">
        <v>947</v>
      </c>
      <c r="C854" t="s">
        <v>137</v>
      </c>
      <c r="D854" t="s">
        <v>3</v>
      </c>
      <c r="E854" t="s">
        <v>16</v>
      </c>
      <c r="F854" t="s">
        <v>10</v>
      </c>
      <c r="G854" t="s">
        <v>78</v>
      </c>
      <c r="H854">
        <v>2025</v>
      </c>
      <c r="I854">
        <v>19847</v>
      </c>
      <c r="J854">
        <v>19.100000000000001</v>
      </c>
      <c r="K854" t="s">
        <v>21</v>
      </c>
      <c r="L854">
        <v>4.8</v>
      </c>
      <c r="M854">
        <v>10</v>
      </c>
      <c r="N854">
        <v>625</v>
      </c>
      <c r="O854" t="s">
        <v>75</v>
      </c>
      <c r="P854">
        <v>57.7</v>
      </c>
      <c r="Q854" t="s">
        <v>84</v>
      </c>
      <c r="R854">
        <v>34.9</v>
      </c>
      <c r="S854">
        <v>-11.4</v>
      </c>
      <c r="T854">
        <v>1.6</v>
      </c>
      <c r="U854">
        <v>4.5999999999999996</v>
      </c>
      <c r="V854">
        <v>4.2</v>
      </c>
      <c r="W854">
        <v>4.0999999999999996</v>
      </c>
      <c r="X854" t="s">
        <v>66</v>
      </c>
    </row>
    <row r="855" spans="2:24" x14ac:dyDescent="0.3">
      <c r="B855" t="s">
        <v>948</v>
      </c>
      <c r="C855" t="s">
        <v>159</v>
      </c>
      <c r="D855" t="s">
        <v>7</v>
      </c>
      <c r="E855" t="s">
        <v>17</v>
      </c>
      <c r="F855" t="s">
        <v>9</v>
      </c>
      <c r="G855" t="s">
        <v>63</v>
      </c>
      <c r="H855">
        <v>2025</v>
      </c>
      <c r="I855">
        <v>1489</v>
      </c>
      <c r="J855">
        <v>0.8</v>
      </c>
      <c r="K855" t="s">
        <v>24</v>
      </c>
      <c r="L855">
        <v>13.6</v>
      </c>
      <c r="M855">
        <v>6.1</v>
      </c>
      <c r="N855">
        <v>3829</v>
      </c>
      <c r="O855" t="s">
        <v>55</v>
      </c>
      <c r="P855">
        <v>30.7</v>
      </c>
      <c r="Q855" t="s">
        <v>65</v>
      </c>
      <c r="R855">
        <v>45.8</v>
      </c>
      <c r="S855">
        <v>37.1</v>
      </c>
      <c r="T855">
        <v>9</v>
      </c>
      <c r="U855">
        <v>8.1999999999999993</v>
      </c>
      <c r="V855">
        <v>10</v>
      </c>
      <c r="W855">
        <v>8</v>
      </c>
      <c r="X855" t="s">
        <v>57</v>
      </c>
    </row>
    <row r="856" spans="2:24" x14ac:dyDescent="0.3">
      <c r="B856" t="s">
        <v>949</v>
      </c>
      <c r="C856" t="s">
        <v>92</v>
      </c>
      <c r="D856" t="s">
        <v>7</v>
      </c>
      <c r="E856" t="s">
        <v>14</v>
      </c>
      <c r="F856" t="s">
        <v>9</v>
      </c>
      <c r="G856" t="s">
        <v>60</v>
      </c>
      <c r="H856">
        <v>2024</v>
      </c>
      <c r="I856">
        <v>1186</v>
      </c>
      <c r="J856">
        <v>9.5</v>
      </c>
      <c r="K856" t="s">
        <v>24</v>
      </c>
      <c r="L856">
        <v>5.8</v>
      </c>
      <c r="M856">
        <v>5</v>
      </c>
      <c r="N856">
        <v>5684</v>
      </c>
      <c r="O856" t="s">
        <v>55</v>
      </c>
      <c r="P856">
        <v>30.1</v>
      </c>
      <c r="Q856" t="s">
        <v>88</v>
      </c>
      <c r="R856">
        <v>-8</v>
      </c>
      <c r="S856">
        <v>-12.6</v>
      </c>
      <c r="T856">
        <v>-13.5</v>
      </c>
      <c r="U856">
        <v>4.4000000000000004</v>
      </c>
      <c r="V856">
        <v>7.3</v>
      </c>
      <c r="W856">
        <v>4.9000000000000004</v>
      </c>
      <c r="X856" t="s">
        <v>57</v>
      </c>
    </row>
    <row r="857" spans="2:24" x14ac:dyDescent="0.3">
      <c r="B857" t="s">
        <v>950</v>
      </c>
      <c r="C857" t="s">
        <v>106</v>
      </c>
      <c r="D857" t="s">
        <v>7</v>
      </c>
      <c r="E857" t="s">
        <v>14</v>
      </c>
      <c r="F857" t="s">
        <v>11</v>
      </c>
      <c r="G857" t="s">
        <v>115</v>
      </c>
      <c r="H857">
        <v>2026</v>
      </c>
      <c r="I857">
        <v>12763</v>
      </c>
      <c r="J857">
        <v>13.4</v>
      </c>
      <c r="K857" t="s">
        <v>21</v>
      </c>
      <c r="L857">
        <v>8.8000000000000007</v>
      </c>
      <c r="M857">
        <v>5.0999999999999996</v>
      </c>
      <c r="N857">
        <v>953</v>
      </c>
      <c r="O857" t="s">
        <v>64</v>
      </c>
      <c r="P857">
        <v>34.299999999999997</v>
      </c>
      <c r="Q857" t="s">
        <v>65</v>
      </c>
      <c r="R857">
        <v>-34.1</v>
      </c>
      <c r="S857">
        <v>-22.8</v>
      </c>
      <c r="T857">
        <v>-17.7</v>
      </c>
      <c r="U857">
        <v>6.6</v>
      </c>
      <c r="V857">
        <v>6.2</v>
      </c>
      <c r="W857">
        <v>4.5999999999999996</v>
      </c>
      <c r="X857" t="s">
        <v>66</v>
      </c>
    </row>
    <row r="858" spans="2:24" x14ac:dyDescent="0.3">
      <c r="B858" t="s">
        <v>951</v>
      </c>
      <c r="C858" t="s">
        <v>71</v>
      </c>
      <c r="D858" t="s">
        <v>5</v>
      </c>
      <c r="E858" t="s">
        <v>19</v>
      </c>
      <c r="F858" t="s">
        <v>10</v>
      </c>
      <c r="G858" t="s">
        <v>104</v>
      </c>
      <c r="H858">
        <v>2025</v>
      </c>
      <c r="I858">
        <v>8819</v>
      </c>
      <c r="J858">
        <v>15.6</v>
      </c>
      <c r="K858" t="s">
        <v>23</v>
      </c>
      <c r="L858">
        <v>1.5</v>
      </c>
      <c r="M858">
        <v>4</v>
      </c>
      <c r="N858">
        <v>418</v>
      </c>
      <c r="O858" t="s">
        <v>75</v>
      </c>
      <c r="P858">
        <v>65.099999999999994</v>
      </c>
      <c r="Q858" t="s">
        <v>84</v>
      </c>
      <c r="R858">
        <v>6.4</v>
      </c>
      <c r="S858">
        <v>-11.7</v>
      </c>
      <c r="T858">
        <v>-3.7</v>
      </c>
      <c r="U858">
        <v>1.2</v>
      </c>
      <c r="V858">
        <v>5.8</v>
      </c>
      <c r="W858">
        <v>4.5</v>
      </c>
      <c r="X858" t="s">
        <v>66</v>
      </c>
    </row>
    <row r="859" spans="2:24" x14ac:dyDescent="0.3">
      <c r="B859" t="s">
        <v>952</v>
      </c>
      <c r="C859" t="s">
        <v>73</v>
      </c>
      <c r="D859" t="s">
        <v>3</v>
      </c>
      <c r="E859" t="s">
        <v>19</v>
      </c>
      <c r="F859" t="s">
        <v>10</v>
      </c>
      <c r="G859" t="s">
        <v>104</v>
      </c>
      <c r="H859">
        <v>2026</v>
      </c>
      <c r="I859">
        <v>1390</v>
      </c>
      <c r="J859">
        <v>15</v>
      </c>
      <c r="K859" t="s">
        <v>21</v>
      </c>
      <c r="L859">
        <v>3.8</v>
      </c>
      <c r="M859">
        <v>10</v>
      </c>
      <c r="N859">
        <v>5911</v>
      </c>
      <c r="O859" t="s">
        <v>55</v>
      </c>
      <c r="P859">
        <v>51.9</v>
      </c>
      <c r="Q859" t="s">
        <v>84</v>
      </c>
      <c r="R859">
        <v>70.400000000000006</v>
      </c>
      <c r="S859">
        <v>33.9</v>
      </c>
      <c r="T859">
        <v>8.9</v>
      </c>
      <c r="U859">
        <v>4.4000000000000004</v>
      </c>
      <c r="V859">
        <v>7.9</v>
      </c>
      <c r="W859">
        <v>6.3</v>
      </c>
      <c r="X859" t="s">
        <v>116</v>
      </c>
    </row>
    <row r="860" spans="2:24" x14ac:dyDescent="0.3">
      <c r="B860" t="s">
        <v>953</v>
      </c>
      <c r="C860" t="s">
        <v>53</v>
      </c>
      <c r="D860" t="s">
        <v>7</v>
      </c>
      <c r="E860" t="s">
        <v>16</v>
      </c>
      <c r="F860" t="s">
        <v>11</v>
      </c>
      <c r="G860" t="s">
        <v>60</v>
      </c>
      <c r="H860">
        <v>2026</v>
      </c>
      <c r="I860">
        <v>5894</v>
      </c>
      <c r="J860">
        <v>4.4000000000000004</v>
      </c>
      <c r="K860" t="s">
        <v>24</v>
      </c>
      <c r="L860">
        <v>9</v>
      </c>
      <c r="M860">
        <v>3.8</v>
      </c>
      <c r="N860">
        <v>941</v>
      </c>
      <c r="O860" t="s">
        <v>64</v>
      </c>
      <c r="P860">
        <v>74</v>
      </c>
      <c r="Q860" t="s">
        <v>125</v>
      </c>
      <c r="R860">
        <v>-38.4</v>
      </c>
      <c r="S860">
        <v>29.1</v>
      </c>
      <c r="T860">
        <v>16.399999999999999</v>
      </c>
      <c r="U860">
        <v>5.3</v>
      </c>
      <c r="V860">
        <v>8.8000000000000007</v>
      </c>
      <c r="W860">
        <v>7.5</v>
      </c>
      <c r="X860" t="s">
        <v>116</v>
      </c>
    </row>
    <row r="861" spans="2:24" x14ac:dyDescent="0.3">
      <c r="B861" t="s">
        <v>954</v>
      </c>
      <c r="C861" t="s">
        <v>27</v>
      </c>
      <c r="D861" t="s">
        <v>2</v>
      </c>
      <c r="E861" t="s">
        <v>18</v>
      </c>
      <c r="F861" t="s">
        <v>11</v>
      </c>
      <c r="G861" t="s">
        <v>74</v>
      </c>
      <c r="H861">
        <v>2025</v>
      </c>
      <c r="I861">
        <v>2288</v>
      </c>
      <c r="J861">
        <v>3.7</v>
      </c>
      <c r="K861" t="s">
        <v>22</v>
      </c>
      <c r="L861">
        <v>5.2</v>
      </c>
      <c r="M861">
        <v>10</v>
      </c>
      <c r="N861">
        <v>1283</v>
      </c>
      <c r="O861" t="s">
        <v>64</v>
      </c>
      <c r="P861">
        <v>69.7</v>
      </c>
      <c r="Q861" t="s">
        <v>76</v>
      </c>
      <c r="R861">
        <v>-16.2</v>
      </c>
      <c r="S861">
        <v>19.600000000000001</v>
      </c>
      <c r="T861">
        <v>13.7</v>
      </c>
      <c r="U861">
        <v>6.9</v>
      </c>
      <c r="V861">
        <v>6.2</v>
      </c>
      <c r="W861">
        <v>7.2</v>
      </c>
      <c r="X861" t="s">
        <v>57</v>
      </c>
    </row>
    <row r="862" spans="2:24" x14ac:dyDescent="0.3">
      <c r="B862" t="s">
        <v>955</v>
      </c>
      <c r="C862" t="s">
        <v>62</v>
      </c>
      <c r="D862" t="s">
        <v>2</v>
      </c>
      <c r="E862" t="s">
        <v>16</v>
      </c>
      <c r="F862" t="s">
        <v>12</v>
      </c>
      <c r="G862" t="s">
        <v>60</v>
      </c>
      <c r="H862">
        <v>2025</v>
      </c>
      <c r="I862">
        <v>4990</v>
      </c>
      <c r="J862">
        <v>35.200000000000003</v>
      </c>
      <c r="K862" t="s">
        <v>22</v>
      </c>
      <c r="L862">
        <v>7.8</v>
      </c>
      <c r="M862">
        <v>9.1</v>
      </c>
      <c r="N862">
        <v>8073</v>
      </c>
      <c r="O862" t="s">
        <v>64</v>
      </c>
      <c r="P862">
        <v>14.2</v>
      </c>
      <c r="Q862" t="s">
        <v>56</v>
      </c>
      <c r="R862">
        <v>47.5</v>
      </c>
      <c r="S862">
        <v>6.5</v>
      </c>
      <c r="T862">
        <v>-1.1000000000000001</v>
      </c>
      <c r="U862">
        <v>4.8</v>
      </c>
      <c r="V862">
        <v>4</v>
      </c>
      <c r="W862">
        <v>3.8</v>
      </c>
      <c r="X862" t="s">
        <v>66</v>
      </c>
    </row>
    <row r="863" spans="2:24" x14ac:dyDescent="0.3">
      <c r="B863" t="s">
        <v>956</v>
      </c>
      <c r="C863" t="s">
        <v>142</v>
      </c>
      <c r="D863" t="s">
        <v>2</v>
      </c>
      <c r="E863" t="s">
        <v>14</v>
      </c>
      <c r="F863" t="s">
        <v>12</v>
      </c>
      <c r="G863" t="s">
        <v>98</v>
      </c>
      <c r="H863">
        <v>2024</v>
      </c>
      <c r="I863">
        <v>2034</v>
      </c>
      <c r="J863">
        <v>9.6999999999999993</v>
      </c>
      <c r="K863" t="s">
        <v>23</v>
      </c>
      <c r="L863">
        <v>9.3000000000000007</v>
      </c>
      <c r="M863">
        <v>9.6</v>
      </c>
      <c r="N863">
        <v>9238</v>
      </c>
      <c r="O863" t="s">
        <v>118</v>
      </c>
      <c r="P863">
        <v>83.4</v>
      </c>
      <c r="Q863" t="s">
        <v>76</v>
      </c>
      <c r="R863">
        <v>-36.700000000000003</v>
      </c>
      <c r="S863">
        <v>-11.7</v>
      </c>
      <c r="T863">
        <v>-11.2</v>
      </c>
      <c r="U863">
        <v>8.6</v>
      </c>
      <c r="V863">
        <v>6.2</v>
      </c>
      <c r="W863">
        <v>4.3</v>
      </c>
      <c r="X863" t="s">
        <v>57</v>
      </c>
    </row>
    <row r="864" spans="2:24" x14ac:dyDescent="0.3">
      <c r="B864" t="s">
        <v>957</v>
      </c>
      <c r="C864" t="s">
        <v>83</v>
      </c>
      <c r="D864" t="s">
        <v>4</v>
      </c>
      <c r="E864" t="s">
        <v>15</v>
      </c>
      <c r="F864" t="s">
        <v>9</v>
      </c>
      <c r="G864" t="s">
        <v>60</v>
      </c>
      <c r="H864">
        <v>2024</v>
      </c>
      <c r="I864">
        <v>5855</v>
      </c>
      <c r="J864">
        <v>27.2</v>
      </c>
      <c r="K864" t="s">
        <v>22</v>
      </c>
      <c r="L864">
        <v>3.9</v>
      </c>
      <c r="M864">
        <v>9.8000000000000007</v>
      </c>
      <c r="N864">
        <v>1579</v>
      </c>
      <c r="O864" t="s">
        <v>75</v>
      </c>
      <c r="P864">
        <v>27.5</v>
      </c>
      <c r="Q864" t="s">
        <v>65</v>
      </c>
      <c r="R864">
        <v>52.3</v>
      </c>
      <c r="S864">
        <v>51.1</v>
      </c>
      <c r="T864">
        <v>16.399999999999999</v>
      </c>
      <c r="U864">
        <v>4.7</v>
      </c>
      <c r="V864">
        <v>6.6</v>
      </c>
      <c r="W864">
        <v>5.7</v>
      </c>
      <c r="X864" t="s">
        <v>66</v>
      </c>
    </row>
    <row r="865" spans="2:24" x14ac:dyDescent="0.3">
      <c r="B865" t="s">
        <v>958</v>
      </c>
      <c r="C865" t="s">
        <v>71</v>
      </c>
      <c r="D865" t="s">
        <v>6</v>
      </c>
      <c r="E865" t="s">
        <v>16</v>
      </c>
      <c r="F865" t="s">
        <v>10</v>
      </c>
      <c r="G865" t="s">
        <v>104</v>
      </c>
      <c r="H865">
        <v>2025</v>
      </c>
      <c r="I865">
        <v>3957</v>
      </c>
      <c r="J865">
        <v>8.1</v>
      </c>
      <c r="K865" t="s">
        <v>23</v>
      </c>
      <c r="L865">
        <v>6.1</v>
      </c>
      <c r="M865">
        <v>9.1999999999999993</v>
      </c>
      <c r="N865">
        <v>829</v>
      </c>
      <c r="O865" t="s">
        <v>55</v>
      </c>
      <c r="P865">
        <v>12.4</v>
      </c>
      <c r="Q865" t="s">
        <v>76</v>
      </c>
      <c r="R865">
        <v>-29.7</v>
      </c>
      <c r="S865">
        <v>-11.7</v>
      </c>
      <c r="T865">
        <v>-8.3000000000000007</v>
      </c>
      <c r="U865">
        <v>9.1</v>
      </c>
      <c r="V865">
        <v>6.5</v>
      </c>
      <c r="W865">
        <v>4.8</v>
      </c>
      <c r="X865" t="s">
        <v>116</v>
      </c>
    </row>
    <row r="866" spans="2:24" x14ac:dyDescent="0.3">
      <c r="B866" t="s">
        <v>959</v>
      </c>
      <c r="C866" t="s">
        <v>71</v>
      </c>
      <c r="D866" t="s">
        <v>6</v>
      </c>
      <c r="E866" t="s">
        <v>17</v>
      </c>
      <c r="F866" t="s">
        <v>10</v>
      </c>
      <c r="G866" t="s">
        <v>98</v>
      </c>
      <c r="H866">
        <v>2024</v>
      </c>
      <c r="I866">
        <v>136</v>
      </c>
      <c r="J866">
        <v>15.4</v>
      </c>
      <c r="K866" t="s">
        <v>25</v>
      </c>
      <c r="L866">
        <v>10.8</v>
      </c>
      <c r="M866">
        <v>10</v>
      </c>
      <c r="N866">
        <v>1620</v>
      </c>
      <c r="O866" t="s">
        <v>64</v>
      </c>
      <c r="P866">
        <v>39.299999999999997</v>
      </c>
      <c r="Q866" t="s">
        <v>79</v>
      </c>
      <c r="R866">
        <v>40.9</v>
      </c>
      <c r="S866">
        <v>1.7</v>
      </c>
      <c r="T866">
        <v>-2.6</v>
      </c>
      <c r="U866">
        <v>8.4</v>
      </c>
      <c r="V866">
        <v>6.8</v>
      </c>
      <c r="W866">
        <v>5.4</v>
      </c>
      <c r="X866" t="s">
        <v>116</v>
      </c>
    </row>
    <row r="867" spans="2:24" x14ac:dyDescent="0.3">
      <c r="B867" t="s">
        <v>960</v>
      </c>
      <c r="C867" t="s">
        <v>106</v>
      </c>
      <c r="D867" t="s">
        <v>2</v>
      </c>
      <c r="E867" t="s">
        <v>14</v>
      </c>
      <c r="F867" t="s">
        <v>10</v>
      </c>
      <c r="G867" t="s">
        <v>112</v>
      </c>
      <c r="H867">
        <v>2024</v>
      </c>
      <c r="I867">
        <v>0</v>
      </c>
      <c r="J867">
        <v>3.8</v>
      </c>
      <c r="K867" t="s">
        <v>23</v>
      </c>
      <c r="L867">
        <v>6.6</v>
      </c>
      <c r="M867">
        <v>3.5</v>
      </c>
      <c r="N867">
        <v>5964</v>
      </c>
      <c r="O867" t="s">
        <v>55</v>
      </c>
      <c r="P867">
        <v>25.3</v>
      </c>
      <c r="Q867" t="s">
        <v>56</v>
      </c>
      <c r="R867">
        <v>21.2</v>
      </c>
      <c r="S867">
        <v>56.3</v>
      </c>
      <c r="T867">
        <v>30.2</v>
      </c>
      <c r="U867">
        <v>4.9000000000000004</v>
      </c>
      <c r="V867">
        <v>8.6</v>
      </c>
      <c r="W867">
        <v>7.9</v>
      </c>
      <c r="X867" t="s">
        <v>57</v>
      </c>
    </row>
    <row r="868" spans="2:24" x14ac:dyDescent="0.3">
      <c r="B868" t="s">
        <v>961</v>
      </c>
      <c r="C868" t="s">
        <v>59</v>
      </c>
      <c r="D868" t="s">
        <v>4</v>
      </c>
      <c r="E868" t="s">
        <v>17</v>
      </c>
      <c r="F868" t="s">
        <v>11</v>
      </c>
      <c r="G868" t="s">
        <v>115</v>
      </c>
      <c r="H868">
        <v>2025</v>
      </c>
      <c r="I868">
        <v>8498</v>
      </c>
      <c r="J868">
        <v>24.6</v>
      </c>
      <c r="K868" t="s">
        <v>22</v>
      </c>
      <c r="L868">
        <v>12.9</v>
      </c>
      <c r="M868">
        <v>8.1</v>
      </c>
      <c r="N868">
        <v>1950</v>
      </c>
      <c r="O868" t="s">
        <v>64</v>
      </c>
      <c r="P868">
        <v>44.3</v>
      </c>
      <c r="Q868" t="s">
        <v>84</v>
      </c>
      <c r="R868">
        <v>46.8</v>
      </c>
      <c r="S868">
        <v>16.7</v>
      </c>
      <c r="T868">
        <v>6.3</v>
      </c>
      <c r="U868">
        <v>9.1</v>
      </c>
      <c r="V868">
        <v>5.8</v>
      </c>
      <c r="W868">
        <v>5.2</v>
      </c>
      <c r="X868" t="s">
        <v>66</v>
      </c>
    </row>
    <row r="869" spans="2:24" x14ac:dyDescent="0.3">
      <c r="B869" t="s">
        <v>962</v>
      </c>
      <c r="C869" t="s">
        <v>71</v>
      </c>
      <c r="D869" t="s">
        <v>6</v>
      </c>
      <c r="E869" t="s">
        <v>15</v>
      </c>
      <c r="F869" t="s">
        <v>12</v>
      </c>
      <c r="G869" t="s">
        <v>60</v>
      </c>
      <c r="H869">
        <v>2025</v>
      </c>
      <c r="I869">
        <v>2320</v>
      </c>
      <c r="J869">
        <v>8.8000000000000007</v>
      </c>
      <c r="K869" t="s">
        <v>22</v>
      </c>
      <c r="L869">
        <v>9.3000000000000007</v>
      </c>
      <c r="M869">
        <v>10</v>
      </c>
      <c r="N869">
        <v>306</v>
      </c>
      <c r="O869" t="s">
        <v>64</v>
      </c>
      <c r="P869">
        <v>26.4</v>
      </c>
      <c r="Q869" t="s">
        <v>56</v>
      </c>
      <c r="R869">
        <v>51.4</v>
      </c>
      <c r="S869">
        <v>41.1</v>
      </c>
      <c r="T869">
        <v>12.8</v>
      </c>
      <c r="U869">
        <v>8</v>
      </c>
      <c r="V869">
        <v>6.3</v>
      </c>
      <c r="W869">
        <v>5.9</v>
      </c>
      <c r="X869" t="s">
        <v>66</v>
      </c>
    </row>
    <row r="870" spans="2:24" x14ac:dyDescent="0.3">
      <c r="B870" t="s">
        <v>963</v>
      </c>
      <c r="C870" t="s">
        <v>90</v>
      </c>
      <c r="D870" t="s">
        <v>5</v>
      </c>
      <c r="E870" t="s">
        <v>17</v>
      </c>
      <c r="F870" t="s">
        <v>11</v>
      </c>
      <c r="G870" t="s">
        <v>74</v>
      </c>
      <c r="H870">
        <v>2025</v>
      </c>
      <c r="I870">
        <v>1938</v>
      </c>
      <c r="J870">
        <v>32.799999999999997</v>
      </c>
      <c r="K870" t="s">
        <v>24</v>
      </c>
      <c r="L870">
        <v>7.6</v>
      </c>
      <c r="M870">
        <v>10</v>
      </c>
      <c r="N870">
        <v>87</v>
      </c>
      <c r="O870" t="s">
        <v>75</v>
      </c>
      <c r="P870">
        <v>79.5</v>
      </c>
      <c r="Q870" t="s">
        <v>65</v>
      </c>
      <c r="R870">
        <v>51.2</v>
      </c>
      <c r="S870">
        <v>-2.1</v>
      </c>
      <c r="T870">
        <v>-1.8</v>
      </c>
      <c r="U870">
        <v>6</v>
      </c>
      <c r="V870">
        <v>3.7</v>
      </c>
      <c r="W870">
        <v>2.5</v>
      </c>
      <c r="X870" t="s">
        <v>66</v>
      </c>
    </row>
    <row r="871" spans="2:24" x14ac:dyDescent="0.3">
      <c r="B871" t="s">
        <v>964</v>
      </c>
      <c r="C871" t="s">
        <v>106</v>
      </c>
      <c r="D871" t="s">
        <v>4</v>
      </c>
      <c r="E871" t="s">
        <v>15</v>
      </c>
      <c r="F871" t="s">
        <v>12</v>
      </c>
      <c r="G871" t="s">
        <v>98</v>
      </c>
      <c r="H871">
        <v>2026</v>
      </c>
      <c r="I871">
        <v>680</v>
      </c>
      <c r="J871">
        <v>0.5</v>
      </c>
      <c r="K871" t="s">
        <v>23</v>
      </c>
      <c r="L871">
        <v>7.9</v>
      </c>
      <c r="M871">
        <v>5.8</v>
      </c>
      <c r="N871">
        <v>4570</v>
      </c>
      <c r="O871" t="s">
        <v>55</v>
      </c>
      <c r="P871">
        <v>40.9</v>
      </c>
      <c r="Q871" t="s">
        <v>84</v>
      </c>
      <c r="R871">
        <v>23.6</v>
      </c>
      <c r="S871">
        <v>11.2</v>
      </c>
      <c r="T871">
        <v>3.8</v>
      </c>
      <c r="U871">
        <v>5.9</v>
      </c>
      <c r="V871">
        <v>6.7</v>
      </c>
      <c r="W871">
        <v>6.7</v>
      </c>
      <c r="X871" t="s">
        <v>57</v>
      </c>
    </row>
    <row r="872" spans="2:24" x14ac:dyDescent="0.3">
      <c r="B872" t="s">
        <v>965</v>
      </c>
      <c r="C872" t="s">
        <v>122</v>
      </c>
      <c r="D872" t="s">
        <v>2</v>
      </c>
      <c r="E872" t="s">
        <v>15</v>
      </c>
      <c r="F872" t="s">
        <v>11</v>
      </c>
      <c r="G872" t="s">
        <v>98</v>
      </c>
      <c r="H872">
        <v>2026</v>
      </c>
      <c r="I872">
        <v>4959</v>
      </c>
      <c r="J872">
        <v>38.1</v>
      </c>
      <c r="K872" t="s">
        <v>24</v>
      </c>
      <c r="L872">
        <v>2.6</v>
      </c>
      <c r="M872">
        <v>8.6</v>
      </c>
      <c r="N872">
        <v>5108</v>
      </c>
      <c r="O872" t="s">
        <v>64</v>
      </c>
      <c r="P872">
        <v>18.8</v>
      </c>
      <c r="Q872" t="s">
        <v>56</v>
      </c>
      <c r="R872">
        <v>-23.7</v>
      </c>
      <c r="S872">
        <v>23.7</v>
      </c>
      <c r="T872">
        <v>-6.5</v>
      </c>
      <c r="U872">
        <v>1.7</v>
      </c>
      <c r="V872">
        <v>2.7</v>
      </c>
      <c r="W872">
        <v>2.4</v>
      </c>
      <c r="X872" t="s">
        <v>66</v>
      </c>
    </row>
    <row r="873" spans="2:24" x14ac:dyDescent="0.3">
      <c r="B873" t="s">
        <v>966</v>
      </c>
      <c r="C873" t="s">
        <v>142</v>
      </c>
      <c r="D873" t="s">
        <v>8</v>
      </c>
      <c r="E873" t="s">
        <v>19</v>
      </c>
      <c r="F873" t="s">
        <v>12</v>
      </c>
      <c r="G873" t="s">
        <v>60</v>
      </c>
      <c r="H873">
        <v>2026</v>
      </c>
      <c r="I873">
        <v>12779</v>
      </c>
      <c r="J873">
        <v>37.299999999999997</v>
      </c>
      <c r="K873" t="s">
        <v>23</v>
      </c>
      <c r="L873">
        <v>4.5999999999999996</v>
      </c>
      <c r="M873">
        <v>10</v>
      </c>
      <c r="N873">
        <v>203</v>
      </c>
      <c r="O873" t="s">
        <v>75</v>
      </c>
      <c r="P873">
        <v>71.099999999999994</v>
      </c>
      <c r="Q873" t="s">
        <v>79</v>
      </c>
      <c r="R873">
        <v>-2</v>
      </c>
      <c r="S873">
        <v>28.6</v>
      </c>
      <c r="T873">
        <v>1.7</v>
      </c>
      <c r="U873">
        <v>4.5</v>
      </c>
      <c r="V873">
        <v>5.3</v>
      </c>
      <c r="W873">
        <v>3.5</v>
      </c>
      <c r="X873" t="s">
        <v>66</v>
      </c>
    </row>
    <row r="874" spans="2:24" x14ac:dyDescent="0.3">
      <c r="B874" t="s">
        <v>967</v>
      </c>
      <c r="C874" t="s">
        <v>62</v>
      </c>
      <c r="D874" t="s">
        <v>2</v>
      </c>
      <c r="E874" t="s">
        <v>17</v>
      </c>
      <c r="F874" t="s">
        <v>12</v>
      </c>
      <c r="G874" t="s">
        <v>54</v>
      </c>
      <c r="H874">
        <v>2026</v>
      </c>
      <c r="I874">
        <v>5815</v>
      </c>
      <c r="J874">
        <v>13.9</v>
      </c>
      <c r="K874" t="s">
        <v>24</v>
      </c>
      <c r="L874">
        <v>6.9</v>
      </c>
      <c r="M874">
        <v>7.1</v>
      </c>
      <c r="N874">
        <v>7832</v>
      </c>
      <c r="O874" t="s">
        <v>55</v>
      </c>
      <c r="P874">
        <v>60.3</v>
      </c>
      <c r="Q874" t="s">
        <v>56</v>
      </c>
      <c r="R874">
        <v>-10.4</v>
      </c>
      <c r="S874">
        <v>26.1</v>
      </c>
      <c r="T874">
        <v>8.1</v>
      </c>
      <c r="U874">
        <v>4.4000000000000004</v>
      </c>
      <c r="V874">
        <v>7.8</v>
      </c>
      <c r="W874">
        <v>6.4</v>
      </c>
      <c r="X874" t="s">
        <v>116</v>
      </c>
    </row>
    <row r="875" spans="2:24" x14ac:dyDescent="0.3">
      <c r="B875" t="s">
        <v>968</v>
      </c>
      <c r="C875" t="s">
        <v>94</v>
      </c>
      <c r="D875" t="s">
        <v>6</v>
      </c>
      <c r="E875" t="s">
        <v>15</v>
      </c>
      <c r="F875" t="s">
        <v>10</v>
      </c>
      <c r="G875" t="s">
        <v>69</v>
      </c>
      <c r="H875">
        <v>2026</v>
      </c>
      <c r="I875">
        <v>5863</v>
      </c>
      <c r="J875">
        <v>1.5</v>
      </c>
      <c r="K875" t="s">
        <v>24</v>
      </c>
      <c r="L875">
        <v>2.6</v>
      </c>
      <c r="M875">
        <v>1.5</v>
      </c>
      <c r="N875">
        <v>4091</v>
      </c>
      <c r="O875" t="s">
        <v>64</v>
      </c>
      <c r="P875">
        <v>55.7</v>
      </c>
      <c r="Q875" t="s">
        <v>88</v>
      </c>
      <c r="R875">
        <v>68.3</v>
      </c>
      <c r="S875">
        <v>41.7</v>
      </c>
      <c r="T875">
        <v>10.7</v>
      </c>
      <c r="U875">
        <v>1.6</v>
      </c>
      <c r="V875">
        <v>8.8000000000000007</v>
      </c>
      <c r="W875">
        <v>9.6</v>
      </c>
      <c r="X875" t="s">
        <v>116</v>
      </c>
    </row>
    <row r="876" spans="2:24" x14ac:dyDescent="0.3">
      <c r="B876" t="s">
        <v>969</v>
      </c>
      <c r="C876" t="s">
        <v>106</v>
      </c>
      <c r="D876" t="s">
        <v>7</v>
      </c>
      <c r="E876" t="s">
        <v>14</v>
      </c>
      <c r="F876" t="s">
        <v>9</v>
      </c>
      <c r="G876" t="s">
        <v>104</v>
      </c>
      <c r="H876">
        <v>2025</v>
      </c>
      <c r="I876">
        <v>3502</v>
      </c>
      <c r="J876">
        <v>5.6</v>
      </c>
      <c r="K876" t="s">
        <v>22</v>
      </c>
      <c r="L876">
        <v>7.1</v>
      </c>
      <c r="M876">
        <v>7.1</v>
      </c>
      <c r="N876">
        <v>5195</v>
      </c>
      <c r="O876" t="s">
        <v>55</v>
      </c>
      <c r="P876">
        <v>25.8</v>
      </c>
      <c r="Q876" t="s">
        <v>79</v>
      </c>
      <c r="R876">
        <v>-36.200000000000003</v>
      </c>
      <c r="S876">
        <v>-6.3</v>
      </c>
      <c r="T876">
        <v>-3.7</v>
      </c>
      <c r="U876">
        <v>7.3</v>
      </c>
      <c r="V876">
        <v>4.5</v>
      </c>
      <c r="W876">
        <v>5.5</v>
      </c>
      <c r="X876" t="s">
        <v>116</v>
      </c>
    </row>
    <row r="877" spans="2:24" x14ac:dyDescent="0.3">
      <c r="B877" t="s">
        <v>970</v>
      </c>
      <c r="C877" t="s">
        <v>137</v>
      </c>
      <c r="D877" t="s">
        <v>4</v>
      </c>
      <c r="E877" t="s">
        <v>16</v>
      </c>
      <c r="F877" t="s">
        <v>9</v>
      </c>
      <c r="G877" t="s">
        <v>98</v>
      </c>
      <c r="H877">
        <v>2024</v>
      </c>
      <c r="I877">
        <v>5921</v>
      </c>
      <c r="J877">
        <v>9.3000000000000007</v>
      </c>
      <c r="K877" t="s">
        <v>21</v>
      </c>
      <c r="L877">
        <v>2.2000000000000002</v>
      </c>
      <c r="M877">
        <v>1.8</v>
      </c>
      <c r="N877">
        <v>1649</v>
      </c>
      <c r="O877" t="s">
        <v>64</v>
      </c>
      <c r="P877">
        <v>70.7</v>
      </c>
      <c r="Q877" t="s">
        <v>125</v>
      </c>
      <c r="R877">
        <v>26.4</v>
      </c>
      <c r="S877">
        <v>42.3</v>
      </c>
      <c r="T877">
        <v>24.7</v>
      </c>
      <c r="U877">
        <v>2.2999999999999998</v>
      </c>
      <c r="V877">
        <v>9.4</v>
      </c>
      <c r="W877">
        <v>8.6</v>
      </c>
      <c r="X877" t="s">
        <v>116</v>
      </c>
    </row>
    <row r="878" spans="2:24" x14ac:dyDescent="0.3">
      <c r="B878" t="s">
        <v>971</v>
      </c>
      <c r="C878" t="s">
        <v>159</v>
      </c>
      <c r="D878" t="s">
        <v>7</v>
      </c>
      <c r="E878" t="s">
        <v>15</v>
      </c>
      <c r="F878" t="s">
        <v>9</v>
      </c>
      <c r="G878" t="s">
        <v>131</v>
      </c>
      <c r="H878">
        <v>2025</v>
      </c>
      <c r="I878">
        <v>2427</v>
      </c>
      <c r="J878">
        <v>14.7</v>
      </c>
      <c r="K878" t="s">
        <v>23</v>
      </c>
      <c r="L878">
        <v>7.3</v>
      </c>
      <c r="M878">
        <v>10</v>
      </c>
      <c r="N878">
        <v>3335</v>
      </c>
      <c r="O878" t="s">
        <v>64</v>
      </c>
      <c r="P878">
        <v>28</v>
      </c>
      <c r="Q878" t="s">
        <v>76</v>
      </c>
      <c r="R878">
        <v>25.7</v>
      </c>
      <c r="S878">
        <v>-14.3</v>
      </c>
      <c r="T878">
        <v>-2.6</v>
      </c>
      <c r="U878">
        <v>5.4</v>
      </c>
      <c r="V878">
        <v>4.7</v>
      </c>
      <c r="W878">
        <v>4.4000000000000004</v>
      </c>
      <c r="X878" t="s">
        <v>116</v>
      </c>
    </row>
    <row r="879" spans="2:24" x14ac:dyDescent="0.3">
      <c r="B879" t="s">
        <v>972</v>
      </c>
      <c r="C879" t="s">
        <v>159</v>
      </c>
      <c r="D879" t="s">
        <v>7</v>
      </c>
      <c r="E879" t="s">
        <v>16</v>
      </c>
      <c r="F879" t="s">
        <v>11</v>
      </c>
      <c r="G879" t="s">
        <v>74</v>
      </c>
      <c r="H879">
        <v>2026</v>
      </c>
      <c r="I879">
        <v>3694</v>
      </c>
      <c r="J879">
        <v>16.5</v>
      </c>
      <c r="K879" t="s">
        <v>22</v>
      </c>
      <c r="L879">
        <v>12</v>
      </c>
      <c r="M879">
        <v>10</v>
      </c>
      <c r="N879">
        <v>5912</v>
      </c>
      <c r="O879" t="s">
        <v>55</v>
      </c>
      <c r="P879">
        <v>37.4</v>
      </c>
      <c r="Q879" t="s">
        <v>79</v>
      </c>
      <c r="R879">
        <v>30.9</v>
      </c>
      <c r="S879">
        <v>1.7</v>
      </c>
      <c r="T879">
        <v>-2.6</v>
      </c>
      <c r="U879">
        <v>8.9</v>
      </c>
      <c r="V879">
        <v>7</v>
      </c>
      <c r="W879">
        <v>4.5</v>
      </c>
      <c r="X879" t="s">
        <v>116</v>
      </c>
    </row>
    <row r="880" spans="2:24" x14ac:dyDescent="0.3">
      <c r="B880" t="s">
        <v>973</v>
      </c>
      <c r="C880" t="s">
        <v>106</v>
      </c>
      <c r="D880" t="s">
        <v>4</v>
      </c>
      <c r="E880" t="s">
        <v>17</v>
      </c>
      <c r="F880" t="s">
        <v>11</v>
      </c>
      <c r="G880" t="s">
        <v>60</v>
      </c>
      <c r="H880">
        <v>2025</v>
      </c>
      <c r="I880">
        <v>4586</v>
      </c>
      <c r="J880">
        <v>5.2</v>
      </c>
      <c r="K880" t="s">
        <v>25</v>
      </c>
      <c r="L880">
        <v>2.9</v>
      </c>
      <c r="M880">
        <v>3.2</v>
      </c>
      <c r="N880">
        <v>4440</v>
      </c>
      <c r="O880" t="s">
        <v>55</v>
      </c>
      <c r="P880">
        <v>38.6</v>
      </c>
      <c r="Q880" t="s">
        <v>65</v>
      </c>
      <c r="R880">
        <v>-31.4</v>
      </c>
      <c r="S880">
        <v>32.1</v>
      </c>
      <c r="T880">
        <v>20.9</v>
      </c>
      <c r="U880">
        <v>3.7</v>
      </c>
      <c r="V880">
        <v>6.3</v>
      </c>
      <c r="W880">
        <v>8.5</v>
      </c>
      <c r="X880" t="s">
        <v>116</v>
      </c>
    </row>
    <row r="881" spans="2:24" x14ac:dyDescent="0.3">
      <c r="B881" t="s">
        <v>974</v>
      </c>
      <c r="C881" t="s">
        <v>27</v>
      </c>
      <c r="D881" t="s">
        <v>2</v>
      </c>
      <c r="E881" t="s">
        <v>15</v>
      </c>
      <c r="F881" t="s">
        <v>12</v>
      </c>
      <c r="G881" t="s">
        <v>115</v>
      </c>
      <c r="H881">
        <v>2026</v>
      </c>
      <c r="I881">
        <v>6934</v>
      </c>
      <c r="J881">
        <v>5.6</v>
      </c>
      <c r="K881" t="s">
        <v>22</v>
      </c>
      <c r="L881">
        <v>3.8</v>
      </c>
      <c r="M881">
        <v>3.9</v>
      </c>
      <c r="N881">
        <v>2397</v>
      </c>
      <c r="O881" t="s">
        <v>64</v>
      </c>
      <c r="P881">
        <v>10.8</v>
      </c>
      <c r="Q881" t="s">
        <v>76</v>
      </c>
      <c r="R881">
        <v>27</v>
      </c>
      <c r="S881">
        <v>57.7</v>
      </c>
      <c r="T881">
        <v>27.6</v>
      </c>
      <c r="U881">
        <v>3</v>
      </c>
      <c r="V881">
        <v>9.1</v>
      </c>
      <c r="W881">
        <v>8.5</v>
      </c>
      <c r="X881" t="s">
        <v>116</v>
      </c>
    </row>
    <row r="882" spans="2:24" x14ac:dyDescent="0.3">
      <c r="B882" t="s">
        <v>975</v>
      </c>
      <c r="C882" t="s">
        <v>59</v>
      </c>
      <c r="D882" t="s">
        <v>4</v>
      </c>
      <c r="E882" t="s">
        <v>15</v>
      </c>
      <c r="F882" t="s">
        <v>12</v>
      </c>
      <c r="G882" t="s">
        <v>112</v>
      </c>
      <c r="H882">
        <v>2026</v>
      </c>
      <c r="I882">
        <v>19979</v>
      </c>
      <c r="J882">
        <v>39.700000000000003</v>
      </c>
      <c r="K882" t="s">
        <v>23</v>
      </c>
      <c r="L882">
        <v>10.4</v>
      </c>
      <c r="M882">
        <v>10</v>
      </c>
      <c r="N882">
        <v>1992</v>
      </c>
      <c r="O882" t="s">
        <v>75</v>
      </c>
      <c r="P882">
        <v>73.2</v>
      </c>
      <c r="Q882" t="s">
        <v>76</v>
      </c>
      <c r="R882">
        <v>40.299999999999997</v>
      </c>
      <c r="S882">
        <v>47.5</v>
      </c>
      <c r="T882">
        <v>1.6</v>
      </c>
      <c r="U882">
        <v>7.9</v>
      </c>
      <c r="V882">
        <v>6.3</v>
      </c>
      <c r="W882">
        <v>4.2</v>
      </c>
      <c r="X882" t="s">
        <v>66</v>
      </c>
    </row>
    <row r="883" spans="2:24" x14ac:dyDescent="0.3">
      <c r="B883" t="s">
        <v>976</v>
      </c>
      <c r="C883" t="s">
        <v>142</v>
      </c>
      <c r="D883" t="s">
        <v>2</v>
      </c>
      <c r="E883" t="s">
        <v>17</v>
      </c>
      <c r="F883" t="s">
        <v>10</v>
      </c>
      <c r="G883" t="s">
        <v>78</v>
      </c>
      <c r="H883">
        <v>2026</v>
      </c>
      <c r="I883">
        <v>574</v>
      </c>
      <c r="J883">
        <v>3.3</v>
      </c>
      <c r="K883" t="s">
        <v>24</v>
      </c>
      <c r="L883">
        <v>1.3</v>
      </c>
      <c r="M883">
        <v>1.5</v>
      </c>
      <c r="N883">
        <v>6662</v>
      </c>
      <c r="O883" t="s">
        <v>55</v>
      </c>
      <c r="P883">
        <v>14.2</v>
      </c>
      <c r="Q883" t="s">
        <v>56</v>
      </c>
      <c r="R883">
        <v>11.1</v>
      </c>
      <c r="S883">
        <v>43.1</v>
      </c>
      <c r="T883">
        <v>21.4</v>
      </c>
      <c r="U883">
        <v>1.1000000000000001</v>
      </c>
      <c r="V883">
        <v>7.9</v>
      </c>
      <c r="W883">
        <v>8.1</v>
      </c>
      <c r="X883" t="s">
        <v>57</v>
      </c>
    </row>
    <row r="884" spans="2:24" x14ac:dyDescent="0.3">
      <c r="B884" t="s">
        <v>977</v>
      </c>
      <c r="C884" t="s">
        <v>106</v>
      </c>
      <c r="D884" t="s">
        <v>2</v>
      </c>
      <c r="E884" t="s">
        <v>19</v>
      </c>
      <c r="F884" t="s">
        <v>11</v>
      </c>
      <c r="G884" t="s">
        <v>60</v>
      </c>
      <c r="H884">
        <v>2026</v>
      </c>
      <c r="I884">
        <v>4019</v>
      </c>
      <c r="J884">
        <v>3</v>
      </c>
      <c r="K884" t="s">
        <v>22</v>
      </c>
      <c r="L884">
        <v>9.1999999999999993</v>
      </c>
      <c r="M884">
        <v>6.7</v>
      </c>
      <c r="N884">
        <v>3400</v>
      </c>
      <c r="O884" t="s">
        <v>55</v>
      </c>
      <c r="P884">
        <v>24.6</v>
      </c>
      <c r="Q884" t="s">
        <v>56</v>
      </c>
      <c r="R884">
        <v>51.8</v>
      </c>
      <c r="S884">
        <v>7</v>
      </c>
      <c r="T884">
        <v>8.6999999999999993</v>
      </c>
      <c r="U884">
        <v>6.2</v>
      </c>
      <c r="V884">
        <v>7</v>
      </c>
      <c r="W884">
        <v>5.9</v>
      </c>
      <c r="X884" t="s">
        <v>116</v>
      </c>
    </row>
    <row r="885" spans="2:24" x14ac:dyDescent="0.3">
      <c r="B885" t="s">
        <v>978</v>
      </c>
      <c r="C885" t="s">
        <v>159</v>
      </c>
      <c r="D885" t="s">
        <v>7</v>
      </c>
      <c r="E885" t="s">
        <v>17</v>
      </c>
      <c r="F885" t="s">
        <v>12</v>
      </c>
      <c r="G885" t="s">
        <v>54</v>
      </c>
      <c r="H885">
        <v>2026</v>
      </c>
      <c r="I885">
        <v>642</v>
      </c>
      <c r="J885">
        <v>1.2</v>
      </c>
      <c r="K885" t="s">
        <v>21</v>
      </c>
      <c r="L885">
        <v>8.9</v>
      </c>
      <c r="M885">
        <v>7</v>
      </c>
      <c r="N885">
        <v>3874</v>
      </c>
      <c r="O885" t="s">
        <v>55</v>
      </c>
      <c r="P885">
        <v>38.799999999999997</v>
      </c>
      <c r="Q885" t="s">
        <v>84</v>
      </c>
      <c r="R885">
        <v>57.7</v>
      </c>
      <c r="S885">
        <v>14.1</v>
      </c>
      <c r="T885">
        <v>-0.3</v>
      </c>
      <c r="U885">
        <v>5.5</v>
      </c>
      <c r="V885">
        <v>7.9</v>
      </c>
      <c r="W885">
        <v>6.8</v>
      </c>
      <c r="X885" t="s">
        <v>116</v>
      </c>
    </row>
    <row r="886" spans="2:24" x14ac:dyDescent="0.3">
      <c r="B886" t="s">
        <v>979</v>
      </c>
      <c r="C886" t="s">
        <v>137</v>
      </c>
      <c r="D886" t="s">
        <v>4</v>
      </c>
      <c r="E886" t="s">
        <v>16</v>
      </c>
      <c r="F886" t="s">
        <v>12</v>
      </c>
      <c r="G886" t="s">
        <v>74</v>
      </c>
      <c r="H886">
        <v>2024</v>
      </c>
      <c r="I886">
        <v>17624</v>
      </c>
      <c r="J886">
        <v>23.3</v>
      </c>
      <c r="K886" t="s">
        <v>21</v>
      </c>
      <c r="L886">
        <v>7.2</v>
      </c>
      <c r="M886">
        <v>8.8000000000000007</v>
      </c>
      <c r="N886">
        <v>1941</v>
      </c>
      <c r="O886" t="s">
        <v>64</v>
      </c>
      <c r="P886">
        <v>44.9</v>
      </c>
      <c r="Q886" t="s">
        <v>88</v>
      </c>
      <c r="R886">
        <v>85.8</v>
      </c>
      <c r="S886">
        <v>-2.4</v>
      </c>
      <c r="T886">
        <v>-5.6</v>
      </c>
      <c r="U886">
        <v>5.5</v>
      </c>
      <c r="V886">
        <v>5.8</v>
      </c>
      <c r="W886">
        <v>2.9</v>
      </c>
      <c r="X886" t="s">
        <v>66</v>
      </c>
    </row>
    <row r="887" spans="2:24" x14ac:dyDescent="0.3">
      <c r="B887" t="s">
        <v>980</v>
      </c>
      <c r="C887" t="s">
        <v>106</v>
      </c>
      <c r="D887" t="s">
        <v>7</v>
      </c>
      <c r="E887" t="s">
        <v>15</v>
      </c>
      <c r="F887" t="s">
        <v>11</v>
      </c>
      <c r="G887" t="s">
        <v>112</v>
      </c>
      <c r="H887">
        <v>2024</v>
      </c>
      <c r="I887">
        <v>442</v>
      </c>
      <c r="J887">
        <v>2.2999999999999998</v>
      </c>
      <c r="K887" t="s">
        <v>23</v>
      </c>
      <c r="L887">
        <v>5.4</v>
      </c>
      <c r="M887">
        <v>5.4</v>
      </c>
      <c r="N887">
        <v>4366</v>
      </c>
      <c r="O887" t="s">
        <v>55</v>
      </c>
      <c r="P887">
        <v>17.899999999999999</v>
      </c>
      <c r="Q887" t="s">
        <v>56</v>
      </c>
      <c r="R887">
        <v>9.1</v>
      </c>
      <c r="S887">
        <v>38.799999999999997</v>
      </c>
      <c r="T887">
        <v>24.4</v>
      </c>
      <c r="U887">
        <v>4.4000000000000004</v>
      </c>
      <c r="V887">
        <v>6.2</v>
      </c>
      <c r="W887">
        <v>8.6999999999999993</v>
      </c>
      <c r="X887" t="s">
        <v>57</v>
      </c>
    </row>
    <row r="888" spans="2:24" x14ac:dyDescent="0.3">
      <c r="B888" t="s">
        <v>981</v>
      </c>
      <c r="C888" t="s">
        <v>137</v>
      </c>
      <c r="D888" t="s">
        <v>3</v>
      </c>
      <c r="E888" t="s">
        <v>18</v>
      </c>
      <c r="F888" t="s">
        <v>9</v>
      </c>
      <c r="G888" t="s">
        <v>115</v>
      </c>
      <c r="H888">
        <v>2026</v>
      </c>
      <c r="I888">
        <v>6048</v>
      </c>
      <c r="J888">
        <v>15.2</v>
      </c>
      <c r="K888" t="s">
        <v>25</v>
      </c>
      <c r="L888">
        <v>1</v>
      </c>
      <c r="M888">
        <v>6.3</v>
      </c>
      <c r="N888">
        <v>4297</v>
      </c>
      <c r="O888" t="s">
        <v>64</v>
      </c>
      <c r="P888">
        <v>84.6</v>
      </c>
      <c r="Q888" t="s">
        <v>79</v>
      </c>
      <c r="R888">
        <v>61.1</v>
      </c>
      <c r="S888">
        <v>39.9</v>
      </c>
      <c r="T888">
        <v>13.6</v>
      </c>
      <c r="U888">
        <v>1.6</v>
      </c>
      <c r="V888">
        <v>8.8000000000000007</v>
      </c>
      <c r="W888">
        <v>7.1</v>
      </c>
      <c r="X888" t="s">
        <v>116</v>
      </c>
    </row>
    <row r="889" spans="2:24" x14ac:dyDescent="0.3">
      <c r="B889" t="s">
        <v>982</v>
      </c>
      <c r="C889" t="s">
        <v>106</v>
      </c>
      <c r="D889" t="s">
        <v>8</v>
      </c>
      <c r="E889" t="s">
        <v>18</v>
      </c>
      <c r="F889" t="s">
        <v>9</v>
      </c>
      <c r="G889" t="s">
        <v>98</v>
      </c>
      <c r="H889">
        <v>2025</v>
      </c>
      <c r="I889">
        <v>10571</v>
      </c>
      <c r="J889">
        <v>37.700000000000003</v>
      </c>
      <c r="K889" t="s">
        <v>25</v>
      </c>
      <c r="L889">
        <v>5.4</v>
      </c>
      <c r="M889">
        <v>10</v>
      </c>
      <c r="N889">
        <v>1867</v>
      </c>
      <c r="O889" t="s">
        <v>75</v>
      </c>
      <c r="P889">
        <v>81.8</v>
      </c>
      <c r="Q889" t="s">
        <v>76</v>
      </c>
      <c r="R889">
        <v>87</v>
      </c>
      <c r="S889">
        <v>9.1</v>
      </c>
      <c r="T889">
        <v>-6.7</v>
      </c>
      <c r="U889">
        <v>5</v>
      </c>
      <c r="V889">
        <v>2.9</v>
      </c>
      <c r="W889">
        <v>1.7</v>
      </c>
      <c r="X889" t="s">
        <v>66</v>
      </c>
    </row>
    <row r="890" spans="2:24" x14ac:dyDescent="0.3">
      <c r="B890" t="s">
        <v>983</v>
      </c>
      <c r="C890" t="s">
        <v>100</v>
      </c>
      <c r="D890" t="s">
        <v>3</v>
      </c>
      <c r="E890" t="s">
        <v>16</v>
      </c>
      <c r="F890" t="s">
        <v>12</v>
      </c>
      <c r="G890" t="s">
        <v>115</v>
      </c>
      <c r="H890">
        <v>2025</v>
      </c>
      <c r="I890">
        <v>1770</v>
      </c>
      <c r="J890">
        <v>36</v>
      </c>
      <c r="K890" t="s">
        <v>22</v>
      </c>
      <c r="L890">
        <v>9.5</v>
      </c>
      <c r="M890">
        <v>10</v>
      </c>
      <c r="N890">
        <v>1100</v>
      </c>
      <c r="O890" t="s">
        <v>75</v>
      </c>
      <c r="P890">
        <v>59.2</v>
      </c>
      <c r="Q890" t="s">
        <v>86</v>
      </c>
      <c r="R890">
        <v>17.3</v>
      </c>
      <c r="S890">
        <v>34.700000000000003</v>
      </c>
      <c r="T890">
        <v>-2.2999999999999998</v>
      </c>
      <c r="U890">
        <v>6.5</v>
      </c>
      <c r="V890">
        <v>4.5</v>
      </c>
      <c r="W890">
        <v>4.0999999999999996</v>
      </c>
      <c r="X890" t="s">
        <v>66</v>
      </c>
    </row>
    <row r="891" spans="2:24" x14ac:dyDescent="0.3">
      <c r="B891" t="s">
        <v>984</v>
      </c>
      <c r="C891" t="s">
        <v>122</v>
      </c>
      <c r="D891" t="s">
        <v>2</v>
      </c>
      <c r="E891" t="s">
        <v>14</v>
      </c>
      <c r="F891" t="s">
        <v>10</v>
      </c>
      <c r="G891" t="s">
        <v>98</v>
      </c>
      <c r="H891">
        <v>2025</v>
      </c>
      <c r="I891">
        <v>1206</v>
      </c>
      <c r="J891">
        <v>1</v>
      </c>
      <c r="K891" t="s">
        <v>22</v>
      </c>
      <c r="L891">
        <v>6.8</v>
      </c>
      <c r="M891">
        <v>4.5</v>
      </c>
      <c r="N891">
        <v>2211</v>
      </c>
      <c r="O891" t="s">
        <v>64</v>
      </c>
      <c r="P891">
        <v>81.3</v>
      </c>
      <c r="Q891" t="s">
        <v>56</v>
      </c>
      <c r="R891">
        <v>39.299999999999997</v>
      </c>
      <c r="S891">
        <v>47</v>
      </c>
      <c r="T891">
        <v>11.1</v>
      </c>
      <c r="U891">
        <v>4.7</v>
      </c>
      <c r="V891">
        <v>7.4</v>
      </c>
      <c r="W891">
        <v>9.1999999999999993</v>
      </c>
      <c r="X891" t="s">
        <v>57</v>
      </c>
    </row>
    <row r="892" spans="2:24" x14ac:dyDescent="0.3">
      <c r="B892" t="s">
        <v>985</v>
      </c>
      <c r="C892" t="s">
        <v>97</v>
      </c>
      <c r="D892" t="s">
        <v>3</v>
      </c>
      <c r="E892" t="s">
        <v>17</v>
      </c>
      <c r="F892" t="s">
        <v>12</v>
      </c>
      <c r="G892" t="s">
        <v>63</v>
      </c>
      <c r="H892">
        <v>2025</v>
      </c>
      <c r="I892">
        <v>1715</v>
      </c>
      <c r="J892">
        <v>3.3</v>
      </c>
      <c r="K892" t="s">
        <v>24</v>
      </c>
      <c r="L892">
        <v>3.3</v>
      </c>
      <c r="M892">
        <v>5.6</v>
      </c>
      <c r="N892">
        <v>1476</v>
      </c>
      <c r="O892" t="s">
        <v>64</v>
      </c>
      <c r="P892">
        <v>70.599999999999994</v>
      </c>
      <c r="Q892" t="s">
        <v>86</v>
      </c>
      <c r="R892">
        <v>-31.3</v>
      </c>
      <c r="S892">
        <v>39.700000000000003</v>
      </c>
      <c r="T892">
        <v>8.6999999999999993</v>
      </c>
      <c r="U892">
        <v>3.7</v>
      </c>
      <c r="V892">
        <v>9.9</v>
      </c>
      <c r="W892">
        <v>8.5</v>
      </c>
      <c r="X892" t="s">
        <v>57</v>
      </c>
    </row>
    <row r="893" spans="2:24" x14ac:dyDescent="0.3">
      <c r="B893" t="s">
        <v>986</v>
      </c>
      <c r="C893" t="s">
        <v>92</v>
      </c>
      <c r="D893" t="s">
        <v>7</v>
      </c>
      <c r="E893" t="s">
        <v>14</v>
      </c>
      <c r="F893" t="s">
        <v>10</v>
      </c>
      <c r="G893" t="s">
        <v>98</v>
      </c>
      <c r="H893">
        <v>2026</v>
      </c>
      <c r="I893">
        <v>562</v>
      </c>
      <c r="J893">
        <v>17.600000000000001</v>
      </c>
      <c r="K893" t="s">
        <v>21</v>
      </c>
      <c r="L893">
        <v>1</v>
      </c>
      <c r="M893">
        <v>5.0999999999999996</v>
      </c>
      <c r="N893">
        <v>4689</v>
      </c>
      <c r="O893" t="s">
        <v>64</v>
      </c>
      <c r="P893">
        <v>66.599999999999994</v>
      </c>
      <c r="Q893" t="s">
        <v>125</v>
      </c>
      <c r="R893">
        <v>38.299999999999997</v>
      </c>
      <c r="S893">
        <v>25.3</v>
      </c>
      <c r="T893">
        <v>3.5</v>
      </c>
      <c r="U893">
        <v>1.1000000000000001</v>
      </c>
      <c r="V893">
        <v>6.9</v>
      </c>
      <c r="W893">
        <v>5.2</v>
      </c>
      <c r="X893" t="s">
        <v>116</v>
      </c>
    </row>
    <row r="894" spans="2:24" x14ac:dyDescent="0.3">
      <c r="B894" t="s">
        <v>987</v>
      </c>
      <c r="C894" t="s">
        <v>142</v>
      </c>
      <c r="D894" t="s">
        <v>8</v>
      </c>
      <c r="E894" t="s">
        <v>18</v>
      </c>
      <c r="F894" t="s">
        <v>11</v>
      </c>
      <c r="G894" t="s">
        <v>115</v>
      </c>
      <c r="H894">
        <v>2024</v>
      </c>
      <c r="I894">
        <v>2414</v>
      </c>
      <c r="J894">
        <v>6.7</v>
      </c>
      <c r="K894" t="s">
        <v>21</v>
      </c>
      <c r="L894">
        <v>0.7</v>
      </c>
      <c r="M894">
        <v>3.9</v>
      </c>
      <c r="N894">
        <v>4712</v>
      </c>
      <c r="O894" t="s">
        <v>64</v>
      </c>
      <c r="P894">
        <v>56.5</v>
      </c>
      <c r="Q894" t="s">
        <v>65</v>
      </c>
      <c r="R894">
        <v>44.9</v>
      </c>
      <c r="S894">
        <v>32.1</v>
      </c>
      <c r="T894">
        <v>12.2</v>
      </c>
      <c r="U894">
        <v>1.1000000000000001</v>
      </c>
      <c r="V894">
        <v>9.1</v>
      </c>
      <c r="W894">
        <v>8.3000000000000007</v>
      </c>
      <c r="X894" t="s">
        <v>57</v>
      </c>
    </row>
    <row r="895" spans="2:24" x14ac:dyDescent="0.3">
      <c r="B895" t="s">
        <v>988</v>
      </c>
      <c r="C895" t="s">
        <v>53</v>
      </c>
      <c r="D895" t="s">
        <v>3</v>
      </c>
      <c r="E895" t="s">
        <v>18</v>
      </c>
      <c r="F895" t="s">
        <v>11</v>
      </c>
      <c r="G895" t="s">
        <v>69</v>
      </c>
      <c r="H895">
        <v>2025</v>
      </c>
      <c r="I895">
        <v>889</v>
      </c>
      <c r="J895">
        <v>6</v>
      </c>
      <c r="K895" t="s">
        <v>23</v>
      </c>
      <c r="L895">
        <v>14</v>
      </c>
      <c r="M895">
        <v>10</v>
      </c>
      <c r="N895">
        <v>3054</v>
      </c>
      <c r="O895" t="s">
        <v>55</v>
      </c>
      <c r="P895">
        <v>59.7</v>
      </c>
      <c r="Q895" t="s">
        <v>125</v>
      </c>
      <c r="R895">
        <v>-21.4</v>
      </c>
      <c r="S895">
        <v>46.5</v>
      </c>
      <c r="T895">
        <v>17.600000000000001</v>
      </c>
      <c r="U895">
        <v>8.4</v>
      </c>
      <c r="V895">
        <v>9.9</v>
      </c>
      <c r="W895">
        <v>6.6</v>
      </c>
      <c r="X895" t="s">
        <v>116</v>
      </c>
    </row>
    <row r="896" spans="2:24" x14ac:dyDescent="0.3">
      <c r="B896" t="s">
        <v>989</v>
      </c>
      <c r="C896" t="s">
        <v>97</v>
      </c>
      <c r="D896" t="s">
        <v>3</v>
      </c>
      <c r="E896" t="s">
        <v>14</v>
      </c>
      <c r="F896" t="s">
        <v>12</v>
      </c>
      <c r="G896" t="s">
        <v>112</v>
      </c>
      <c r="H896">
        <v>2026</v>
      </c>
      <c r="I896">
        <v>913</v>
      </c>
      <c r="J896">
        <v>7.2</v>
      </c>
      <c r="K896" t="s">
        <v>21</v>
      </c>
      <c r="L896">
        <v>3.6</v>
      </c>
      <c r="M896">
        <v>7.8</v>
      </c>
      <c r="N896">
        <v>5263</v>
      </c>
      <c r="O896" t="s">
        <v>55</v>
      </c>
      <c r="P896">
        <v>30.7</v>
      </c>
      <c r="Q896" t="s">
        <v>125</v>
      </c>
      <c r="R896">
        <v>18.399999999999999</v>
      </c>
      <c r="S896">
        <v>26.5</v>
      </c>
      <c r="T896">
        <v>13.9</v>
      </c>
      <c r="U896">
        <v>3.4</v>
      </c>
      <c r="V896">
        <v>8.9</v>
      </c>
      <c r="W896">
        <v>7.2</v>
      </c>
      <c r="X896" t="s">
        <v>57</v>
      </c>
    </row>
    <row r="897" spans="2:24" x14ac:dyDescent="0.3">
      <c r="B897" t="s">
        <v>990</v>
      </c>
      <c r="C897" t="s">
        <v>137</v>
      </c>
      <c r="D897" t="s">
        <v>4</v>
      </c>
      <c r="E897" t="s">
        <v>18</v>
      </c>
      <c r="F897" t="s">
        <v>11</v>
      </c>
      <c r="G897" t="s">
        <v>98</v>
      </c>
      <c r="H897">
        <v>2026</v>
      </c>
      <c r="I897">
        <v>2273</v>
      </c>
      <c r="J897">
        <v>1.6</v>
      </c>
      <c r="K897" t="s">
        <v>24</v>
      </c>
      <c r="L897">
        <v>6</v>
      </c>
      <c r="M897">
        <v>9.6999999999999993</v>
      </c>
      <c r="N897">
        <v>4723</v>
      </c>
      <c r="O897" t="s">
        <v>55</v>
      </c>
      <c r="P897">
        <v>13.7</v>
      </c>
      <c r="Q897" t="s">
        <v>88</v>
      </c>
      <c r="R897">
        <v>-1.1000000000000001</v>
      </c>
      <c r="S897">
        <v>59.7</v>
      </c>
      <c r="T897">
        <v>36.799999999999997</v>
      </c>
      <c r="U897">
        <v>7.2</v>
      </c>
      <c r="V897">
        <v>7.6</v>
      </c>
      <c r="W897">
        <v>7.2</v>
      </c>
      <c r="X897" t="s">
        <v>57</v>
      </c>
    </row>
    <row r="898" spans="2:24" x14ac:dyDescent="0.3">
      <c r="B898" t="s">
        <v>991</v>
      </c>
      <c r="C898" t="s">
        <v>122</v>
      </c>
      <c r="D898" t="s">
        <v>2</v>
      </c>
      <c r="E898" t="s">
        <v>19</v>
      </c>
      <c r="F898" t="s">
        <v>10</v>
      </c>
      <c r="G898" t="s">
        <v>115</v>
      </c>
      <c r="H898">
        <v>2024</v>
      </c>
      <c r="I898">
        <v>1481</v>
      </c>
      <c r="J898">
        <v>7.6</v>
      </c>
      <c r="K898" t="s">
        <v>23</v>
      </c>
      <c r="L898">
        <v>4.4000000000000004</v>
      </c>
      <c r="M898">
        <v>7.4</v>
      </c>
      <c r="N898">
        <v>2598</v>
      </c>
      <c r="O898" t="s">
        <v>64</v>
      </c>
      <c r="P898">
        <v>15</v>
      </c>
      <c r="Q898" t="s">
        <v>76</v>
      </c>
      <c r="R898">
        <v>40.5</v>
      </c>
      <c r="S898">
        <v>28.6</v>
      </c>
      <c r="T898">
        <v>5.8</v>
      </c>
      <c r="U898">
        <v>5.5</v>
      </c>
      <c r="V898">
        <v>8.6999999999999993</v>
      </c>
      <c r="W898">
        <v>7</v>
      </c>
      <c r="X898" t="s">
        <v>57</v>
      </c>
    </row>
    <row r="899" spans="2:24" x14ac:dyDescent="0.3">
      <c r="B899" t="s">
        <v>992</v>
      </c>
      <c r="C899" t="s">
        <v>62</v>
      </c>
      <c r="D899" t="s">
        <v>2</v>
      </c>
      <c r="E899" t="s">
        <v>19</v>
      </c>
      <c r="F899" t="s">
        <v>12</v>
      </c>
      <c r="G899" t="s">
        <v>115</v>
      </c>
      <c r="H899">
        <v>2024</v>
      </c>
      <c r="I899">
        <v>2141</v>
      </c>
      <c r="J899">
        <v>8.8000000000000007</v>
      </c>
      <c r="K899" t="s">
        <v>21</v>
      </c>
      <c r="L899">
        <v>9.5</v>
      </c>
      <c r="M899">
        <v>10</v>
      </c>
      <c r="N899">
        <v>1077</v>
      </c>
      <c r="O899" t="s">
        <v>55</v>
      </c>
      <c r="P899">
        <v>88.8</v>
      </c>
      <c r="Q899" t="s">
        <v>56</v>
      </c>
      <c r="R899">
        <v>20.100000000000001</v>
      </c>
      <c r="S899">
        <v>-5.8</v>
      </c>
      <c r="T899">
        <v>0.3</v>
      </c>
      <c r="U899">
        <v>7.5</v>
      </c>
      <c r="V899">
        <v>5</v>
      </c>
      <c r="W899">
        <v>4.3</v>
      </c>
      <c r="X899" t="s">
        <v>57</v>
      </c>
    </row>
    <row r="900" spans="2:24" x14ac:dyDescent="0.3">
      <c r="B900" t="s">
        <v>993</v>
      </c>
      <c r="C900" t="s">
        <v>53</v>
      </c>
      <c r="D900" t="s">
        <v>4</v>
      </c>
      <c r="E900" t="s">
        <v>18</v>
      </c>
      <c r="F900" t="s">
        <v>11</v>
      </c>
      <c r="G900" t="s">
        <v>60</v>
      </c>
      <c r="H900">
        <v>2024</v>
      </c>
      <c r="I900">
        <v>2024</v>
      </c>
      <c r="J900">
        <v>1.5</v>
      </c>
      <c r="K900" t="s">
        <v>22</v>
      </c>
      <c r="L900">
        <v>5.9</v>
      </c>
      <c r="M900">
        <v>6.9</v>
      </c>
      <c r="N900">
        <v>3987</v>
      </c>
      <c r="O900" t="s">
        <v>55</v>
      </c>
      <c r="P900">
        <v>77.400000000000006</v>
      </c>
      <c r="Q900" t="s">
        <v>88</v>
      </c>
      <c r="R900">
        <v>-17.3</v>
      </c>
      <c r="S900">
        <v>40.9</v>
      </c>
      <c r="T900">
        <v>15.8</v>
      </c>
      <c r="U900">
        <v>3.6</v>
      </c>
      <c r="V900">
        <v>7.3</v>
      </c>
      <c r="W900">
        <v>8.5</v>
      </c>
      <c r="X900" t="s">
        <v>57</v>
      </c>
    </row>
    <row r="901" spans="2:24" x14ac:dyDescent="0.3">
      <c r="B901" t="s">
        <v>994</v>
      </c>
      <c r="C901" t="s">
        <v>81</v>
      </c>
      <c r="D901" t="s">
        <v>5</v>
      </c>
      <c r="E901" t="s">
        <v>19</v>
      </c>
      <c r="F901" t="s">
        <v>11</v>
      </c>
      <c r="G901" t="s">
        <v>98</v>
      </c>
      <c r="H901">
        <v>2026</v>
      </c>
      <c r="I901">
        <v>16495</v>
      </c>
      <c r="J901">
        <v>28.9</v>
      </c>
      <c r="K901" t="s">
        <v>23</v>
      </c>
      <c r="L901">
        <v>8.8000000000000007</v>
      </c>
      <c r="M901">
        <v>10</v>
      </c>
      <c r="N901">
        <v>829</v>
      </c>
      <c r="O901" t="s">
        <v>64</v>
      </c>
      <c r="P901">
        <v>21.5</v>
      </c>
      <c r="Q901" t="s">
        <v>76</v>
      </c>
      <c r="R901">
        <v>11.2</v>
      </c>
      <c r="S901">
        <v>3.8</v>
      </c>
      <c r="T901">
        <v>-12.6</v>
      </c>
      <c r="U901">
        <v>6.2</v>
      </c>
      <c r="V901">
        <v>6.8</v>
      </c>
      <c r="W901">
        <v>4.0999999999999996</v>
      </c>
      <c r="X901" t="s">
        <v>66</v>
      </c>
    </row>
    <row r="902" spans="2:24" x14ac:dyDescent="0.3">
      <c r="B902" t="s">
        <v>995</v>
      </c>
      <c r="C902" t="s">
        <v>53</v>
      </c>
      <c r="D902" t="s">
        <v>7</v>
      </c>
      <c r="E902" t="s">
        <v>19</v>
      </c>
      <c r="F902" t="s">
        <v>9</v>
      </c>
      <c r="G902" t="s">
        <v>60</v>
      </c>
      <c r="H902">
        <v>2025</v>
      </c>
      <c r="I902">
        <v>38</v>
      </c>
      <c r="J902">
        <v>6.2</v>
      </c>
      <c r="K902" t="s">
        <v>24</v>
      </c>
      <c r="L902">
        <v>2.5</v>
      </c>
      <c r="M902">
        <v>1</v>
      </c>
      <c r="N902">
        <v>2609</v>
      </c>
      <c r="O902" t="s">
        <v>64</v>
      </c>
      <c r="P902">
        <v>27.5</v>
      </c>
      <c r="Q902" t="s">
        <v>86</v>
      </c>
      <c r="R902">
        <v>44</v>
      </c>
      <c r="S902">
        <v>-11.6</v>
      </c>
      <c r="T902">
        <v>-11.8</v>
      </c>
      <c r="U902">
        <v>1.6</v>
      </c>
      <c r="V902">
        <v>5.5</v>
      </c>
      <c r="W902">
        <v>7.3</v>
      </c>
      <c r="X902" t="s">
        <v>57</v>
      </c>
    </row>
    <row r="903" spans="2:24" x14ac:dyDescent="0.3">
      <c r="B903" t="s">
        <v>996</v>
      </c>
      <c r="C903" t="s">
        <v>53</v>
      </c>
      <c r="D903" t="s">
        <v>3</v>
      </c>
      <c r="E903" t="s">
        <v>17</v>
      </c>
      <c r="F903" t="s">
        <v>9</v>
      </c>
      <c r="G903" t="s">
        <v>131</v>
      </c>
      <c r="H903">
        <v>2024</v>
      </c>
      <c r="I903">
        <v>859</v>
      </c>
      <c r="J903">
        <v>3.3</v>
      </c>
      <c r="K903" t="s">
        <v>21</v>
      </c>
      <c r="L903">
        <v>3.4</v>
      </c>
      <c r="M903">
        <v>3.2</v>
      </c>
      <c r="N903">
        <v>2006</v>
      </c>
      <c r="O903" t="s">
        <v>55</v>
      </c>
      <c r="P903">
        <v>46.3</v>
      </c>
      <c r="Q903" t="s">
        <v>86</v>
      </c>
      <c r="R903">
        <v>36.299999999999997</v>
      </c>
      <c r="S903">
        <v>-1.2</v>
      </c>
      <c r="T903">
        <v>-2.2999999999999998</v>
      </c>
      <c r="U903">
        <v>2</v>
      </c>
      <c r="V903">
        <v>8.5</v>
      </c>
      <c r="W903">
        <v>7.6</v>
      </c>
      <c r="X903" t="s">
        <v>116</v>
      </c>
    </row>
    <row r="904" spans="2:24" x14ac:dyDescent="0.3">
      <c r="B904" t="s">
        <v>997</v>
      </c>
      <c r="C904" t="s">
        <v>159</v>
      </c>
      <c r="D904" t="s">
        <v>2</v>
      </c>
      <c r="E904" t="s">
        <v>18</v>
      </c>
      <c r="F904" t="s">
        <v>10</v>
      </c>
      <c r="G904" t="s">
        <v>54</v>
      </c>
      <c r="H904">
        <v>2025</v>
      </c>
      <c r="I904">
        <v>5511</v>
      </c>
      <c r="J904">
        <v>17.899999999999999</v>
      </c>
      <c r="K904" t="s">
        <v>23</v>
      </c>
      <c r="L904">
        <v>14.1</v>
      </c>
      <c r="M904">
        <v>10</v>
      </c>
      <c r="N904">
        <v>8256</v>
      </c>
      <c r="O904" t="s">
        <v>55</v>
      </c>
      <c r="P904">
        <v>22.4</v>
      </c>
      <c r="Q904" t="s">
        <v>76</v>
      </c>
      <c r="R904">
        <v>1.1000000000000001</v>
      </c>
      <c r="S904">
        <v>38.299999999999997</v>
      </c>
      <c r="T904">
        <v>9</v>
      </c>
      <c r="U904">
        <v>8.6999999999999993</v>
      </c>
      <c r="V904">
        <v>7.7</v>
      </c>
      <c r="W904">
        <v>4.9000000000000004</v>
      </c>
      <c r="X904" t="s">
        <v>116</v>
      </c>
    </row>
    <row r="905" spans="2:24" x14ac:dyDescent="0.3">
      <c r="B905" t="s">
        <v>998</v>
      </c>
      <c r="C905" t="s">
        <v>122</v>
      </c>
      <c r="D905" t="s">
        <v>2</v>
      </c>
      <c r="E905" t="s">
        <v>18</v>
      </c>
      <c r="F905" t="s">
        <v>9</v>
      </c>
      <c r="G905" t="s">
        <v>131</v>
      </c>
      <c r="H905">
        <v>2026</v>
      </c>
      <c r="I905">
        <v>2415</v>
      </c>
      <c r="J905">
        <v>3.9</v>
      </c>
      <c r="K905" t="s">
        <v>23</v>
      </c>
      <c r="L905">
        <v>2.8</v>
      </c>
      <c r="M905">
        <v>5.4</v>
      </c>
      <c r="N905">
        <v>4788</v>
      </c>
      <c r="O905" t="s">
        <v>55</v>
      </c>
      <c r="P905">
        <v>29.2</v>
      </c>
      <c r="Q905" t="s">
        <v>76</v>
      </c>
      <c r="R905">
        <v>21.5</v>
      </c>
      <c r="S905">
        <v>19.600000000000001</v>
      </c>
      <c r="T905">
        <v>10.1</v>
      </c>
      <c r="U905">
        <v>2.9</v>
      </c>
      <c r="V905">
        <v>8.8000000000000007</v>
      </c>
      <c r="W905">
        <v>7.2</v>
      </c>
      <c r="X905" t="s">
        <v>116</v>
      </c>
    </row>
    <row r="906" spans="2:24" x14ac:dyDescent="0.3">
      <c r="B906" t="s">
        <v>999</v>
      </c>
      <c r="C906" t="s">
        <v>106</v>
      </c>
      <c r="D906" t="s">
        <v>2</v>
      </c>
      <c r="E906" t="s">
        <v>18</v>
      </c>
      <c r="F906" t="s">
        <v>11</v>
      </c>
      <c r="G906" t="s">
        <v>74</v>
      </c>
      <c r="H906">
        <v>2026</v>
      </c>
      <c r="I906">
        <v>1585</v>
      </c>
      <c r="J906">
        <v>12.8</v>
      </c>
      <c r="K906" t="s">
        <v>24</v>
      </c>
      <c r="L906">
        <v>1.3</v>
      </c>
      <c r="M906">
        <v>5.0999999999999996</v>
      </c>
      <c r="N906">
        <v>9530</v>
      </c>
      <c r="O906" t="s">
        <v>55</v>
      </c>
      <c r="P906">
        <v>37.5</v>
      </c>
      <c r="Q906" t="s">
        <v>56</v>
      </c>
      <c r="R906">
        <v>19.3</v>
      </c>
      <c r="S906">
        <v>5.7</v>
      </c>
      <c r="T906">
        <v>7.4</v>
      </c>
      <c r="U906">
        <v>1.4</v>
      </c>
      <c r="V906">
        <v>6.8</v>
      </c>
      <c r="W906">
        <v>5.6</v>
      </c>
      <c r="X906" t="s">
        <v>116</v>
      </c>
    </row>
    <row r="907" spans="2:24" x14ac:dyDescent="0.3">
      <c r="B907" t="s">
        <v>1000</v>
      </c>
      <c r="C907" t="s">
        <v>106</v>
      </c>
      <c r="D907" t="s">
        <v>2</v>
      </c>
      <c r="E907" t="s">
        <v>14</v>
      </c>
      <c r="F907" t="s">
        <v>12</v>
      </c>
      <c r="G907" t="s">
        <v>98</v>
      </c>
      <c r="H907">
        <v>2024</v>
      </c>
      <c r="I907">
        <v>1128</v>
      </c>
      <c r="J907">
        <v>10.1</v>
      </c>
      <c r="K907" t="s">
        <v>23</v>
      </c>
      <c r="L907">
        <v>8</v>
      </c>
      <c r="M907">
        <v>6.9</v>
      </c>
      <c r="N907">
        <v>8328</v>
      </c>
      <c r="O907" t="s">
        <v>118</v>
      </c>
      <c r="P907">
        <v>52.8</v>
      </c>
      <c r="Q907" t="s">
        <v>76</v>
      </c>
      <c r="R907">
        <v>62.9</v>
      </c>
      <c r="S907">
        <v>-8.6</v>
      </c>
      <c r="T907">
        <v>-5.4</v>
      </c>
      <c r="U907">
        <v>8.1</v>
      </c>
      <c r="V907">
        <v>4.8</v>
      </c>
      <c r="W907">
        <v>4.7</v>
      </c>
      <c r="X907" t="s">
        <v>116</v>
      </c>
    </row>
    <row r="908" spans="2:24" x14ac:dyDescent="0.3">
      <c r="B908" t="s">
        <v>1001</v>
      </c>
      <c r="C908" t="s">
        <v>53</v>
      </c>
      <c r="D908" t="s">
        <v>2</v>
      </c>
      <c r="E908" t="s">
        <v>18</v>
      </c>
      <c r="F908" t="s">
        <v>9</v>
      </c>
      <c r="G908" t="s">
        <v>69</v>
      </c>
      <c r="H908">
        <v>2026</v>
      </c>
      <c r="I908">
        <v>2884</v>
      </c>
      <c r="J908">
        <v>1.1000000000000001</v>
      </c>
      <c r="K908" t="s">
        <v>21</v>
      </c>
      <c r="L908">
        <v>12.3</v>
      </c>
      <c r="M908">
        <v>2.6</v>
      </c>
      <c r="N908">
        <v>9747</v>
      </c>
      <c r="O908" t="s">
        <v>118</v>
      </c>
      <c r="P908">
        <v>44.9</v>
      </c>
      <c r="Q908" t="s">
        <v>76</v>
      </c>
      <c r="R908">
        <v>81</v>
      </c>
      <c r="S908">
        <v>-1.2</v>
      </c>
      <c r="T908">
        <v>-1.4</v>
      </c>
      <c r="U908">
        <v>7.3</v>
      </c>
      <c r="V908">
        <v>6.8</v>
      </c>
      <c r="W908">
        <v>7.7</v>
      </c>
      <c r="X908" t="s">
        <v>116</v>
      </c>
    </row>
    <row r="909" spans="2:24" x14ac:dyDescent="0.3">
      <c r="B909" t="s">
        <v>1002</v>
      </c>
      <c r="C909" t="s">
        <v>59</v>
      </c>
      <c r="D909" t="s">
        <v>4</v>
      </c>
      <c r="E909" t="s">
        <v>14</v>
      </c>
      <c r="F909" t="s">
        <v>12</v>
      </c>
      <c r="G909" t="s">
        <v>60</v>
      </c>
      <c r="H909">
        <v>2025</v>
      </c>
      <c r="I909">
        <v>59</v>
      </c>
      <c r="J909">
        <v>7.6</v>
      </c>
      <c r="K909" t="s">
        <v>24</v>
      </c>
      <c r="L909">
        <v>8</v>
      </c>
      <c r="M909">
        <v>7.3</v>
      </c>
      <c r="N909">
        <v>1693</v>
      </c>
      <c r="O909" t="s">
        <v>55</v>
      </c>
      <c r="P909">
        <v>24.7</v>
      </c>
      <c r="Q909" t="s">
        <v>65</v>
      </c>
      <c r="R909">
        <v>77.8</v>
      </c>
      <c r="S909">
        <v>-14.7</v>
      </c>
      <c r="T909">
        <v>-0.5</v>
      </c>
      <c r="U909">
        <v>9.9</v>
      </c>
      <c r="V909">
        <v>4.8</v>
      </c>
      <c r="W909">
        <v>5.2</v>
      </c>
      <c r="X909" t="s">
        <v>57</v>
      </c>
    </row>
    <row r="910" spans="2:24" x14ac:dyDescent="0.3">
      <c r="B910" t="s">
        <v>1003</v>
      </c>
      <c r="C910" t="s">
        <v>90</v>
      </c>
      <c r="D910" t="s">
        <v>5</v>
      </c>
      <c r="E910" t="s">
        <v>14</v>
      </c>
      <c r="F910" t="s">
        <v>10</v>
      </c>
      <c r="G910" t="s">
        <v>101</v>
      </c>
      <c r="H910">
        <v>2025</v>
      </c>
      <c r="I910">
        <v>3514</v>
      </c>
      <c r="J910">
        <v>13.2</v>
      </c>
      <c r="K910" t="s">
        <v>22</v>
      </c>
      <c r="L910">
        <v>1.8</v>
      </c>
      <c r="M910">
        <v>4.7</v>
      </c>
      <c r="N910">
        <v>4723</v>
      </c>
      <c r="O910" t="s">
        <v>64</v>
      </c>
      <c r="P910">
        <v>86.4</v>
      </c>
      <c r="Q910" t="s">
        <v>88</v>
      </c>
      <c r="R910">
        <v>25.6</v>
      </c>
      <c r="S910">
        <v>-15.3</v>
      </c>
      <c r="T910">
        <v>-5.8</v>
      </c>
      <c r="U910">
        <v>1.2</v>
      </c>
      <c r="V910">
        <v>6.5</v>
      </c>
      <c r="W910">
        <v>6.1</v>
      </c>
      <c r="X910" t="s">
        <v>116</v>
      </c>
    </row>
    <row r="911" spans="2:24" x14ac:dyDescent="0.3">
      <c r="B911" t="s">
        <v>1004</v>
      </c>
      <c r="C911" t="s">
        <v>53</v>
      </c>
      <c r="D911" t="s">
        <v>7</v>
      </c>
      <c r="E911" t="s">
        <v>17</v>
      </c>
      <c r="F911" t="s">
        <v>11</v>
      </c>
      <c r="G911" t="s">
        <v>74</v>
      </c>
      <c r="H911">
        <v>2024</v>
      </c>
      <c r="I911">
        <v>17946</v>
      </c>
      <c r="J911">
        <v>20.9</v>
      </c>
      <c r="K911" t="s">
        <v>21</v>
      </c>
      <c r="L911">
        <v>3.7</v>
      </c>
      <c r="M911">
        <v>6</v>
      </c>
      <c r="N911">
        <v>839</v>
      </c>
      <c r="O911" t="s">
        <v>75</v>
      </c>
      <c r="P911">
        <v>19.100000000000001</v>
      </c>
      <c r="Q911" t="s">
        <v>79</v>
      </c>
      <c r="R911">
        <v>27.2</v>
      </c>
      <c r="S911">
        <v>30.2</v>
      </c>
      <c r="T911">
        <v>3.4</v>
      </c>
      <c r="U911">
        <v>3.7</v>
      </c>
      <c r="V911">
        <v>6.1</v>
      </c>
      <c r="W911">
        <v>6.1</v>
      </c>
      <c r="X911" t="s">
        <v>66</v>
      </c>
    </row>
    <row r="912" spans="2:24" x14ac:dyDescent="0.3">
      <c r="B912" t="s">
        <v>1005</v>
      </c>
      <c r="C912" t="s">
        <v>27</v>
      </c>
      <c r="D912" t="s">
        <v>3</v>
      </c>
      <c r="E912" t="s">
        <v>17</v>
      </c>
      <c r="F912" t="s">
        <v>11</v>
      </c>
      <c r="G912" t="s">
        <v>78</v>
      </c>
      <c r="H912">
        <v>2025</v>
      </c>
      <c r="I912">
        <v>16573</v>
      </c>
      <c r="J912">
        <v>29</v>
      </c>
      <c r="K912" t="s">
        <v>21</v>
      </c>
      <c r="L912">
        <v>3.9</v>
      </c>
      <c r="M912">
        <v>7.4</v>
      </c>
      <c r="N912">
        <v>497</v>
      </c>
      <c r="O912" t="s">
        <v>75</v>
      </c>
      <c r="P912">
        <v>86</v>
      </c>
      <c r="Q912" t="s">
        <v>56</v>
      </c>
      <c r="R912">
        <v>4</v>
      </c>
      <c r="S912">
        <v>36.200000000000003</v>
      </c>
      <c r="T912">
        <v>13.8</v>
      </c>
      <c r="U912">
        <v>2.5</v>
      </c>
      <c r="V912">
        <v>7</v>
      </c>
      <c r="W912">
        <v>4.2</v>
      </c>
      <c r="X912" t="s">
        <v>66</v>
      </c>
    </row>
    <row r="913" spans="2:24" x14ac:dyDescent="0.3">
      <c r="B913" t="s">
        <v>1006</v>
      </c>
      <c r="C913" t="s">
        <v>81</v>
      </c>
      <c r="D913" t="s">
        <v>5</v>
      </c>
      <c r="E913" t="s">
        <v>18</v>
      </c>
      <c r="F913" t="s">
        <v>10</v>
      </c>
      <c r="G913" t="s">
        <v>131</v>
      </c>
      <c r="H913">
        <v>2024</v>
      </c>
      <c r="I913">
        <v>182</v>
      </c>
      <c r="J913">
        <v>2.8</v>
      </c>
      <c r="K913" t="s">
        <v>25</v>
      </c>
      <c r="L913">
        <v>9.6</v>
      </c>
      <c r="M913">
        <v>3.7</v>
      </c>
      <c r="N913">
        <v>4715</v>
      </c>
      <c r="O913" t="s">
        <v>55</v>
      </c>
      <c r="P913">
        <v>84</v>
      </c>
      <c r="Q913" t="s">
        <v>76</v>
      </c>
      <c r="R913">
        <v>21.9</v>
      </c>
      <c r="S913">
        <v>-6.9</v>
      </c>
      <c r="T913">
        <v>-0.3</v>
      </c>
      <c r="U913">
        <v>8.5</v>
      </c>
      <c r="V913">
        <v>8.3000000000000007</v>
      </c>
      <c r="W913">
        <v>6.6</v>
      </c>
      <c r="X913" t="s">
        <v>57</v>
      </c>
    </row>
    <row r="914" spans="2:24" x14ac:dyDescent="0.3">
      <c r="B914" t="s">
        <v>1007</v>
      </c>
      <c r="C914" t="s">
        <v>139</v>
      </c>
      <c r="D914" t="s">
        <v>8</v>
      </c>
      <c r="E914" t="s">
        <v>18</v>
      </c>
      <c r="F914" t="s">
        <v>11</v>
      </c>
      <c r="G914" t="s">
        <v>78</v>
      </c>
      <c r="H914">
        <v>2026</v>
      </c>
      <c r="I914">
        <v>5854</v>
      </c>
      <c r="J914">
        <v>14.6</v>
      </c>
      <c r="K914" t="s">
        <v>25</v>
      </c>
      <c r="L914">
        <v>6.1</v>
      </c>
      <c r="M914">
        <v>10</v>
      </c>
      <c r="N914">
        <v>5625</v>
      </c>
      <c r="O914" t="s">
        <v>55</v>
      </c>
      <c r="P914">
        <v>42.3</v>
      </c>
      <c r="Q914" t="s">
        <v>88</v>
      </c>
      <c r="R914">
        <v>-22.8</v>
      </c>
      <c r="S914">
        <v>25.9</v>
      </c>
      <c r="T914">
        <v>18.3</v>
      </c>
      <c r="U914">
        <v>7.8</v>
      </c>
      <c r="V914">
        <v>6.7</v>
      </c>
      <c r="W914">
        <v>6.3</v>
      </c>
      <c r="X914" t="s">
        <v>116</v>
      </c>
    </row>
    <row r="915" spans="2:24" x14ac:dyDescent="0.3">
      <c r="B915" t="s">
        <v>1008</v>
      </c>
      <c r="C915" t="s">
        <v>71</v>
      </c>
      <c r="D915" t="s">
        <v>6</v>
      </c>
      <c r="E915" t="s">
        <v>18</v>
      </c>
      <c r="F915" t="s">
        <v>9</v>
      </c>
      <c r="G915" t="s">
        <v>131</v>
      </c>
      <c r="H915">
        <v>2025</v>
      </c>
      <c r="I915">
        <v>9830</v>
      </c>
      <c r="J915">
        <v>35</v>
      </c>
      <c r="K915" t="s">
        <v>23</v>
      </c>
      <c r="L915">
        <v>5.6</v>
      </c>
      <c r="M915">
        <v>9.1999999999999993</v>
      </c>
      <c r="N915">
        <v>1776</v>
      </c>
      <c r="O915" t="s">
        <v>75</v>
      </c>
      <c r="P915">
        <v>56.9</v>
      </c>
      <c r="Q915" t="s">
        <v>65</v>
      </c>
      <c r="R915">
        <v>0.5</v>
      </c>
      <c r="S915">
        <v>36.799999999999997</v>
      </c>
      <c r="T915">
        <v>3.7</v>
      </c>
      <c r="U915">
        <v>7</v>
      </c>
      <c r="V915">
        <v>4.8</v>
      </c>
      <c r="W915">
        <v>3.5</v>
      </c>
      <c r="X915" t="s">
        <v>66</v>
      </c>
    </row>
    <row r="916" spans="2:24" x14ac:dyDescent="0.3">
      <c r="B916" t="s">
        <v>1009</v>
      </c>
      <c r="C916" t="s">
        <v>106</v>
      </c>
      <c r="D916" t="s">
        <v>8</v>
      </c>
      <c r="E916" t="s">
        <v>19</v>
      </c>
      <c r="F916" t="s">
        <v>12</v>
      </c>
      <c r="G916" t="s">
        <v>115</v>
      </c>
      <c r="H916">
        <v>2026</v>
      </c>
      <c r="I916">
        <v>435</v>
      </c>
      <c r="J916">
        <v>3.1</v>
      </c>
      <c r="K916" t="s">
        <v>22</v>
      </c>
      <c r="L916">
        <v>5.9</v>
      </c>
      <c r="M916">
        <v>3.3</v>
      </c>
      <c r="N916">
        <v>2402</v>
      </c>
      <c r="O916" t="s">
        <v>64</v>
      </c>
      <c r="P916">
        <v>32.299999999999997</v>
      </c>
      <c r="Q916" t="s">
        <v>56</v>
      </c>
      <c r="R916">
        <v>26</v>
      </c>
      <c r="S916">
        <v>2.6</v>
      </c>
      <c r="T916">
        <v>-3</v>
      </c>
      <c r="U916">
        <v>3.9</v>
      </c>
      <c r="V916">
        <v>5.5</v>
      </c>
      <c r="W916">
        <v>6.9</v>
      </c>
      <c r="X916" t="s">
        <v>57</v>
      </c>
    </row>
    <row r="917" spans="2:24" x14ac:dyDescent="0.3">
      <c r="B917" t="s">
        <v>1010</v>
      </c>
      <c r="C917" t="s">
        <v>71</v>
      </c>
      <c r="D917" t="s">
        <v>6</v>
      </c>
      <c r="E917" t="s">
        <v>18</v>
      </c>
      <c r="F917" t="s">
        <v>10</v>
      </c>
      <c r="G917" t="s">
        <v>74</v>
      </c>
      <c r="H917">
        <v>2026</v>
      </c>
      <c r="I917">
        <v>1962</v>
      </c>
      <c r="J917">
        <v>4.0999999999999996</v>
      </c>
      <c r="K917" t="s">
        <v>22</v>
      </c>
      <c r="L917">
        <v>12.4</v>
      </c>
      <c r="M917">
        <v>4.5</v>
      </c>
      <c r="N917">
        <v>4579</v>
      </c>
      <c r="O917" t="s">
        <v>55</v>
      </c>
      <c r="P917">
        <v>11.3</v>
      </c>
      <c r="Q917" t="s">
        <v>84</v>
      </c>
      <c r="R917">
        <v>39.700000000000003</v>
      </c>
      <c r="S917">
        <v>-18.8</v>
      </c>
      <c r="T917">
        <v>0.6</v>
      </c>
      <c r="U917">
        <v>9.3000000000000007</v>
      </c>
      <c r="V917">
        <v>6.6</v>
      </c>
      <c r="W917">
        <v>6</v>
      </c>
      <c r="X917" t="s">
        <v>57</v>
      </c>
    </row>
    <row r="918" spans="2:24" x14ac:dyDescent="0.3">
      <c r="B918" t="s">
        <v>1011</v>
      </c>
      <c r="C918" t="s">
        <v>97</v>
      </c>
      <c r="D918" t="s">
        <v>3</v>
      </c>
      <c r="E918" t="s">
        <v>19</v>
      </c>
      <c r="F918" t="s">
        <v>9</v>
      </c>
      <c r="G918" t="s">
        <v>69</v>
      </c>
      <c r="H918">
        <v>2025</v>
      </c>
      <c r="I918">
        <v>5271</v>
      </c>
      <c r="J918">
        <v>9.5</v>
      </c>
      <c r="K918" t="s">
        <v>23</v>
      </c>
      <c r="L918">
        <v>2.4</v>
      </c>
      <c r="M918">
        <v>6.6</v>
      </c>
      <c r="N918">
        <v>4462</v>
      </c>
      <c r="O918" t="s">
        <v>55</v>
      </c>
      <c r="P918">
        <v>68.3</v>
      </c>
      <c r="Q918" t="s">
        <v>84</v>
      </c>
      <c r="R918">
        <v>-9.1999999999999993</v>
      </c>
      <c r="S918">
        <v>17.100000000000001</v>
      </c>
      <c r="T918">
        <v>4.5999999999999996</v>
      </c>
      <c r="U918">
        <v>2.6</v>
      </c>
      <c r="V918">
        <v>6.2</v>
      </c>
      <c r="W918">
        <v>5.8</v>
      </c>
      <c r="X918" t="s">
        <v>116</v>
      </c>
    </row>
    <row r="919" spans="2:24" x14ac:dyDescent="0.3">
      <c r="B919" t="s">
        <v>1012</v>
      </c>
      <c r="C919" t="s">
        <v>137</v>
      </c>
      <c r="D919" t="s">
        <v>3</v>
      </c>
      <c r="E919" t="s">
        <v>17</v>
      </c>
      <c r="F919" t="s">
        <v>9</v>
      </c>
      <c r="G919" t="s">
        <v>63</v>
      </c>
      <c r="H919">
        <v>2025</v>
      </c>
      <c r="I919">
        <v>1039</v>
      </c>
      <c r="J919">
        <v>2.5</v>
      </c>
      <c r="K919" t="s">
        <v>23</v>
      </c>
      <c r="L919">
        <v>4</v>
      </c>
      <c r="M919">
        <v>1.8</v>
      </c>
      <c r="N919">
        <v>1851</v>
      </c>
      <c r="O919" t="s">
        <v>55</v>
      </c>
      <c r="P919">
        <v>16.8</v>
      </c>
      <c r="Q919" t="s">
        <v>65</v>
      </c>
      <c r="R919">
        <v>-15.4</v>
      </c>
      <c r="S919">
        <v>35.1</v>
      </c>
      <c r="T919">
        <v>15.2</v>
      </c>
      <c r="U919">
        <v>2.7</v>
      </c>
      <c r="V919">
        <v>8.6</v>
      </c>
      <c r="W919">
        <v>8.4</v>
      </c>
      <c r="X919" t="s">
        <v>57</v>
      </c>
    </row>
    <row r="920" spans="2:24" x14ac:dyDescent="0.3">
      <c r="B920" t="s">
        <v>1013</v>
      </c>
      <c r="C920" t="s">
        <v>83</v>
      </c>
      <c r="D920" t="s">
        <v>4</v>
      </c>
      <c r="E920" t="s">
        <v>18</v>
      </c>
      <c r="F920" t="s">
        <v>10</v>
      </c>
      <c r="G920" t="s">
        <v>112</v>
      </c>
      <c r="H920">
        <v>2026</v>
      </c>
      <c r="I920">
        <v>3693</v>
      </c>
      <c r="J920">
        <v>13.6</v>
      </c>
      <c r="K920" t="s">
        <v>25</v>
      </c>
      <c r="L920">
        <v>7.7</v>
      </c>
      <c r="M920">
        <v>6.4</v>
      </c>
      <c r="N920">
        <v>1603</v>
      </c>
      <c r="O920" t="s">
        <v>64</v>
      </c>
      <c r="P920">
        <v>17.100000000000001</v>
      </c>
      <c r="Q920" t="s">
        <v>79</v>
      </c>
      <c r="R920">
        <v>-33</v>
      </c>
      <c r="S920">
        <v>38.700000000000003</v>
      </c>
      <c r="T920">
        <v>16.3</v>
      </c>
      <c r="U920">
        <v>4.7</v>
      </c>
      <c r="V920">
        <v>5.0999999999999996</v>
      </c>
      <c r="W920">
        <v>6.7</v>
      </c>
      <c r="X920" t="s">
        <v>66</v>
      </c>
    </row>
    <row r="921" spans="2:24" x14ac:dyDescent="0.3">
      <c r="B921" t="s">
        <v>1014</v>
      </c>
      <c r="C921" t="s">
        <v>68</v>
      </c>
      <c r="D921" t="s">
        <v>8</v>
      </c>
      <c r="E921" t="s">
        <v>15</v>
      </c>
      <c r="F921" t="s">
        <v>9</v>
      </c>
      <c r="G921" t="s">
        <v>131</v>
      </c>
      <c r="H921">
        <v>2024</v>
      </c>
      <c r="I921">
        <v>3340</v>
      </c>
      <c r="J921">
        <v>16.7</v>
      </c>
      <c r="K921" t="s">
        <v>22</v>
      </c>
      <c r="L921">
        <v>4.3</v>
      </c>
      <c r="M921">
        <v>4.7</v>
      </c>
      <c r="N921">
        <v>1518</v>
      </c>
      <c r="O921" t="s">
        <v>64</v>
      </c>
      <c r="P921">
        <v>27.6</v>
      </c>
      <c r="Q921" t="s">
        <v>65</v>
      </c>
      <c r="R921">
        <v>37.9</v>
      </c>
      <c r="S921">
        <v>-8</v>
      </c>
      <c r="T921">
        <v>-13.9</v>
      </c>
      <c r="U921">
        <v>2.9</v>
      </c>
      <c r="V921">
        <v>5.5</v>
      </c>
      <c r="W921">
        <v>5.5</v>
      </c>
      <c r="X921" t="s">
        <v>116</v>
      </c>
    </row>
    <row r="922" spans="2:24" x14ac:dyDescent="0.3">
      <c r="B922" t="s">
        <v>1015</v>
      </c>
      <c r="C922" t="s">
        <v>106</v>
      </c>
      <c r="D922" t="s">
        <v>8</v>
      </c>
      <c r="E922" t="s">
        <v>18</v>
      </c>
      <c r="F922" t="s">
        <v>11</v>
      </c>
      <c r="G922" t="s">
        <v>69</v>
      </c>
      <c r="H922">
        <v>2026</v>
      </c>
      <c r="I922">
        <v>6120</v>
      </c>
      <c r="J922">
        <v>14.7</v>
      </c>
      <c r="K922" t="s">
        <v>22</v>
      </c>
      <c r="L922">
        <v>5.5</v>
      </c>
      <c r="M922">
        <v>5</v>
      </c>
      <c r="N922">
        <v>1284</v>
      </c>
      <c r="O922" t="s">
        <v>64</v>
      </c>
      <c r="P922">
        <v>41.9</v>
      </c>
      <c r="Q922" t="s">
        <v>65</v>
      </c>
      <c r="R922">
        <v>-27.1</v>
      </c>
      <c r="S922">
        <v>37.799999999999997</v>
      </c>
      <c r="T922">
        <v>11.7</v>
      </c>
      <c r="U922">
        <v>5.2</v>
      </c>
      <c r="V922">
        <v>8.5</v>
      </c>
      <c r="W922">
        <v>7.1</v>
      </c>
      <c r="X922" t="s">
        <v>116</v>
      </c>
    </row>
    <row r="923" spans="2:24" x14ac:dyDescent="0.3">
      <c r="B923" t="s">
        <v>1016</v>
      </c>
      <c r="C923" t="s">
        <v>106</v>
      </c>
      <c r="D923" t="s">
        <v>8</v>
      </c>
      <c r="E923" t="s">
        <v>16</v>
      </c>
      <c r="F923" t="s">
        <v>11</v>
      </c>
      <c r="G923" t="s">
        <v>112</v>
      </c>
      <c r="H923">
        <v>2024</v>
      </c>
      <c r="I923">
        <v>5194</v>
      </c>
      <c r="J923">
        <v>1.6</v>
      </c>
      <c r="K923" t="s">
        <v>25</v>
      </c>
      <c r="L923">
        <v>4.5999999999999996</v>
      </c>
      <c r="M923">
        <v>4.5</v>
      </c>
      <c r="N923">
        <v>3958</v>
      </c>
      <c r="O923" t="s">
        <v>55</v>
      </c>
      <c r="P923">
        <v>39</v>
      </c>
      <c r="Q923" t="s">
        <v>65</v>
      </c>
      <c r="R923">
        <v>-24.8</v>
      </c>
      <c r="S923">
        <v>29.7</v>
      </c>
      <c r="T923">
        <v>3.9</v>
      </c>
      <c r="U923">
        <v>3.7</v>
      </c>
      <c r="V923">
        <v>6.6</v>
      </c>
      <c r="W923">
        <v>8.1</v>
      </c>
      <c r="X923" t="s">
        <v>116</v>
      </c>
    </row>
    <row r="924" spans="2:24" x14ac:dyDescent="0.3">
      <c r="B924" t="s">
        <v>1017</v>
      </c>
      <c r="C924" t="s">
        <v>90</v>
      </c>
      <c r="D924" t="s">
        <v>6</v>
      </c>
      <c r="E924" t="s">
        <v>15</v>
      </c>
      <c r="F924" t="s">
        <v>10</v>
      </c>
      <c r="G924" t="s">
        <v>115</v>
      </c>
      <c r="H924">
        <v>2025</v>
      </c>
      <c r="I924">
        <v>1538</v>
      </c>
      <c r="J924">
        <v>0.9</v>
      </c>
      <c r="K924" t="s">
        <v>25</v>
      </c>
      <c r="L924">
        <v>10.3</v>
      </c>
      <c r="M924">
        <v>6.7</v>
      </c>
      <c r="N924">
        <v>5941</v>
      </c>
      <c r="O924" t="s">
        <v>118</v>
      </c>
      <c r="P924">
        <v>30.8</v>
      </c>
      <c r="Q924" t="s">
        <v>84</v>
      </c>
      <c r="R924">
        <v>9.6999999999999993</v>
      </c>
      <c r="S924">
        <v>16.3</v>
      </c>
      <c r="T924">
        <v>0.5</v>
      </c>
      <c r="U924">
        <v>7.3</v>
      </c>
      <c r="V924">
        <v>7</v>
      </c>
      <c r="W924">
        <v>6.4</v>
      </c>
      <c r="X924" t="s">
        <v>57</v>
      </c>
    </row>
    <row r="925" spans="2:24" x14ac:dyDescent="0.3">
      <c r="B925" t="s">
        <v>1018</v>
      </c>
      <c r="C925" t="s">
        <v>139</v>
      </c>
      <c r="D925" t="s">
        <v>8</v>
      </c>
      <c r="E925" t="s">
        <v>16</v>
      </c>
      <c r="F925" t="s">
        <v>9</v>
      </c>
      <c r="G925" t="s">
        <v>69</v>
      </c>
      <c r="H925">
        <v>2024</v>
      </c>
      <c r="I925">
        <v>2996</v>
      </c>
      <c r="J925">
        <v>33.1</v>
      </c>
      <c r="K925" t="s">
        <v>22</v>
      </c>
      <c r="L925">
        <v>7.3</v>
      </c>
      <c r="M925">
        <v>10</v>
      </c>
      <c r="N925">
        <v>159</v>
      </c>
      <c r="O925" t="s">
        <v>75</v>
      </c>
      <c r="P925">
        <v>76.599999999999994</v>
      </c>
      <c r="Q925" t="s">
        <v>79</v>
      </c>
      <c r="R925">
        <v>56.5</v>
      </c>
      <c r="S925">
        <v>15.2</v>
      </c>
      <c r="T925">
        <v>-7.6</v>
      </c>
      <c r="U925">
        <v>6</v>
      </c>
      <c r="V925">
        <v>2.9</v>
      </c>
      <c r="W925">
        <v>3.5</v>
      </c>
      <c r="X925" t="s">
        <v>66</v>
      </c>
    </row>
    <row r="926" spans="2:24" x14ac:dyDescent="0.3">
      <c r="B926" t="s">
        <v>1019</v>
      </c>
      <c r="C926" t="s">
        <v>71</v>
      </c>
      <c r="D926" t="s">
        <v>6</v>
      </c>
      <c r="E926" t="s">
        <v>19</v>
      </c>
      <c r="F926" t="s">
        <v>11</v>
      </c>
      <c r="G926" t="s">
        <v>69</v>
      </c>
      <c r="H926">
        <v>2026</v>
      </c>
      <c r="I926">
        <v>336</v>
      </c>
      <c r="J926">
        <v>7.7</v>
      </c>
      <c r="K926" t="s">
        <v>25</v>
      </c>
      <c r="L926">
        <v>2.5</v>
      </c>
      <c r="M926">
        <v>6.7</v>
      </c>
      <c r="N926">
        <v>5751</v>
      </c>
      <c r="O926" t="s">
        <v>55</v>
      </c>
      <c r="P926">
        <v>42</v>
      </c>
      <c r="Q926" t="s">
        <v>56</v>
      </c>
      <c r="R926">
        <v>74.599999999999994</v>
      </c>
      <c r="S926">
        <v>-22</v>
      </c>
      <c r="T926">
        <v>-3.6</v>
      </c>
      <c r="U926">
        <v>3.4</v>
      </c>
      <c r="V926">
        <v>4</v>
      </c>
      <c r="W926">
        <v>5.4</v>
      </c>
      <c r="X926" t="s">
        <v>57</v>
      </c>
    </row>
    <row r="927" spans="2:24" x14ac:dyDescent="0.3">
      <c r="B927" t="s">
        <v>1020</v>
      </c>
      <c r="C927" t="s">
        <v>71</v>
      </c>
      <c r="D927" t="s">
        <v>6</v>
      </c>
      <c r="E927" t="s">
        <v>15</v>
      </c>
      <c r="F927" t="s">
        <v>10</v>
      </c>
      <c r="G927" t="s">
        <v>69</v>
      </c>
      <c r="H927">
        <v>2024</v>
      </c>
      <c r="I927">
        <v>9961</v>
      </c>
      <c r="J927">
        <v>11.1</v>
      </c>
      <c r="K927" t="s">
        <v>22</v>
      </c>
      <c r="L927">
        <v>4.0999999999999996</v>
      </c>
      <c r="M927">
        <v>6.8</v>
      </c>
      <c r="N927">
        <v>534</v>
      </c>
      <c r="O927" t="s">
        <v>64</v>
      </c>
      <c r="P927">
        <v>11.6</v>
      </c>
      <c r="Q927" t="s">
        <v>76</v>
      </c>
      <c r="R927">
        <v>51</v>
      </c>
      <c r="S927">
        <v>8.8000000000000007</v>
      </c>
      <c r="T927">
        <v>-4.0999999999999996</v>
      </c>
      <c r="U927">
        <v>4.0999999999999996</v>
      </c>
      <c r="V927">
        <v>5.6</v>
      </c>
      <c r="W927">
        <v>6.1</v>
      </c>
      <c r="X927" t="s">
        <v>66</v>
      </c>
    </row>
    <row r="928" spans="2:24" x14ac:dyDescent="0.3">
      <c r="B928" t="s">
        <v>1021</v>
      </c>
      <c r="C928" t="s">
        <v>59</v>
      </c>
      <c r="D928" t="s">
        <v>4</v>
      </c>
      <c r="E928" t="s">
        <v>18</v>
      </c>
      <c r="F928" t="s">
        <v>10</v>
      </c>
      <c r="G928" t="s">
        <v>104</v>
      </c>
      <c r="H928">
        <v>2026</v>
      </c>
      <c r="I928">
        <v>18028</v>
      </c>
      <c r="J928">
        <v>37.299999999999997</v>
      </c>
      <c r="K928" t="s">
        <v>25</v>
      </c>
      <c r="L928">
        <v>10.1</v>
      </c>
      <c r="M928">
        <v>10</v>
      </c>
      <c r="N928">
        <v>1852</v>
      </c>
      <c r="O928" t="s">
        <v>75</v>
      </c>
      <c r="P928">
        <v>20.7</v>
      </c>
      <c r="Q928" t="s">
        <v>88</v>
      </c>
      <c r="R928">
        <v>-40.299999999999997</v>
      </c>
      <c r="S928">
        <v>45.9</v>
      </c>
      <c r="T928">
        <v>12.7</v>
      </c>
      <c r="U928">
        <v>7.3</v>
      </c>
      <c r="V928">
        <v>4.3</v>
      </c>
      <c r="W928">
        <v>4.5999999999999996</v>
      </c>
      <c r="X928" t="s">
        <v>66</v>
      </c>
    </row>
    <row r="929" spans="2:24" x14ac:dyDescent="0.3">
      <c r="B929" t="s">
        <v>1022</v>
      </c>
      <c r="C929" t="s">
        <v>90</v>
      </c>
      <c r="D929" t="s">
        <v>3</v>
      </c>
      <c r="E929" t="s">
        <v>14</v>
      </c>
      <c r="F929" t="s">
        <v>9</v>
      </c>
      <c r="G929" t="s">
        <v>131</v>
      </c>
      <c r="H929">
        <v>2024</v>
      </c>
      <c r="I929">
        <v>530</v>
      </c>
      <c r="J929">
        <v>14.8</v>
      </c>
      <c r="K929" t="s">
        <v>23</v>
      </c>
      <c r="L929">
        <v>5.5</v>
      </c>
      <c r="M929">
        <v>10</v>
      </c>
      <c r="N929">
        <v>1076</v>
      </c>
      <c r="O929" t="s">
        <v>55</v>
      </c>
      <c r="P929">
        <v>61.8</v>
      </c>
      <c r="Q929" t="s">
        <v>125</v>
      </c>
      <c r="R929">
        <v>-23.3</v>
      </c>
      <c r="S929">
        <v>-15.1</v>
      </c>
      <c r="T929">
        <v>-5.4</v>
      </c>
      <c r="U929">
        <v>7.6</v>
      </c>
      <c r="V929">
        <v>5.4</v>
      </c>
      <c r="W929">
        <v>3.9</v>
      </c>
      <c r="X929" t="s">
        <v>116</v>
      </c>
    </row>
    <row r="930" spans="2:24" x14ac:dyDescent="0.3">
      <c r="B930" t="s">
        <v>1023</v>
      </c>
      <c r="C930" t="s">
        <v>90</v>
      </c>
      <c r="D930" t="s">
        <v>6</v>
      </c>
      <c r="E930" t="s">
        <v>16</v>
      </c>
      <c r="F930" t="s">
        <v>12</v>
      </c>
      <c r="G930" t="s">
        <v>112</v>
      </c>
      <c r="H930">
        <v>2025</v>
      </c>
      <c r="I930">
        <v>2313</v>
      </c>
      <c r="J930">
        <v>8</v>
      </c>
      <c r="K930" t="s">
        <v>21</v>
      </c>
      <c r="L930">
        <v>10.8</v>
      </c>
      <c r="M930">
        <v>6.7</v>
      </c>
      <c r="N930">
        <v>2874</v>
      </c>
      <c r="O930" t="s">
        <v>64</v>
      </c>
      <c r="P930">
        <v>27.4</v>
      </c>
      <c r="Q930" t="s">
        <v>88</v>
      </c>
      <c r="R930">
        <v>36.9</v>
      </c>
      <c r="S930">
        <v>44.9</v>
      </c>
      <c r="T930">
        <v>23.3</v>
      </c>
      <c r="U930">
        <v>8</v>
      </c>
      <c r="V930">
        <v>6.4</v>
      </c>
      <c r="W930">
        <v>6.8</v>
      </c>
      <c r="X930" t="s">
        <v>57</v>
      </c>
    </row>
    <row r="931" spans="2:24" x14ac:dyDescent="0.3">
      <c r="B931" t="s">
        <v>1024</v>
      </c>
      <c r="C931" t="s">
        <v>83</v>
      </c>
      <c r="D931" t="s">
        <v>4</v>
      </c>
      <c r="E931" t="s">
        <v>14</v>
      </c>
      <c r="F931" t="s">
        <v>10</v>
      </c>
      <c r="G931" t="s">
        <v>69</v>
      </c>
      <c r="H931">
        <v>2025</v>
      </c>
      <c r="I931">
        <v>10055</v>
      </c>
      <c r="J931">
        <v>35.799999999999997</v>
      </c>
      <c r="K931" t="s">
        <v>23</v>
      </c>
      <c r="L931">
        <v>1.9</v>
      </c>
      <c r="M931">
        <v>8.5</v>
      </c>
      <c r="N931">
        <v>1787</v>
      </c>
      <c r="O931" t="s">
        <v>75</v>
      </c>
      <c r="P931">
        <v>66.3</v>
      </c>
      <c r="Q931" t="s">
        <v>125</v>
      </c>
      <c r="R931">
        <v>48.6</v>
      </c>
      <c r="S931">
        <v>54.8</v>
      </c>
      <c r="T931">
        <v>5.7</v>
      </c>
      <c r="U931">
        <v>1.9</v>
      </c>
      <c r="V931">
        <v>5.9</v>
      </c>
      <c r="W931">
        <v>4.8</v>
      </c>
      <c r="X931" t="s">
        <v>66</v>
      </c>
    </row>
    <row r="932" spans="2:24" x14ac:dyDescent="0.3">
      <c r="B932" t="s">
        <v>1025</v>
      </c>
      <c r="C932" t="s">
        <v>137</v>
      </c>
      <c r="D932" t="s">
        <v>3</v>
      </c>
      <c r="E932" t="s">
        <v>17</v>
      </c>
      <c r="F932" t="s">
        <v>10</v>
      </c>
      <c r="G932" t="s">
        <v>60</v>
      </c>
      <c r="H932">
        <v>2026</v>
      </c>
      <c r="I932">
        <v>621</v>
      </c>
      <c r="J932">
        <v>13.2</v>
      </c>
      <c r="K932" t="s">
        <v>24</v>
      </c>
      <c r="L932">
        <v>4.3</v>
      </c>
      <c r="M932">
        <v>4</v>
      </c>
      <c r="N932">
        <v>4907</v>
      </c>
      <c r="O932" t="s">
        <v>55</v>
      </c>
      <c r="P932">
        <v>48</v>
      </c>
      <c r="Q932" t="s">
        <v>84</v>
      </c>
      <c r="R932">
        <v>-44</v>
      </c>
      <c r="S932">
        <v>-15.6</v>
      </c>
      <c r="T932">
        <v>0.6</v>
      </c>
      <c r="U932">
        <v>3.1</v>
      </c>
      <c r="V932">
        <v>7.2</v>
      </c>
      <c r="W932">
        <v>5.2</v>
      </c>
      <c r="X932" t="s">
        <v>116</v>
      </c>
    </row>
    <row r="933" spans="2:24" x14ac:dyDescent="0.3">
      <c r="B933" t="s">
        <v>1026</v>
      </c>
      <c r="C933" t="s">
        <v>83</v>
      </c>
      <c r="D933" t="s">
        <v>4</v>
      </c>
      <c r="E933" t="s">
        <v>16</v>
      </c>
      <c r="F933" t="s">
        <v>11</v>
      </c>
      <c r="G933" t="s">
        <v>115</v>
      </c>
      <c r="H933">
        <v>2024</v>
      </c>
      <c r="I933">
        <v>7609</v>
      </c>
      <c r="J933">
        <v>25.3</v>
      </c>
      <c r="K933" t="s">
        <v>24</v>
      </c>
      <c r="L933">
        <v>9.6</v>
      </c>
      <c r="M933">
        <v>10</v>
      </c>
      <c r="N933">
        <v>1379</v>
      </c>
      <c r="O933" t="s">
        <v>75</v>
      </c>
      <c r="P933">
        <v>16.399999999999999</v>
      </c>
      <c r="Q933" t="s">
        <v>125</v>
      </c>
      <c r="R933">
        <v>19.899999999999999</v>
      </c>
      <c r="S933">
        <v>37.799999999999997</v>
      </c>
      <c r="T933">
        <v>7.7</v>
      </c>
      <c r="U933">
        <v>7.2</v>
      </c>
      <c r="V933">
        <v>4.5999999999999996</v>
      </c>
      <c r="W933">
        <v>4.2</v>
      </c>
      <c r="X933" t="s">
        <v>66</v>
      </c>
    </row>
    <row r="934" spans="2:24" x14ac:dyDescent="0.3">
      <c r="B934" t="s">
        <v>1027</v>
      </c>
      <c r="C934" t="s">
        <v>142</v>
      </c>
      <c r="D934" t="s">
        <v>8</v>
      </c>
      <c r="E934" t="s">
        <v>17</v>
      </c>
      <c r="F934" t="s">
        <v>9</v>
      </c>
      <c r="G934" t="s">
        <v>104</v>
      </c>
      <c r="H934">
        <v>2025</v>
      </c>
      <c r="I934">
        <v>6850</v>
      </c>
      <c r="J934">
        <v>14.5</v>
      </c>
      <c r="K934" t="s">
        <v>24</v>
      </c>
      <c r="L934">
        <v>2.1</v>
      </c>
      <c r="M934">
        <v>2.6</v>
      </c>
      <c r="N934">
        <v>3089</v>
      </c>
      <c r="O934" t="s">
        <v>64</v>
      </c>
      <c r="P934">
        <v>22.8</v>
      </c>
      <c r="Q934" t="s">
        <v>125</v>
      </c>
      <c r="R934">
        <v>36.299999999999997</v>
      </c>
      <c r="S934">
        <v>28.3</v>
      </c>
      <c r="T934">
        <v>4.5</v>
      </c>
      <c r="U934">
        <v>1.4</v>
      </c>
      <c r="V934">
        <v>6.2</v>
      </c>
      <c r="W934">
        <v>6.9</v>
      </c>
      <c r="X934" t="s">
        <v>116</v>
      </c>
    </row>
    <row r="935" spans="2:24" x14ac:dyDescent="0.3">
      <c r="B935" t="s">
        <v>1028</v>
      </c>
      <c r="C935" t="s">
        <v>159</v>
      </c>
      <c r="D935" t="s">
        <v>2</v>
      </c>
      <c r="E935" t="s">
        <v>15</v>
      </c>
      <c r="F935" t="s">
        <v>12</v>
      </c>
      <c r="G935" t="s">
        <v>54</v>
      </c>
      <c r="H935">
        <v>2024</v>
      </c>
      <c r="I935">
        <v>6844</v>
      </c>
      <c r="J935">
        <v>16.600000000000001</v>
      </c>
      <c r="K935" t="s">
        <v>25</v>
      </c>
      <c r="L935">
        <v>3.7</v>
      </c>
      <c r="M935">
        <v>7.9</v>
      </c>
      <c r="N935">
        <v>2456</v>
      </c>
      <c r="O935" t="s">
        <v>64</v>
      </c>
      <c r="P935">
        <v>42.7</v>
      </c>
      <c r="Q935" t="s">
        <v>56</v>
      </c>
      <c r="R935">
        <v>44.9</v>
      </c>
      <c r="S935">
        <v>17.3</v>
      </c>
      <c r="T935">
        <v>7.7</v>
      </c>
      <c r="U935">
        <v>3.6</v>
      </c>
      <c r="V935">
        <v>7</v>
      </c>
      <c r="W935">
        <v>5.6</v>
      </c>
      <c r="X935" t="s">
        <v>116</v>
      </c>
    </row>
    <row r="936" spans="2:24" x14ac:dyDescent="0.3">
      <c r="B936" t="s">
        <v>1029</v>
      </c>
      <c r="C936" t="s">
        <v>159</v>
      </c>
      <c r="D936" t="s">
        <v>2</v>
      </c>
      <c r="E936" t="s">
        <v>18</v>
      </c>
      <c r="F936" t="s">
        <v>9</v>
      </c>
      <c r="G936" t="s">
        <v>98</v>
      </c>
      <c r="H936">
        <v>2025</v>
      </c>
      <c r="I936">
        <v>9705</v>
      </c>
      <c r="J936">
        <v>14.3</v>
      </c>
      <c r="K936" t="s">
        <v>21</v>
      </c>
      <c r="L936">
        <v>9.5</v>
      </c>
      <c r="M936">
        <v>8.1999999999999993</v>
      </c>
      <c r="N936">
        <v>5229</v>
      </c>
      <c r="O936" t="s">
        <v>55</v>
      </c>
      <c r="P936">
        <v>31.7</v>
      </c>
      <c r="Q936" t="s">
        <v>76</v>
      </c>
      <c r="R936">
        <v>53</v>
      </c>
      <c r="S936">
        <v>27</v>
      </c>
      <c r="T936">
        <v>1.4</v>
      </c>
      <c r="U936">
        <v>6.3</v>
      </c>
      <c r="V936">
        <v>8.4</v>
      </c>
      <c r="W936">
        <v>5</v>
      </c>
      <c r="X936" t="s">
        <v>66</v>
      </c>
    </row>
    <row r="937" spans="2:24" x14ac:dyDescent="0.3">
      <c r="B937" t="s">
        <v>1030</v>
      </c>
      <c r="C937" t="s">
        <v>137</v>
      </c>
      <c r="D937" t="s">
        <v>4</v>
      </c>
      <c r="E937" t="s">
        <v>17</v>
      </c>
      <c r="F937" t="s">
        <v>10</v>
      </c>
      <c r="G937" t="s">
        <v>115</v>
      </c>
      <c r="H937">
        <v>2025</v>
      </c>
      <c r="I937">
        <v>19157</v>
      </c>
      <c r="J937">
        <v>20.7</v>
      </c>
      <c r="K937" t="s">
        <v>23</v>
      </c>
      <c r="L937">
        <v>5.9</v>
      </c>
      <c r="M937">
        <v>7.3</v>
      </c>
      <c r="N937">
        <v>1137</v>
      </c>
      <c r="O937" t="s">
        <v>75</v>
      </c>
      <c r="P937">
        <v>13.4</v>
      </c>
      <c r="Q937" t="s">
        <v>65</v>
      </c>
      <c r="R937">
        <v>33.9</v>
      </c>
      <c r="S937">
        <v>-18.100000000000001</v>
      </c>
      <c r="T937">
        <v>-18.5</v>
      </c>
      <c r="U937">
        <v>3.5</v>
      </c>
      <c r="V937">
        <v>6.6</v>
      </c>
      <c r="W937">
        <v>4.9000000000000004</v>
      </c>
      <c r="X937" t="s">
        <v>66</v>
      </c>
    </row>
    <row r="938" spans="2:24" x14ac:dyDescent="0.3">
      <c r="B938" t="s">
        <v>1031</v>
      </c>
      <c r="C938" t="s">
        <v>62</v>
      </c>
      <c r="D938" t="s">
        <v>2</v>
      </c>
      <c r="E938" t="s">
        <v>14</v>
      </c>
      <c r="F938" t="s">
        <v>9</v>
      </c>
      <c r="G938" t="s">
        <v>131</v>
      </c>
      <c r="H938">
        <v>2024</v>
      </c>
      <c r="I938">
        <v>915</v>
      </c>
      <c r="J938">
        <v>17.399999999999999</v>
      </c>
      <c r="K938" t="s">
        <v>23</v>
      </c>
      <c r="L938">
        <v>5.9</v>
      </c>
      <c r="M938">
        <v>10</v>
      </c>
      <c r="N938">
        <v>2478</v>
      </c>
      <c r="O938" t="s">
        <v>55</v>
      </c>
      <c r="P938">
        <v>78.900000000000006</v>
      </c>
      <c r="Q938" t="s">
        <v>76</v>
      </c>
      <c r="R938">
        <v>84.6</v>
      </c>
      <c r="S938">
        <v>48.5</v>
      </c>
      <c r="T938">
        <v>26</v>
      </c>
      <c r="U938">
        <v>8.1999999999999993</v>
      </c>
      <c r="V938">
        <v>7.6</v>
      </c>
      <c r="W938">
        <v>6.4</v>
      </c>
      <c r="X938" t="s">
        <v>116</v>
      </c>
    </row>
    <row r="939" spans="2:24" x14ac:dyDescent="0.3">
      <c r="B939" t="s">
        <v>1032</v>
      </c>
      <c r="C939" t="s">
        <v>68</v>
      </c>
      <c r="D939" t="s">
        <v>8</v>
      </c>
      <c r="E939" t="s">
        <v>18</v>
      </c>
      <c r="F939" t="s">
        <v>10</v>
      </c>
      <c r="G939" t="s">
        <v>69</v>
      </c>
      <c r="H939">
        <v>2024</v>
      </c>
      <c r="I939">
        <v>9742</v>
      </c>
      <c r="J939">
        <v>21.5</v>
      </c>
      <c r="K939" t="s">
        <v>21</v>
      </c>
      <c r="L939">
        <v>5.9</v>
      </c>
      <c r="M939">
        <v>8.9</v>
      </c>
      <c r="N939">
        <v>206</v>
      </c>
      <c r="O939" t="s">
        <v>64</v>
      </c>
      <c r="P939">
        <v>89</v>
      </c>
      <c r="Q939" t="s">
        <v>86</v>
      </c>
      <c r="R939">
        <v>-22</v>
      </c>
      <c r="S939">
        <v>54.5</v>
      </c>
      <c r="T939">
        <v>10.199999999999999</v>
      </c>
      <c r="U939">
        <v>7.8</v>
      </c>
      <c r="V939">
        <v>6.8</v>
      </c>
      <c r="W939">
        <v>6.2</v>
      </c>
      <c r="X939" t="s">
        <v>66</v>
      </c>
    </row>
    <row r="940" spans="2:24" x14ac:dyDescent="0.3">
      <c r="B940" t="s">
        <v>1033</v>
      </c>
      <c r="C940" t="s">
        <v>68</v>
      </c>
      <c r="D940" t="s">
        <v>8</v>
      </c>
      <c r="E940" t="s">
        <v>15</v>
      </c>
      <c r="F940" t="s">
        <v>11</v>
      </c>
      <c r="G940" t="s">
        <v>101</v>
      </c>
      <c r="H940">
        <v>2026</v>
      </c>
      <c r="I940">
        <v>1722</v>
      </c>
      <c r="J940">
        <v>17</v>
      </c>
      <c r="K940" t="s">
        <v>25</v>
      </c>
      <c r="L940">
        <v>3.6</v>
      </c>
      <c r="M940">
        <v>4.0999999999999996</v>
      </c>
      <c r="N940">
        <v>3348</v>
      </c>
      <c r="O940" t="s">
        <v>55</v>
      </c>
      <c r="P940">
        <v>18.899999999999999</v>
      </c>
      <c r="Q940" t="s">
        <v>56</v>
      </c>
      <c r="R940">
        <v>-21.1</v>
      </c>
      <c r="S940">
        <v>-12.2</v>
      </c>
      <c r="T940">
        <v>-10.9</v>
      </c>
      <c r="U940">
        <v>3.8</v>
      </c>
      <c r="V940">
        <v>3.7</v>
      </c>
      <c r="W940">
        <v>4.4000000000000004</v>
      </c>
      <c r="X940" t="s">
        <v>116</v>
      </c>
    </row>
    <row r="941" spans="2:24" x14ac:dyDescent="0.3">
      <c r="B941" t="s">
        <v>1034</v>
      </c>
      <c r="C941" t="s">
        <v>71</v>
      </c>
      <c r="D941" t="s">
        <v>5</v>
      </c>
      <c r="E941" t="s">
        <v>17</v>
      </c>
      <c r="F941" t="s">
        <v>10</v>
      </c>
      <c r="G941" t="s">
        <v>60</v>
      </c>
      <c r="H941">
        <v>2026</v>
      </c>
      <c r="I941">
        <v>10874</v>
      </c>
      <c r="J941">
        <v>11.6</v>
      </c>
      <c r="K941" t="s">
        <v>24</v>
      </c>
      <c r="L941">
        <v>13.5</v>
      </c>
      <c r="M941">
        <v>9.1</v>
      </c>
      <c r="N941">
        <v>952</v>
      </c>
      <c r="O941" t="s">
        <v>64</v>
      </c>
      <c r="P941">
        <v>35.200000000000003</v>
      </c>
      <c r="Q941" t="s">
        <v>76</v>
      </c>
      <c r="R941">
        <v>18.3</v>
      </c>
      <c r="S941">
        <v>24.6</v>
      </c>
      <c r="T941">
        <v>18.399999999999999</v>
      </c>
      <c r="U941">
        <v>8.6</v>
      </c>
      <c r="V941">
        <v>8.3000000000000007</v>
      </c>
      <c r="W941">
        <v>6.7</v>
      </c>
      <c r="X941" t="s">
        <v>66</v>
      </c>
    </row>
    <row r="942" spans="2:24" x14ac:dyDescent="0.3">
      <c r="B942" t="s">
        <v>1035</v>
      </c>
      <c r="C942" t="s">
        <v>27</v>
      </c>
      <c r="D942" t="s">
        <v>2</v>
      </c>
      <c r="E942" t="s">
        <v>18</v>
      </c>
      <c r="F942" t="s">
        <v>11</v>
      </c>
      <c r="G942" t="s">
        <v>98</v>
      </c>
      <c r="H942">
        <v>2024</v>
      </c>
      <c r="I942">
        <v>2247</v>
      </c>
      <c r="J942">
        <v>1.9</v>
      </c>
      <c r="K942" t="s">
        <v>23</v>
      </c>
      <c r="L942">
        <v>8.5</v>
      </c>
      <c r="M942">
        <v>3.7</v>
      </c>
      <c r="N942">
        <v>3297</v>
      </c>
      <c r="O942" t="s">
        <v>55</v>
      </c>
      <c r="P942">
        <v>15.7</v>
      </c>
      <c r="Q942" t="s">
        <v>56</v>
      </c>
      <c r="R942">
        <v>-4.4000000000000004</v>
      </c>
      <c r="S942">
        <v>14.4</v>
      </c>
      <c r="T942">
        <v>12.3</v>
      </c>
      <c r="U942">
        <v>9</v>
      </c>
      <c r="V942">
        <v>8.1999999999999993</v>
      </c>
      <c r="W942">
        <v>6.9</v>
      </c>
      <c r="X942" t="s">
        <v>116</v>
      </c>
    </row>
    <row r="943" spans="2:24" x14ac:dyDescent="0.3">
      <c r="B943" t="s">
        <v>1036</v>
      </c>
      <c r="C943" t="s">
        <v>68</v>
      </c>
      <c r="D943" t="s">
        <v>8</v>
      </c>
      <c r="E943" t="s">
        <v>17</v>
      </c>
      <c r="F943" t="s">
        <v>11</v>
      </c>
      <c r="G943" t="s">
        <v>63</v>
      </c>
      <c r="H943">
        <v>2025</v>
      </c>
      <c r="I943">
        <v>17683</v>
      </c>
      <c r="J943">
        <v>8.6999999999999993</v>
      </c>
      <c r="K943" t="s">
        <v>22</v>
      </c>
      <c r="L943">
        <v>3.6</v>
      </c>
      <c r="M943">
        <v>2.2000000000000002</v>
      </c>
      <c r="N943">
        <v>1419</v>
      </c>
      <c r="O943" t="s">
        <v>64</v>
      </c>
      <c r="P943">
        <v>10.8</v>
      </c>
      <c r="Q943" t="s">
        <v>84</v>
      </c>
      <c r="R943">
        <v>18</v>
      </c>
      <c r="S943">
        <v>50.6</v>
      </c>
      <c r="T943">
        <v>12.5</v>
      </c>
      <c r="U943">
        <v>2.4</v>
      </c>
      <c r="V943">
        <v>7.7</v>
      </c>
      <c r="W943">
        <v>7.3</v>
      </c>
      <c r="X943" t="s">
        <v>66</v>
      </c>
    </row>
    <row r="944" spans="2:24" x14ac:dyDescent="0.3">
      <c r="B944" t="s">
        <v>1037</v>
      </c>
      <c r="C944" t="s">
        <v>106</v>
      </c>
      <c r="D944" t="s">
        <v>7</v>
      </c>
      <c r="E944" t="s">
        <v>14</v>
      </c>
      <c r="F944" t="s">
        <v>10</v>
      </c>
      <c r="G944" t="s">
        <v>115</v>
      </c>
      <c r="H944">
        <v>2025</v>
      </c>
      <c r="I944">
        <v>3435</v>
      </c>
      <c r="J944">
        <v>17.100000000000001</v>
      </c>
      <c r="K944" t="s">
        <v>24</v>
      </c>
      <c r="L944">
        <v>11.5</v>
      </c>
      <c r="M944">
        <v>10</v>
      </c>
      <c r="N944">
        <v>165</v>
      </c>
      <c r="O944" t="s">
        <v>64</v>
      </c>
      <c r="P944">
        <v>66.400000000000006</v>
      </c>
      <c r="Q944" t="s">
        <v>88</v>
      </c>
      <c r="R944">
        <v>-32.200000000000003</v>
      </c>
      <c r="S944">
        <v>43.3</v>
      </c>
      <c r="T944">
        <v>7.1</v>
      </c>
      <c r="U944">
        <v>7.3</v>
      </c>
      <c r="V944">
        <v>8.4</v>
      </c>
      <c r="W944">
        <v>5.4</v>
      </c>
      <c r="X944" t="s">
        <v>66</v>
      </c>
    </row>
    <row r="945" spans="2:24" x14ac:dyDescent="0.3">
      <c r="B945" t="s">
        <v>1038</v>
      </c>
      <c r="C945" t="s">
        <v>53</v>
      </c>
      <c r="D945" t="s">
        <v>2</v>
      </c>
      <c r="E945" t="s">
        <v>17</v>
      </c>
      <c r="F945" t="s">
        <v>12</v>
      </c>
      <c r="G945" t="s">
        <v>69</v>
      </c>
      <c r="H945">
        <v>2026</v>
      </c>
      <c r="I945">
        <v>2333</v>
      </c>
      <c r="J945">
        <v>0.7</v>
      </c>
      <c r="K945" t="s">
        <v>25</v>
      </c>
      <c r="L945">
        <v>12.5</v>
      </c>
      <c r="M945">
        <v>7.6</v>
      </c>
      <c r="N945">
        <v>7123</v>
      </c>
      <c r="O945" t="s">
        <v>118</v>
      </c>
      <c r="P945">
        <v>51.8</v>
      </c>
      <c r="Q945" t="s">
        <v>56</v>
      </c>
      <c r="R945">
        <v>76.2</v>
      </c>
      <c r="S945">
        <v>-9.6999999999999993</v>
      </c>
      <c r="T945">
        <v>2.4</v>
      </c>
      <c r="U945">
        <v>8.5</v>
      </c>
      <c r="V945">
        <v>7.9</v>
      </c>
      <c r="W945">
        <v>6.3</v>
      </c>
      <c r="X945" t="s">
        <v>57</v>
      </c>
    </row>
    <row r="946" spans="2:24" x14ac:dyDescent="0.3">
      <c r="B946" t="s">
        <v>1039</v>
      </c>
      <c r="C946" t="s">
        <v>68</v>
      </c>
      <c r="D946" t="s">
        <v>8</v>
      </c>
      <c r="E946" t="s">
        <v>14</v>
      </c>
      <c r="F946" t="s">
        <v>9</v>
      </c>
      <c r="G946" t="s">
        <v>69</v>
      </c>
      <c r="H946">
        <v>2025</v>
      </c>
      <c r="I946">
        <v>2284</v>
      </c>
      <c r="J946">
        <v>6.8</v>
      </c>
      <c r="K946" t="s">
        <v>23</v>
      </c>
      <c r="L946">
        <v>5.5</v>
      </c>
      <c r="M946">
        <v>10</v>
      </c>
      <c r="N946">
        <v>2406</v>
      </c>
      <c r="O946" t="s">
        <v>64</v>
      </c>
      <c r="P946">
        <v>16.399999999999999</v>
      </c>
      <c r="Q946" t="s">
        <v>56</v>
      </c>
      <c r="R946">
        <v>-9.3000000000000007</v>
      </c>
      <c r="S946">
        <v>-2</v>
      </c>
      <c r="T946">
        <v>2.9</v>
      </c>
      <c r="U946">
        <v>9.1999999999999993</v>
      </c>
      <c r="V946">
        <v>4.5</v>
      </c>
      <c r="W946">
        <v>5.5</v>
      </c>
      <c r="X946" t="s">
        <v>57</v>
      </c>
    </row>
    <row r="947" spans="2:24" x14ac:dyDescent="0.3">
      <c r="B947" t="s">
        <v>1040</v>
      </c>
      <c r="C947" t="s">
        <v>27</v>
      </c>
      <c r="D947" t="s">
        <v>2</v>
      </c>
      <c r="E947" t="s">
        <v>15</v>
      </c>
      <c r="F947" t="s">
        <v>10</v>
      </c>
      <c r="G947" t="s">
        <v>115</v>
      </c>
      <c r="H947">
        <v>2024</v>
      </c>
      <c r="I947">
        <v>1863</v>
      </c>
      <c r="J947">
        <v>27</v>
      </c>
      <c r="K947" t="s">
        <v>22</v>
      </c>
      <c r="L947">
        <v>9.4</v>
      </c>
      <c r="M947">
        <v>10</v>
      </c>
      <c r="N947">
        <v>9725</v>
      </c>
      <c r="O947" t="s">
        <v>55</v>
      </c>
      <c r="P947">
        <v>42.1</v>
      </c>
      <c r="Q947" t="s">
        <v>76</v>
      </c>
      <c r="R947">
        <v>59.7</v>
      </c>
      <c r="S947">
        <v>23.6</v>
      </c>
      <c r="T947">
        <v>2.4</v>
      </c>
      <c r="U947">
        <v>7</v>
      </c>
      <c r="V947">
        <v>3.6</v>
      </c>
      <c r="W947">
        <v>3.7</v>
      </c>
      <c r="X947" t="s">
        <v>66</v>
      </c>
    </row>
    <row r="948" spans="2:24" x14ac:dyDescent="0.3">
      <c r="B948" t="s">
        <v>1041</v>
      </c>
      <c r="C948" t="s">
        <v>100</v>
      </c>
      <c r="D948" t="s">
        <v>3</v>
      </c>
      <c r="E948" t="s">
        <v>16</v>
      </c>
      <c r="F948" t="s">
        <v>11</v>
      </c>
      <c r="G948" t="s">
        <v>69</v>
      </c>
      <c r="H948">
        <v>2025</v>
      </c>
      <c r="I948">
        <v>18884</v>
      </c>
      <c r="J948">
        <v>28.8</v>
      </c>
      <c r="K948" t="s">
        <v>22</v>
      </c>
      <c r="L948">
        <v>8.5</v>
      </c>
      <c r="M948">
        <v>10</v>
      </c>
      <c r="N948">
        <v>1809</v>
      </c>
      <c r="O948" t="s">
        <v>75</v>
      </c>
      <c r="P948">
        <v>84.6</v>
      </c>
      <c r="Q948" t="s">
        <v>125</v>
      </c>
      <c r="R948">
        <v>79.099999999999994</v>
      </c>
      <c r="S948">
        <v>-22.6</v>
      </c>
      <c r="T948">
        <v>-12.6</v>
      </c>
      <c r="U948">
        <v>8.5</v>
      </c>
      <c r="V948">
        <v>6</v>
      </c>
      <c r="W948">
        <v>2.7</v>
      </c>
      <c r="X948" t="s">
        <v>66</v>
      </c>
    </row>
    <row r="949" spans="2:24" x14ac:dyDescent="0.3">
      <c r="B949" t="s">
        <v>1042</v>
      </c>
      <c r="C949" t="s">
        <v>106</v>
      </c>
      <c r="D949" t="s">
        <v>7</v>
      </c>
      <c r="E949" t="s">
        <v>17</v>
      </c>
      <c r="F949" t="s">
        <v>10</v>
      </c>
      <c r="G949" t="s">
        <v>115</v>
      </c>
      <c r="H949">
        <v>2025</v>
      </c>
      <c r="I949">
        <v>995</v>
      </c>
      <c r="J949">
        <v>5.9</v>
      </c>
      <c r="K949" t="s">
        <v>22</v>
      </c>
      <c r="L949">
        <v>4</v>
      </c>
      <c r="M949">
        <v>4.4000000000000004</v>
      </c>
      <c r="N949">
        <v>2397</v>
      </c>
      <c r="O949" t="s">
        <v>64</v>
      </c>
      <c r="P949">
        <v>59</v>
      </c>
      <c r="Q949" t="s">
        <v>84</v>
      </c>
      <c r="R949">
        <v>36.700000000000003</v>
      </c>
      <c r="S949">
        <v>38</v>
      </c>
      <c r="T949">
        <v>21.8</v>
      </c>
      <c r="U949">
        <v>6</v>
      </c>
      <c r="V949">
        <v>9.6</v>
      </c>
      <c r="W949">
        <v>7.5</v>
      </c>
      <c r="X949" t="s">
        <v>116</v>
      </c>
    </row>
    <row r="950" spans="2:24" x14ac:dyDescent="0.3">
      <c r="B950" t="s">
        <v>1043</v>
      </c>
      <c r="C950" t="s">
        <v>71</v>
      </c>
      <c r="D950" t="s">
        <v>5</v>
      </c>
      <c r="E950" t="s">
        <v>16</v>
      </c>
      <c r="F950" t="s">
        <v>11</v>
      </c>
      <c r="G950" t="s">
        <v>115</v>
      </c>
      <c r="H950">
        <v>2024</v>
      </c>
      <c r="I950">
        <v>2229</v>
      </c>
      <c r="J950">
        <v>2.5</v>
      </c>
      <c r="K950" t="s">
        <v>25</v>
      </c>
      <c r="L950">
        <v>7.7</v>
      </c>
      <c r="M950">
        <v>10</v>
      </c>
      <c r="N950">
        <v>2583</v>
      </c>
      <c r="O950" t="s">
        <v>55</v>
      </c>
      <c r="P950">
        <v>35.9</v>
      </c>
      <c r="Q950" t="s">
        <v>84</v>
      </c>
      <c r="R950">
        <v>5.9</v>
      </c>
      <c r="S950">
        <v>39.9</v>
      </c>
      <c r="T950">
        <v>13.2</v>
      </c>
      <c r="U950">
        <v>7.1</v>
      </c>
      <c r="V950">
        <v>9.1</v>
      </c>
      <c r="W950">
        <v>6.3</v>
      </c>
      <c r="X950" t="s">
        <v>57</v>
      </c>
    </row>
    <row r="951" spans="2:24" x14ac:dyDescent="0.3">
      <c r="B951" t="s">
        <v>1044</v>
      </c>
      <c r="C951" t="s">
        <v>68</v>
      </c>
      <c r="D951" t="s">
        <v>8</v>
      </c>
      <c r="E951" t="s">
        <v>15</v>
      </c>
      <c r="F951" t="s">
        <v>9</v>
      </c>
      <c r="G951" t="s">
        <v>112</v>
      </c>
      <c r="H951">
        <v>2024</v>
      </c>
      <c r="I951">
        <v>2453</v>
      </c>
      <c r="J951">
        <v>14.5</v>
      </c>
      <c r="K951" t="s">
        <v>22</v>
      </c>
      <c r="L951">
        <v>8.6</v>
      </c>
      <c r="M951">
        <v>10</v>
      </c>
      <c r="N951">
        <v>836</v>
      </c>
      <c r="O951" t="s">
        <v>64</v>
      </c>
      <c r="P951">
        <v>85.4</v>
      </c>
      <c r="Q951" t="s">
        <v>79</v>
      </c>
      <c r="R951">
        <v>-23.5</v>
      </c>
      <c r="S951">
        <v>22</v>
      </c>
      <c r="T951">
        <v>-1.1000000000000001</v>
      </c>
      <c r="U951">
        <v>7.1</v>
      </c>
      <c r="V951">
        <v>7.9</v>
      </c>
      <c r="W951">
        <v>6</v>
      </c>
      <c r="X951" t="s">
        <v>66</v>
      </c>
    </row>
    <row r="952" spans="2:24" x14ac:dyDescent="0.3">
      <c r="B952" t="s">
        <v>1045</v>
      </c>
      <c r="C952" t="s">
        <v>159</v>
      </c>
      <c r="D952" t="s">
        <v>2</v>
      </c>
      <c r="E952" t="s">
        <v>19</v>
      </c>
      <c r="F952" t="s">
        <v>9</v>
      </c>
      <c r="G952" t="s">
        <v>104</v>
      </c>
      <c r="H952">
        <v>2025</v>
      </c>
      <c r="I952">
        <v>2099</v>
      </c>
      <c r="J952">
        <v>5.2</v>
      </c>
      <c r="K952" t="s">
        <v>21</v>
      </c>
      <c r="L952">
        <v>10</v>
      </c>
      <c r="M952">
        <v>7.2</v>
      </c>
      <c r="N952">
        <v>8741</v>
      </c>
      <c r="O952" t="s">
        <v>118</v>
      </c>
      <c r="P952">
        <v>70.3</v>
      </c>
      <c r="Q952" t="s">
        <v>56</v>
      </c>
      <c r="R952">
        <v>-41.9</v>
      </c>
      <c r="S952">
        <v>16.100000000000001</v>
      </c>
      <c r="T952">
        <v>15.7</v>
      </c>
      <c r="U952">
        <v>6.3</v>
      </c>
      <c r="V952">
        <v>6.8</v>
      </c>
      <c r="W952">
        <v>7.5</v>
      </c>
      <c r="X952" t="s">
        <v>57</v>
      </c>
    </row>
    <row r="953" spans="2:24" x14ac:dyDescent="0.3">
      <c r="B953" t="s">
        <v>1046</v>
      </c>
      <c r="C953" t="s">
        <v>106</v>
      </c>
      <c r="D953" t="s">
        <v>2</v>
      </c>
      <c r="E953" t="s">
        <v>15</v>
      </c>
      <c r="F953" t="s">
        <v>10</v>
      </c>
      <c r="G953" t="s">
        <v>98</v>
      </c>
      <c r="H953">
        <v>2024</v>
      </c>
      <c r="I953">
        <v>10421</v>
      </c>
      <c r="J953">
        <v>8.5</v>
      </c>
      <c r="K953" t="s">
        <v>21</v>
      </c>
      <c r="L953">
        <v>1.7</v>
      </c>
      <c r="M953">
        <v>4</v>
      </c>
      <c r="N953">
        <v>7343</v>
      </c>
      <c r="O953" t="s">
        <v>55</v>
      </c>
      <c r="P953">
        <v>43.7</v>
      </c>
      <c r="Q953" t="s">
        <v>56</v>
      </c>
      <c r="R953">
        <v>40.200000000000003</v>
      </c>
      <c r="S953">
        <v>56.2</v>
      </c>
      <c r="T953">
        <v>27.4</v>
      </c>
      <c r="U953">
        <v>2.6</v>
      </c>
      <c r="V953">
        <v>6.9</v>
      </c>
      <c r="W953">
        <v>8.9</v>
      </c>
      <c r="X953" t="s">
        <v>66</v>
      </c>
    </row>
    <row r="954" spans="2:24" x14ac:dyDescent="0.3">
      <c r="B954" t="s">
        <v>1047</v>
      </c>
      <c r="C954" t="s">
        <v>97</v>
      </c>
      <c r="D954" t="s">
        <v>3</v>
      </c>
      <c r="E954" t="s">
        <v>16</v>
      </c>
      <c r="F954" t="s">
        <v>11</v>
      </c>
      <c r="G954" t="s">
        <v>63</v>
      </c>
      <c r="H954">
        <v>2024</v>
      </c>
      <c r="I954">
        <v>1743</v>
      </c>
      <c r="J954">
        <v>13</v>
      </c>
      <c r="K954" t="s">
        <v>25</v>
      </c>
      <c r="L954">
        <v>7.4</v>
      </c>
      <c r="M954">
        <v>10</v>
      </c>
      <c r="N954">
        <v>3910</v>
      </c>
      <c r="O954" t="s">
        <v>64</v>
      </c>
      <c r="P954">
        <v>87.3</v>
      </c>
      <c r="Q954" t="s">
        <v>76</v>
      </c>
      <c r="R954">
        <v>27.8</v>
      </c>
      <c r="S954">
        <v>-23.5</v>
      </c>
      <c r="T954">
        <v>-1.1000000000000001</v>
      </c>
      <c r="U954">
        <v>5.7</v>
      </c>
      <c r="V954">
        <v>4</v>
      </c>
      <c r="W954">
        <v>4.8</v>
      </c>
      <c r="X954" t="s">
        <v>116</v>
      </c>
    </row>
    <row r="955" spans="2:24" x14ac:dyDescent="0.3">
      <c r="B955" t="s">
        <v>1048</v>
      </c>
      <c r="C955" t="s">
        <v>53</v>
      </c>
      <c r="D955" t="s">
        <v>7</v>
      </c>
      <c r="E955" t="s">
        <v>16</v>
      </c>
      <c r="F955" t="s">
        <v>12</v>
      </c>
      <c r="G955" t="s">
        <v>63</v>
      </c>
      <c r="H955">
        <v>2024</v>
      </c>
      <c r="I955">
        <v>2289</v>
      </c>
      <c r="J955">
        <v>2.5</v>
      </c>
      <c r="K955" t="s">
        <v>22</v>
      </c>
      <c r="L955">
        <v>7</v>
      </c>
      <c r="M955">
        <v>4.9000000000000004</v>
      </c>
      <c r="N955">
        <v>5161</v>
      </c>
      <c r="O955" t="s">
        <v>55</v>
      </c>
      <c r="P955">
        <v>54.3</v>
      </c>
      <c r="Q955" t="s">
        <v>84</v>
      </c>
      <c r="R955">
        <v>75</v>
      </c>
      <c r="S955">
        <v>51.1</v>
      </c>
      <c r="T955">
        <v>23</v>
      </c>
      <c r="U955">
        <v>7.1</v>
      </c>
      <c r="V955">
        <v>6.4</v>
      </c>
      <c r="W955">
        <v>9</v>
      </c>
      <c r="X955" t="s">
        <v>57</v>
      </c>
    </row>
    <row r="956" spans="2:24" x14ac:dyDescent="0.3">
      <c r="B956" t="s">
        <v>1049</v>
      </c>
      <c r="C956" t="s">
        <v>159</v>
      </c>
      <c r="D956" t="s">
        <v>7</v>
      </c>
      <c r="E956" t="s">
        <v>17</v>
      </c>
      <c r="F956" t="s">
        <v>11</v>
      </c>
      <c r="G956" t="s">
        <v>78</v>
      </c>
      <c r="H956">
        <v>2026</v>
      </c>
      <c r="I956">
        <v>2872</v>
      </c>
      <c r="J956">
        <v>9</v>
      </c>
      <c r="K956" t="s">
        <v>22</v>
      </c>
      <c r="L956">
        <v>6</v>
      </c>
      <c r="M956">
        <v>7.5</v>
      </c>
      <c r="N956">
        <v>2319</v>
      </c>
      <c r="O956" t="s">
        <v>55</v>
      </c>
      <c r="P956">
        <v>82.3</v>
      </c>
      <c r="Q956" t="s">
        <v>86</v>
      </c>
      <c r="R956">
        <v>-43</v>
      </c>
      <c r="S956">
        <v>27.5</v>
      </c>
      <c r="T956">
        <v>13.5</v>
      </c>
      <c r="U956">
        <v>5.8</v>
      </c>
      <c r="V956">
        <v>5.4</v>
      </c>
      <c r="W956">
        <v>6.3</v>
      </c>
      <c r="X956" t="s">
        <v>116</v>
      </c>
    </row>
    <row r="957" spans="2:24" x14ac:dyDescent="0.3">
      <c r="B957" t="s">
        <v>1050</v>
      </c>
      <c r="C957" t="s">
        <v>159</v>
      </c>
      <c r="D957" t="s">
        <v>7</v>
      </c>
      <c r="E957" t="s">
        <v>19</v>
      </c>
      <c r="F957" t="s">
        <v>11</v>
      </c>
      <c r="G957" t="s">
        <v>98</v>
      </c>
      <c r="H957">
        <v>2025</v>
      </c>
      <c r="I957">
        <v>5816</v>
      </c>
      <c r="J957">
        <v>14.7</v>
      </c>
      <c r="K957" t="s">
        <v>24</v>
      </c>
      <c r="L957">
        <v>4.4000000000000004</v>
      </c>
      <c r="M957">
        <v>8</v>
      </c>
      <c r="N957">
        <v>5556</v>
      </c>
      <c r="O957" t="s">
        <v>64</v>
      </c>
      <c r="P957">
        <v>65</v>
      </c>
      <c r="Q957" t="s">
        <v>56</v>
      </c>
      <c r="R957">
        <v>26.5</v>
      </c>
      <c r="S957">
        <v>56.7</v>
      </c>
      <c r="T957">
        <v>25.3</v>
      </c>
      <c r="U957">
        <v>4</v>
      </c>
      <c r="V957">
        <v>6.4</v>
      </c>
      <c r="W957">
        <v>6.2</v>
      </c>
      <c r="X957" t="s">
        <v>116</v>
      </c>
    </row>
    <row r="958" spans="2:24" x14ac:dyDescent="0.3">
      <c r="B958" t="s">
        <v>1051</v>
      </c>
      <c r="C958" t="s">
        <v>68</v>
      </c>
      <c r="D958" t="s">
        <v>8</v>
      </c>
      <c r="E958" t="s">
        <v>17</v>
      </c>
      <c r="F958" t="s">
        <v>10</v>
      </c>
      <c r="G958" t="s">
        <v>78</v>
      </c>
      <c r="H958">
        <v>2024</v>
      </c>
      <c r="I958">
        <v>1824</v>
      </c>
      <c r="J958">
        <v>12.3</v>
      </c>
      <c r="K958" t="s">
        <v>24</v>
      </c>
      <c r="L958">
        <v>4.4000000000000004</v>
      </c>
      <c r="M958">
        <v>8.1999999999999993</v>
      </c>
      <c r="N958">
        <v>3840</v>
      </c>
      <c r="O958" t="s">
        <v>55</v>
      </c>
      <c r="P958">
        <v>41.5</v>
      </c>
      <c r="Q958" t="s">
        <v>125</v>
      </c>
      <c r="R958">
        <v>83.2</v>
      </c>
      <c r="S958">
        <v>49.6</v>
      </c>
      <c r="T958">
        <v>10.9</v>
      </c>
      <c r="U958">
        <v>4.8</v>
      </c>
      <c r="V958">
        <v>8.1</v>
      </c>
      <c r="W958">
        <v>5.6</v>
      </c>
      <c r="X958" t="s">
        <v>116</v>
      </c>
    </row>
    <row r="959" spans="2:24" x14ac:dyDescent="0.3">
      <c r="B959" t="s">
        <v>1052</v>
      </c>
      <c r="C959" t="s">
        <v>62</v>
      </c>
      <c r="D959" t="s">
        <v>2</v>
      </c>
      <c r="E959" t="s">
        <v>17</v>
      </c>
      <c r="F959" t="s">
        <v>10</v>
      </c>
      <c r="G959" t="s">
        <v>63</v>
      </c>
      <c r="H959">
        <v>2026</v>
      </c>
      <c r="I959">
        <v>1329</v>
      </c>
      <c r="J959">
        <v>8.4</v>
      </c>
      <c r="K959" t="s">
        <v>22</v>
      </c>
      <c r="L959">
        <v>5.0999999999999996</v>
      </c>
      <c r="M959">
        <v>10</v>
      </c>
      <c r="N959">
        <v>8024</v>
      </c>
      <c r="O959" t="s">
        <v>118</v>
      </c>
      <c r="P959">
        <v>82.8</v>
      </c>
      <c r="Q959" t="s">
        <v>56</v>
      </c>
      <c r="R959">
        <v>80.5</v>
      </c>
      <c r="S959">
        <v>25.8</v>
      </c>
      <c r="T959">
        <v>12.2</v>
      </c>
      <c r="U959">
        <v>8.1</v>
      </c>
      <c r="V959">
        <v>6.2</v>
      </c>
      <c r="W959">
        <v>5.3</v>
      </c>
      <c r="X959" t="s">
        <v>57</v>
      </c>
    </row>
    <row r="960" spans="2:24" x14ac:dyDescent="0.3">
      <c r="B960" t="s">
        <v>1053</v>
      </c>
      <c r="C960" t="s">
        <v>159</v>
      </c>
      <c r="D960" t="s">
        <v>2</v>
      </c>
      <c r="E960" t="s">
        <v>16</v>
      </c>
      <c r="F960" t="s">
        <v>12</v>
      </c>
      <c r="G960" t="s">
        <v>74</v>
      </c>
      <c r="H960">
        <v>2025</v>
      </c>
      <c r="I960">
        <v>6909</v>
      </c>
      <c r="J960">
        <v>38.6</v>
      </c>
      <c r="K960" t="s">
        <v>23</v>
      </c>
      <c r="L960">
        <v>5.4</v>
      </c>
      <c r="M960">
        <v>10</v>
      </c>
      <c r="N960">
        <v>2862</v>
      </c>
      <c r="O960" t="s">
        <v>75</v>
      </c>
      <c r="P960">
        <v>80.7</v>
      </c>
      <c r="Q960" t="s">
        <v>76</v>
      </c>
      <c r="R960">
        <v>-14.7</v>
      </c>
      <c r="S960">
        <v>29.7</v>
      </c>
      <c r="T960">
        <v>6.5</v>
      </c>
      <c r="U960">
        <v>4.2</v>
      </c>
      <c r="V960">
        <v>2.8</v>
      </c>
      <c r="W960">
        <v>2.9</v>
      </c>
      <c r="X960" t="s">
        <v>66</v>
      </c>
    </row>
    <row r="961" spans="2:24" x14ac:dyDescent="0.3">
      <c r="B961" t="s">
        <v>1054</v>
      </c>
      <c r="C961" t="s">
        <v>122</v>
      </c>
      <c r="D961" t="s">
        <v>2</v>
      </c>
      <c r="E961" t="s">
        <v>17</v>
      </c>
      <c r="F961" t="s">
        <v>12</v>
      </c>
      <c r="G961" t="s">
        <v>74</v>
      </c>
      <c r="H961">
        <v>2024</v>
      </c>
      <c r="I961">
        <v>3356</v>
      </c>
      <c r="J961">
        <v>10.3</v>
      </c>
      <c r="K961" t="s">
        <v>22</v>
      </c>
      <c r="L961">
        <v>4.2</v>
      </c>
      <c r="M961">
        <v>7.4</v>
      </c>
      <c r="N961">
        <v>3614</v>
      </c>
      <c r="O961" t="s">
        <v>64</v>
      </c>
      <c r="P961">
        <v>23.8</v>
      </c>
      <c r="Q961" t="s">
        <v>76</v>
      </c>
      <c r="R961">
        <v>26.4</v>
      </c>
      <c r="S961">
        <v>-9.9</v>
      </c>
      <c r="T961">
        <v>-13.4</v>
      </c>
      <c r="U961">
        <v>5.4</v>
      </c>
      <c r="V961">
        <v>4</v>
      </c>
      <c r="W961">
        <v>4.5</v>
      </c>
      <c r="X961" t="s">
        <v>116</v>
      </c>
    </row>
    <row r="962" spans="2:24" x14ac:dyDescent="0.3">
      <c r="B962" t="s">
        <v>1055</v>
      </c>
      <c r="C962" t="s">
        <v>106</v>
      </c>
      <c r="D962" t="s">
        <v>3</v>
      </c>
      <c r="E962" t="s">
        <v>18</v>
      </c>
      <c r="F962" t="s">
        <v>11</v>
      </c>
      <c r="G962" t="s">
        <v>78</v>
      </c>
      <c r="H962">
        <v>2026</v>
      </c>
      <c r="I962">
        <v>6870</v>
      </c>
      <c r="J962">
        <v>9.9</v>
      </c>
      <c r="K962" t="s">
        <v>23</v>
      </c>
      <c r="L962">
        <v>3.4</v>
      </c>
      <c r="M962">
        <v>7.1</v>
      </c>
      <c r="N962">
        <v>5678</v>
      </c>
      <c r="O962" t="s">
        <v>55</v>
      </c>
      <c r="P962">
        <v>47</v>
      </c>
      <c r="Q962" t="s">
        <v>76</v>
      </c>
      <c r="R962">
        <v>31.8</v>
      </c>
      <c r="S962">
        <v>34.200000000000003</v>
      </c>
      <c r="T962">
        <v>5.2</v>
      </c>
      <c r="U962">
        <v>5.4</v>
      </c>
      <c r="V962">
        <v>8.6999999999999993</v>
      </c>
      <c r="W962">
        <v>6.7</v>
      </c>
      <c r="X962" t="s">
        <v>116</v>
      </c>
    </row>
    <row r="963" spans="2:24" x14ac:dyDescent="0.3">
      <c r="B963" t="s">
        <v>1056</v>
      </c>
      <c r="C963" t="s">
        <v>142</v>
      </c>
      <c r="D963" t="s">
        <v>2</v>
      </c>
      <c r="E963" t="s">
        <v>14</v>
      </c>
      <c r="F963" t="s">
        <v>12</v>
      </c>
      <c r="G963" t="s">
        <v>131</v>
      </c>
      <c r="H963">
        <v>2026</v>
      </c>
      <c r="I963">
        <v>18055</v>
      </c>
      <c r="J963">
        <v>26.9</v>
      </c>
      <c r="K963" t="s">
        <v>21</v>
      </c>
      <c r="L963">
        <v>6.6</v>
      </c>
      <c r="M963">
        <v>10</v>
      </c>
      <c r="N963">
        <v>5557</v>
      </c>
      <c r="O963" t="s">
        <v>55</v>
      </c>
      <c r="P963">
        <v>15.4</v>
      </c>
      <c r="Q963" t="s">
        <v>76</v>
      </c>
      <c r="R963">
        <v>42.7</v>
      </c>
      <c r="S963">
        <v>-4.3</v>
      </c>
      <c r="T963">
        <v>-5.3</v>
      </c>
      <c r="U963">
        <v>9.3000000000000007</v>
      </c>
      <c r="V963">
        <v>4.5999999999999996</v>
      </c>
      <c r="W963">
        <v>3.2</v>
      </c>
      <c r="X963" t="s">
        <v>66</v>
      </c>
    </row>
    <row r="964" spans="2:24" x14ac:dyDescent="0.3">
      <c r="B964" t="s">
        <v>1057</v>
      </c>
      <c r="C964" t="s">
        <v>71</v>
      </c>
      <c r="D964" t="s">
        <v>5</v>
      </c>
      <c r="E964" t="s">
        <v>14</v>
      </c>
      <c r="F964" t="s">
        <v>11</v>
      </c>
      <c r="G964" t="s">
        <v>115</v>
      </c>
      <c r="H964">
        <v>2024</v>
      </c>
      <c r="I964">
        <v>12902</v>
      </c>
      <c r="J964">
        <v>12.3</v>
      </c>
      <c r="K964" t="s">
        <v>23</v>
      </c>
      <c r="L964">
        <v>2.7</v>
      </c>
      <c r="M964">
        <v>4.3</v>
      </c>
      <c r="N964">
        <v>1879</v>
      </c>
      <c r="O964" t="s">
        <v>64</v>
      </c>
      <c r="P964">
        <v>82.1</v>
      </c>
      <c r="Q964" t="s">
        <v>65</v>
      </c>
      <c r="R964">
        <v>44.2</v>
      </c>
      <c r="S964">
        <v>0.8</v>
      </c>
      <c r="T964">
        <v>0.5</v>
      </c>
      <c r="U964">
        <v>2.7</v>
      </c>
      <c r="V964">
        <v>6.4</v>
      </c>
      <c r="W964">
        <v>5.7</v>
      </c>
      <c r="X964" t="s">
        <v>66</v>
      </c>
    </row>
    <row r="965" spans="2:24" x14ac:dyDescent="0.3">
      <c r="B965" t="s">
        <v>1058</v>
      </c>
      <c r="C965" t="s">
        <v>92</v>
      </c>
      <c r="D965" t="s">
        <v>7</v>
      </c>
      <c r="E965" t="s">
        <v>18</v>
      </c>
      <c r="F965" t="s">
        <v>11</v>
      </c>
      <c r="G965" t="s">
        <v>54</v>
      </c>
      <c r="H965">
        <v>2024</v>
      </c>
      <c r="I965">
        <v>1083</v>
      </c>
      <c r="J965">
        <v>3.8</v>
      </c>
      <c r="K965" t="s">
        <v>21</v>
      </c>
      <c r="L965">
        <v>11.1</v>
      </c>
      <c r="M965">
        <v>6.3</v>
      </c>
      <c r="N965">
        <v>1699</v>
      </c>
      <c r="O965" t="s">
        <v>55</v>
      </c>
      <c r="P965">
        <v>22.4</v>
      </c>
      <c r="Q965" t="s">
        <v>88</v>
      </c>
      <c r="R965">
        <v>73.7</v>
      </c>
      <c r="S965">
        <v>-17</v>
      </c>
      <c r="T965">
        <v>5.2</v>
      </c>
      <c r="U965">
        <v>7.8</v>
      </c>
      <c r="V965">
        <v>5</v>
      </c>
      <c r="W965">
        <v>6.7</v>
      </c>
      <c r="X965" t="s">
        <v>116</v>
      </c>
    </row>
    <row r="966" spans="2:24" x14ac:dyDescent="0.3">
      <c r="B966" t="s">
        <v>1059</v>
      </c>
      <c r="C966" t="s">
        <v>137</v>
      </c>
      <c r="D966" t="s">
        <v>4</v>
      </c>
      <c r="E966" t="s">
        <v>17</v>
      </c>
      <c r="F966" t="s">
        <v>12</v>
      </c>
      <c r="G966" t="s">
        <v>69</v>
      </c>
      <c r="H966">
        <v>2025</v>
      </c>
      <c r="I966">
        <v>4257</v>
      </c>
      <c r="J966">
        <v>32.700000000000003</v>
      </c>
      <c r="K966" t="s">
        <v>22</v>
      </c>
      <c r="L966">
        <v>7.3</v>
      </c>
      <c r="M966">
        <v>10</v>
      </c>
      <c r="N966">
        <v>117</v>
      </c>
      <c r="O966" t="s">
        <v>75</v>
      </c>
      <c r="P966">
        <v>25</v>
      </c>
      <c r="Q966" t="s">
        <v>86</v>
      </c>
      <c r="R966">
        <v>60</v>
      </c>
      <c r="S966">
        <v>14.2</v>
      </c>
      <c r="T966">
        <v>7.1</v>
      </c>
      <c r="U966">
        <v>8.8000000000000007</v>
      </c>
      <c r="V966">
        <v>5.0999999999999996</v>
      </c>
      <c r="W966">
        <v>3.3</v>
      </c>
      <c r="X966" t="s">
        <v>66</v>
      </c>
    </row>
    <row r="967" spans="2:24" x14ac:dyDescent="0.3">
      <c r="B967" t="s">
        <v>1060</v>
      </c>
      <c r="C967" t="s">
        <v>106</v>
      </c>
      <c r="D967" t="s">
        <v>3</v>
      </c>
      <c r="E967" t="s">
        <v>14</v>
      </c>
      <c r="F967" t="s">
        <v>11</v>
      </c>
      <c r="G967" t="s">
        <v>131</v>
      </c>
      <c r="H967">
        <v>2024</v>
      </c>
      <c r="I967">
        <v>1290</v>
      </c>
      <c r="J967">
        <v>6.4</v>
      </c>
      <c r="K967" t="s">
        <v>22</v>
      </c>
      <c r="L967">
        <v>6.4</v>
      </c>
      <c r="M967">
        <v>9.3000000000000007</v>
      </c>
      <c r="N967">
        <v>5473</v>
      </c>
      <c r="O967" t="s">
        <v>55</v>
      </c>
      <c r="P967">
        <v>28.7</v>
      </c>
      <c r="Q967" t="s">
        <v>125</v>
      </c>
      <c r="R967">
        <v>70.8</v>
      </c>
      <c r="S967">
        <v>-16.7</v>
      </c>
      <c r="T967">
        <v>-15</v>
      </c>
      <c r="U967">
        <v>7.1</v>
      </c>
      <c r="V967">
        <v>6.7</v>
      </c>
      <c r="W967">
        <v>5.2</v>
      </c>
      <c r="X967" t="s">
        <v>57</v>
      </c>
    </row>
    <row r="968" spans="2:24" x14ac:dyDescent="0.3">
      <c r="B968" t="s">
        <v>1061</v>
      </c>
      <c r="C968" t="s">
        <v>27</v>
      </c>
      <c r="D968" t="s">
        <v>3</v>
      </c>
      <c r="E968" t="s">
        <v>17</v>
      </c>
      <c r="F968" t="s">
        <v>12</v>
      </c>
      <c r="G968" t="s">
        <v>69</v>
      </c>
      <c r="H968">
        <v>2025</v>
      </c>
      <c r="I968">
        <v>75</v>
      </c>
      <c r="J968">
        <v>5.4</v>
      </c>
      <c r="K968" t="s">
        <v>24</v>
      </c>
      <c r="L968">
        <v>2.9</v>
      </c>
      <c r="M968">
        <v>6.7</v>
      </c>
      <c r="N968">
        <v>3448</v>
      </c>
      <c r="O968" t="s">
        <v>55</v>
      </c>
      <c r="P968">
        <v>32.1</v>
      </c>
      <c r="Q968" t="s">
        <v>65</v>
      </c>
      <c r="R968">
        <v>-29.3</v>
      </c>
      <c r="S968">
        <v>20.7</v>
      </c>
      <c r="T968">
        <v>9.9</v>
      </c>
      <c r="U968">
        <v>3.4</v>
      </c>
      <c r="V968">
        <v>5.9</v>
      </c>
      <c r="W968">
        <v>6.4</v>
      </c>
      <c r="X968" t="s">
        <v>57</v>
      </c>
    </row>
    <row r="969" spans="2:24" x14ac:dyDescent="0.3">
      <c r="B969" t="s">
        <v>1062</v>
      </c>
      <c r="C969" t="s">
        <v>27</v>
      </c>
      <c r="D969" t="s">
        <v>2</v>
      </c>
      <c r="E969" t="s">
        <v>19</v>
      </c>
      <c r="F969" t="s">
        <v>11</v>
      </c>
      <c r="G969" t="s">
        <v>63</v>
      </c>
      <c r="H969">
        <v>2024</v>
      </c>
      <c r="I969">
        <v>7307</v>
      </c>
      <c r="J969">
        <v>27.4</v>
      </c>
      <c r="K969" t="s">
        <v>22</v>
      </c>
      <c r="L969">
        <v>10</v>
      </c>
      <c r="M969">
        <v>10</v>
      </c>
      <c r="N969">
        <v>7978</v>
      </c>
      <c r="O969" t="s">
        <v>64</v>
      </c>
      <c r="P969">
        <v>34.799999999999997</v>
      </c>
      <c r="Q969" t="s">
        <v>56</v>
      </c>
      <c r="R969">
        <v>42.5</v>
      </c>
      <c r="S969">
        <v>32.6</v>
      </c>
      <c r="T969">
        <v>12.9</v>
      </c>
      <c r="U969">
        <v>7.9</v>
      </c>
      <c r="V969">
        <v>3.9</v>
      </c>
      <c r="W969">
        <v>4.3</v>
      </c>
      <c r="X969" t="s">
        <v>66</v>
      </c>
    </row>
    <row r="970" spans="2:24" x14ac:dyDescent="0.3">
      <c r="B970" t="s">
        <v>1063</v>
      </c>
      <c r="C970" t="s">
        <v>159</v>
      </c>
      <c r="D970" t="s">
        <v>2</v>
      </c>
      <c r="E970" t="s">
        <v>18</v>
      </c>
      <c r="F970" t="s">
        <v>12</v>
      </c>
      <c r="G970" t="s">
        <v>131</v>
      </c>
      <c r="H970">
        <v>2024</v>
      </c>
      <c r="I970">
        <v>6403</v>
      </c>
      <c r="J970">
        <v>6.8</v>
      </c>
      <c r="K970" t="s">
        <v>22</v>
      </c>
      <c r="L970">
        <v>3.3</v>
      </c>
      <c r="M970">
        <v>2.9</v>
      </c>
      <c r="N970">
        <v>6640</v>
      </c>
      <c r="O970" t="s">
        <v>55</v>
      </c>
      <c r="P970">
        <v>43</v>
      </c>
      <c r="Q970" t="s">
        <v>76</v>
      </c>
      <c r="R970">
        <v>70.099999999999994</v>
      </c>
      <c r="S970">
        <v>52.2</v>
      </c>
      <c r="T970">
        <v>10.8</v>
      </c>
      <c r="U970">
        <v>2</v>
      </c>
      <c r="V970">
        <v>8.1999999999999993</v>
      </c>
      <c r="W970">
        <v>7.4</v>
      </c>
      <c r="X970" t="s">
        <v>116</v>
      </c>
    </row>
    <row r="971" spans="2:24" x14ac:dyDescent="0.3">
      <c r="B971" t="s">
        <v>1064</v>
      </c>
      <c r="C971" t="s">
        <v>94</v>
      </c>
      <c r="D971" t="s">
        <v>6</v>
      </c>
      <c r="E971" t="s">
        <v>16</v>
      </c>
      <c r="F971" t="s">
        <v>11</v>
      </c>
      <c r="G971" t="s">
        <v>131</v>
      </c>
      <c r="H971">
        <v>2025</v>
      </c>
      <c r="I971">
        <v>3346</v>
      </c>
      <c r="J971">
        <v>16.3</v>
      </c>
      <c r="K971" t="s">
        <v>21</v>
      </c>
      <c r="L971">
        <v>7.3</v>
      </c>
      <c r="M971">
        <v>10</v>
      </c>
      <c r="N971">
        <v>669</v>
      </c>
      <c r="O971" t="s">
        <v>64</v>
      </c>
      <c r="P971">
        <v>71.3</v>
      </c>
      <c r="Q971" t="s">
        <v>65</v>
      </c>
      <c r="R971">
        <v>-31.9</v>
      </c>
      <c r="S971">
        <v>31.7</v>
      </c>
      <c r="T971">
        <v>5.3</v>
      </c>
      <c r="U971">
        <v>9.1</v>
      </c>
      <c r="V971">
        <v>5.6</v>
      </c>
      <c r="W971">
        <v>5.7</v>
      </c>
      <c r="X971" t="s">
        <v>116</v>
      </c>
    </row>
    <row r="972" spans="2:24" x14ac:dyDescent="0.3">
      <c r="B972" t="s">
        <v>1065</v>
      </c>
      <c r="C972" t="s">
        <v>71</v>
      </c>
      <c r="D972" t="s">
        <v>6</v>
      </c>
      <c r="E972" t="s">
        <v>14</v>
      </c>
      <c r="F972" t="s">
        <v>10</v>
      </c>
      <c r="G972" t="s">
        <v>63</v>
      </c>
      <c r="H972">
        <v>2026</v>
      </c>
      <c r="I972">
        <v>4266</v>
      </c>
      <c r="J972">
        <v>2.9</v>
      </c>
      <c r="K972" t="s">
        <v>21</v>
      </c>
      <c r="L972">
        <v>9.3000000000000007</v>
      </c>
      <c r="M972">
        <v>10</v>
      </c>
      <c r="N972">
        <v>977</v>
      </c>
      <c r="O972" t="s">
        <v>55</v>
      </c>
      <c r="P972">
        <v>56.7</v>
      </c>
      <c r="Q972" t="s">
        <v>88</v>
      </c>
      <c r="R972">
        <v>-39</v>
      </c>
      <c r="S972">
        <v>5.8</v>
      </c>
      <c r="T972">
        <v>-4.4000000000000004</v>
      </c>
      <c r="U972">
        <v>8.1999999999999993</v>
      </c>
      <c r="V972">
        <v>6.2</v>
      </c>
      <c r="W972">
        <v>6.8</v>
      </c>
      <c r="X972" t="s">
        <v>116</v>
      </c>
    </row>
    <row r="973" spans="2:24" x14ac:dyDescent="0.3">
      <c r="B973" t="s">
        <v>1066</v>
      </c>
      <c r="C973" t="s">
        <v>90</v>
      </c>
      <c r="D973" t="s">
        <v>2</v>
      </c>
      <c r="E973" t="s">
        <v>15</v>
      </c>
      <c r="F973" t="s">
        <v>11</v>
      </c>
      <c r="G973" t="s">
        <v>54</v>
      </c>
      <c r="H973">
        <v>2026</v>
      </c>
      <c r="I973">
        <v>711</v>
      </c>
      <c r="J973">
        <v>13.3</v>
      </c>
      <c r="K973" t="s">
        <v>22</v>
      </c>
      <c r="L973">
        <v>2.4</v>
      </c>
      <c r="M973">
        <v>3.9</v>
      </c>
      <c r="N973">
        <v>9293</v>
      </c>
      <c r="O973" t="s">
        <v>55</v>
      </c>
      <c r="P973">
        <v>71.400000000000006</v>
      </c>
      <c r="Q973" t="s">
        <v>56</v>
      </c>
      <c r="R973">
        <v>-24.7</v>
      </c>
      <c r="S973">
        <v>54.9</v>
      </c>
      <c r="T973">
        <v>15</v>
      </c>
      <c r="U973">
        <v>1.5</v>
      </c>
      <c r="V973">
        <v>7.9</v>
      </c>
      <c r="W973">
        <v>6.6</v>
      </c>
      <c r="X973" t="s">
        <v>116</v>
      </c>
    </row>
    <row r="974" spans="2:24" x14ac:dyDescent="0.3">
      <c r="B974" t="s">
        <v>1067</v>
      </c>
      <c r="C974" t="s">
        <v>137</v>
      </c>
      <c r="D974" t="s">
        <v>3</v>
      </c>
      <c r="E974" t="s">
        <v>16</v>
      </c>
      <c r="F974" t="s">
        <v>12</v>
      </c>
      <c r="G974" t="s">
        <v>112</v>
      </c>
      <c r="H974">
        <v>2024</v>
      </c>
      <c r="I974">
        <v>1789</v>
      </c>
      <c r="J974">
        <v>5.2</v>
      </c>
      <c r="K974" t="s">
        <v>24</v>
      </c>
      <c r="L974">
        <v>5.6</v>
      </c>
      <c r="M974">
        <v>8</v>
      </c>
      <c r="N974">
        <v>4753</v>
      </c>
      <c r="O974" t="s">
        <v>55</v>
      </c>
      <c r="P974">
        <v>67.900000000000006</v>
      </c>
      <c r="Q974" t="s">
        <v>56</v>
      </c>
      <c r="R974">
        <v>18.3</v>
      </c>
      <c r="S974">
        <v>33.299999999999997</v>
      </c>
      <c r="T974">
        <v>23.7</v>
      </c>
      <c r="U974">
        <v>4.9000000000000004</v>
      </c>
      <c r="V974">
        <v>8.6999999999999993</v>
      </c>
      <c r="W974">
        <v>5.9</v>
      </c>
      <c r="X974" t="s">
        <v>116</v>
      </c>
    </row>
    <row r="975" spans="2:24" x14ac:dyDescent="0.3">
      <c r="B975" t="s">
        <v>1068</v>
      </c>
      <c r="C975" t="s">
        <v>94</v>
      </c>
      <c r="D975" t="s">
        <v>6</v>
      </c>
      <c r="E975" t="s">
        <v>17</v>
      </c>
      <c r="F975" t="s">
        <v>11</v>
      </c>
      <c r="G975" t="s">
        <v>74</v>
      </c>
      <c r="H975">
        <v>2026</v>
      </c>
      <c r="I975">
        <v>2954</v>
      </c>
      <c r="J975">
        <v>17.2</v>
      </c>
      <c r="K975" t="s">
        <v>25</v>
      </c>
      <c r="L975">
        <v>6.9</v>
      </c>
      <c r="M975">
        <v>10</v>
      </c>
      <c r="N975">
        <v>1675</v>
      </c>
      <c r="O975" t="s">
        <v>64</v>
      </c>
      <c r="P975">
        <v>66.7</v>
      </c>
      <c r="Q975" t="s">
        <v>88</v>
      </c>
      <c r="R975">
        <v>-31.9</v>
      </c>
      <c r="S975">
        <v>-17.2</v>
      </c>
      <c r="T975">
        <v>-5.7</v>
      </c>
      <c r="U975">
        <v>6.2</v>
      </c>
      <c r="V975">
        <v>3.7</v>
      </c>
      <c r="W975">
        <v>3.7</v>
      </c>
      <c r="X975" t="s">
        <v>66</v>
      </c>
    </row>
    <row r="976" spans="2:24" x14ac:dyDescent="0.3">
      <c r="B976" t="s">
        <v>1069</v>
      </c>
      <c r="C976" t="s">
        <v>27</v>
      </c>
      <c r="D976" t="s">
        <v>2</v>
      </c>
      <c r="E976" t="s">
        <v>16</v>
      </c>
      <c r="F976" t="s">
        <v>10</v>
      </c>
      <c r="G976" t="s">
        <v>78</v>
      </c>
      <c r="H976">
        <v>2024</v>
      </c>
      <c r="I976">
        <v>1298</v>
      </c>
      <c r="J976">
        <v>9.1999999999999993</v>
      </c>
      <c r="K976" t="s">
        <v>21</v>
      </c>
      <c r="L976">
        <v>5.4</v>
      </c>
      <c r="M976">
        <v>4.5999999999999996</v>
      </c>
      <c r="N976">
        <v>1206</v>
      </c>
      <c r="O976" t="s">
        <v>55</v>
      </c>
      <c r="P976">
        <v>60.9</v>
      </c>
      <c r="Q976" t="s">
        <v>76</v>
      </c>
      <c r="R976">
        <v>64.900000000000006</v>
      </c>
      <c r="S976">
        <v>48.5</v>
      </c>
      <c r="T976">
        <v>20.100000000000001</v>
      </c>
      <c r="U976">
        <v>5.9</v>
      </c>
      <c r="V976">
        <v>9</v>
      </c>
      <c r="W976">
        <v>7.5</v>
      </c>
      <c r="X976" t="s">
        <v>57</v>
      </c>
    </row>
    <row r="977" spans="2:24" x14ac:dyDescent="0.3">
      <c r="B977" t="s">
        <v>1070</v>
      </c>
      <c r="C977" t="s">
        <v>159</v>
      </c>
      <c r="D977" t="s">
        <v>7</v>
      </c>
      <c r="E977" t="s">
        <v>18</v>
      </c>
      <c r="F977" t="s">
        <v>10</v>
      </c>
      <c r="G977" t="s">
        <v>112</v>
      </c>
      <c r="H977">
        <v>2026</v>
      </c>
      <c r="I977">
        <v>5388</v>
      </c>
      <c r="J977">
        <v>11.2</v>
      </c>
      <c r="K977" t="s">
        <v>23</v>
      </c>
      <c r="L977">
        <v>2.1</v>
      </c>
      <c r="M977">
        <v>2.8</v>
      </c>
      <c r="N977">
        <v>479</v>
      </c>
      <c r="O977" t="s">
        <v>64</v>
      </c>
      <c r="P977">
        <v>11.9</v>
      </c>
      <c r="Q977" t="s">
        <v>125</v>
      </c>
      <c r="R977">
        <v>89.7</v>
      </c>
      <c r="S977">
        <v>56.2</v>
      </c>
      <c r="T977">
        <v>17</v>
      </c>
      <c r="U977">
        <v>1.4</v>
      </c>
      <c r="V977">
        <v>7.9</v>
      </c>
      <c r="W977">
        <v>7.5</v>
      </c>
      <c r="X977" t="s">
        <v>66</v>
      </c>
    </row>
    <row r="978" spans="2:24" x14ac:dyDescent="0.3">
      <c r="B978" t="s">
        <v>1071</v>
      </c>
      <c r="C978" t="s">
        <v>100</v>
      </c>
      <c r="D978" t="s">
        <v>3</v>
      </c>
      <c r="E978" t="s">
        <v>19</v>
      </c>
      <c r="F978" t="s">
        <v>12</v>
      </c>
      <c r="G978" t="s">
        <v>112</v>
      </c>
      <c r="H978">
        <v>2024</v>
      </c>
      <c r="I978">
        <v>9798</v>
      </c>
      <c r="J978">
        <v>29.6</v>
      </c>
      <c r="K978" t="s">
        <v>25</v>
      </c>
      <c r="L978">
        <v>6.1</v>
      </c>
      <c r="M978">
        <v>9.5</v>
      </c>
      <c r="N978">
        <v>993</v>
      </c>
      <c r="O978" t="s">
        <v>75</v>
      </c>
      <c r="P978">
        <v>27.2</v>
      </c>
      <c r="Q978" t="s">
        <v>88</v>
      </c>
      <c r="R978">
        <v>27.8</v>
      </c>
      <c r="S978">
        <v>29.2</v>
      </c>
      <c r="T978">
        <v>7.5</v>
      </c>
      <c r="U978">
        <v>3.7</v>
      </c>
      <c r="V978">
        <v>4.9000000000000004</v>
      </c>
      <c r="W978">
        <v>3.5</v>
      </c>
      <c r="X978" t="s">
        <v>66</v>
      </c>
    </row>
    <row r="979" spans="2:24" x14ac:dyDescent="0.3">
      <c r="B979" t="s">
        <v>1072</v>
      </c>
      <c r="C979" t="s">
        <v>106</v>
      </c>
      <c r="D979" t="s">
        <v>3</v>
      </c>
      <c r="E979" t="s">
        <v>17</v>
      </c>
      <c r="F979" t="s">
        <v>11</v>
      </c>
      <c r="G979" t="s">
        <v>60</v>
      </c>
      <c r="H979">
        <v>2026</v>
      </c>
      <c r="I979">
        <v>16067</v>
      </c>
      <c r="J979">
        <v>12.4</v>
      </c>
      <c r="K979" t="s">
        <v>23</v>
      </c>
      <c r="L979">
        <v>5</v>
      </c>
      <c r="M979">
        <v>8.1</v>
      </c>
      <c r="N979">
        <v>1826</v>
      </c>
      <c r="O979" t="s">
        <v>64</v>
      </c>
      <c r="P979">
        <v>22.9</v>
      </c>
      <c r="Q979" t="s">
        <v>88</v>
      </c>
      <c r="R979">
        <v>-42.6</v>
      </c>
      <c r="S979">
        <v>10.8</v>
      </c>
      <c r="T979">
        <v>-0.6</v>
      </c>
      <c r="U979">
        <v>5.0999999999999996</v>
      </c>
      <c r="V979">
        <v>5.4</v>
      </c>
      <c r="W979">
        <v>5.7</v>
      </c>
      <c r="X979" t="s">
        <v>66</v>
      </c>
    </row>
    <row r="980" spans="2:24" x14ac:dyDescent="0.3">
      <c r="B980" t="s">
        <v>1073</v>
      </c>
      <c r="C980" t="s">
        <v>73</v>
      </c>
      <c r="D980" t="s">
        <v>3</v>
      </c>
      <c r="E980" t="s">
        <v>17</v>
      </c>
      <c r="F980" t="s">
        <v>12</v>
      </c>
      <c r="G980" t="s">
        <v>74</v>
      </c>
      <c r="H980">
        <v>2025</v>
      </c>
      <c r="I980">
        <v>178</v>
      </c>
      <c r="J980">
        <v>5.6</v>
      </c>
      <c r="K980" t="s">
        <v>24</v>
      </c>
      <c r="L980">
        <v>7.6</v>
      </c>
      <c r="M980">
        <v>7.2</v>
      </c>
      <c r="N980">
        <v>535</v>
      </c>
      <c r="O980" t="s">
        <v>64</v>
      </c>
      <c r="P980">
        <v>45.4</v>
      </c>
      <c r="Q980" t="s">
        <v>84</v>
      </c>
      <c r="R980">
        <v>26</v>
      </c>
      <c r="S980">
        <v>43.2</v>
      </c>
      <c r="T980">
        <v>28.6</v>
      </c>
      <c r="U980">
        <v>6.8</v>
      </c>
      <c r="V980">
        <v>7.4</v>
      </c>
      <c r="W980">
        <v>7.2</v>
      </c>
      <c r="X980" t="s">
        <v>57</v>
      </c>
    </row>
    <row r="981" spans="2:24" x14ac:dyDescent="0.3">
      <c r="B981" t="s">
        <v>1074</v>
      </c>
      <c r="C981" t="s">
        <v>83</v>
      </c>
      <c r="D981" t="s">
        <v>4</v>
      </c>
      <c r="E981" t="s">
        <v>15</v>
      </c>
      <c r="F981" t="s">
        <v>11</v>
      </c>
      <c r="G981" t="s">
        <v>74</v>
      </c>
      <c r="H981">
        <v>2026</v>
      </c>
      <c r="I981">
        <v>729</v>
      </c>
      <c r="J981">
        <v>5.4</v>
      </c>
      <c r="K981" t="s">
        <v>21</v>
      </c>
      <c r="L981">
        <v>10.5</v>
      </c>
      <c r="M981">
        <v>6.4</v>
      </c>
      <c r="N981">
        <v>1349</v>
      </c>
      <c r="O981" t="s">
        <v>55</v>
      </c>
      <c r="P981">
        <v>59.1</v>
      </c>
      <c r="Q981" t="s">
        <v>79</v>
      </c>
      <c r="R981">
        <v>76.599999999999994</v>
      </c>
      <c r="S981">
        <v>-22.3</v>
      </c>
      <c r="T981">
        <v>-14.4</v>
      </c>
      <c r="U981">
        <v>7.4</v>
      </c>
      <c r="V981">
        <v>3.9</v>
      </c>
      <c r="W981">
        <v>5.5</v>
      </c>
      <c r="X981" t="s">
        <v>57</v>
      </c>
    </row>
    <row r="982" spans="2:24" x14ac:dyDescent="0.3">
      <c r="B982" t="s">
        <v>1075</v>
      </c>
      <c r="C982" t="s">
        <v>97</v>
      </c>
      <c r="D982" t="s">
        <v>3</v>
      </c>
      <c r="E982" t="s">
        <v>17</v>
      </c>
      <c r="F982" t="s">
        <v>9</v>
      </c>
      <c r="G982" t="s">
        <v>115</v>
      </c>
      <c r="H982">
        <v>2024</v>
      </c>
      <c r="I982">
        <v>11458</v>
      </c>
      <c r="J982">
        <v>39.299999999999997</v>
      </c>
      <c r="K982" t="s">
        <v>25</v>
      </c>
      <c r="L982">
        <v>3.8</v>
      </c>
      <c r="M982">
        <v>9.8000000000000007</v>
      </c>
      <c r="N982">
        <v>107</v>
      </c>
      <c r="O982" t="s">
        <v>75</v>
      </c>
      <c r="P982">
        <v>79.599999999999994</v>
      </c>
      <c r="Q982" t="s">
        <v>86</v>
      </c>
      <c r="R982">
        <v>-34.1</v>
      </c>
      <c r="S982">
        <v>52.6</v>
      </c>
      <c r="T982">
        <v>3.2</v>
      </c>
      <c r="U982">
        <v>3.2</v>
      </c>
      <c r="V982">
        <v>5.5</v>
      </c>
      <c r="W982">
        <v>4.4000000000000004</v>
      </c>
      <c r="X982" t="s">
        <v>66</v>
      </c>
    </row>
    <row r="983" spans="2:24" x14ac:dyDescent="0.3">
      <c r="B983" t="s">
        <v>1076</v>
      </c>
      <c r="C983" t="s">
        <v>27</v>
      </c>
      <c r="D983" t="s">
        <v>3</v>
      </c>
      <c r="E983" t="s">
        <v>17</v>
      </c>
      <c r="F983" t="s">
        <v>10</v>
      </c>
      <c r="G983" t="s">
        <v>112</v>
      </c>
      <c r="H983">
        <v>2026</v>
      </c>
      <c r="I983">
        <v>1063</v>
      </c>
      <c r="J983">
        <v>1.3</v>
      </c>
      <c r="K983" t="s">
        <v>23</v>
      </c>
      <c r="L983">
        <v>8.3000000000000007</v>
      </c>
      <c r="M983">
        <v>5.3</v>
      </c>
      <c r="N983">
        <v>657</v>
      </c>
      <c r="O983" t="s">
        <v>55</v>
      </c>
      <c r="P983">
        <v>59.3</v>
      </c>
      <c r="Q983" t="s">
        <v>125</v>
      </c>
      <c r="R983">
        <v>14.5</v>
      </c>
      <c r="S983">
        <v>58.7</v>
      </c>
      <c r="T983">
        <v>26.5</v>
      </c>
      <c r="U983">
        <v>5.3</v>
      </c>
      <c r="V983">
        <v>10</v>
      </c>
      <c r="W983">
        <v>9.5</v>
      </c>
      <c r="X983" t="s">
        <v>57</v>
      </c>
    </row>
    <row r="984" spans="2:24" x14ac:dyDescent="0.3">
      <c r="B984" t="s">
        <v>1077</v>
      </c>
      <c r="C984" t="s">
        <v>27</v>
      </c>
      <c r="D984" t="s">
        <v>3</v>
      </c>
      <c r="E984" t="s">
        <v>14</v>
      </c>
      <c r="F984" t="s">
        <v>12</v>
      </c>
      <c r="G984" t="s">
        <v>63</v>
      </c>
      <c r="H984">
        <v>2025</v>
      </c>
      <c r="I984">
        <v>301</v>
      </c>
      <c r="J984">
        <v>1.8</v>
      </c>
      <c r="K984" t="s">
        <v>22</v>
      </c>
      <c r="L984">
        <v>4.5999999999999996</v>
      </c>
      <c r="M984">
        <v>2</v>
      </c>
      <c r="N984">
        <v>5913</v>
      </c>
      <c r="O984" t="s">
        <v>55</v>
      </c>
      <c r="P984">
        <v>16.5</v>
      </c>
      <c r="Q984" t="s">
        <v>88</v>
      </c>
      <c r="R984">
        <v>9</v>
      </c>
      <c r="S984">
        <v>-14.8</v>
      </c>
      <c r="T984">
        <v>-4.5</v>
      </c>
      <c r="U984">
        <v>3.6</v>
      </c>
      <c r="V984">
        <v>6.5</v>
      </c>
      <c r="W984">
        <v>6.7</v>
      </c>
      <c r="X984" t="s">
        <v>57</v>
      </c>
    </row>
    <row r="985" spans="2:24" x14ac:dyDescent="0.3">
      <c r="B985" t="s">
        <v>1078</v>
      </c>
      <c r="C985" t="s">
        <v>106</v>
      </c>
      <c r="D985" t="s">
        <v>8</v>
      </c>
      <c r="E985" t="s">
        <v>18</v>
      </c>
      <c r="F985" t="s">
        <v>11</v>
      </c>
      <c r="G985" t="s">
        <v>104</v>
      </c>
      <c r="H985">
        <v>2025</v>
      </c>
      <c r="I985">
        <v>6733</v>
      </c>
      <c r="J985">
        <v>7.9</v>
      </c>
      <c r="K985" t="s">
        <v>21</v>
      </c>
      <c r="L985">
        <v>1.4</v>
      </c>
      <c r="M985">
        <v>2.5</v>
      </c>
      <c r="N985">
        <v>1432</v>
      </c>
      <c r="O985" t="s">
        <v>64</v>
      </c>
      <c r="P985">
        <v>17.2</v>
      </c>
      <c r="Q985" t="s">
        <v>86</v>
      </c>
      <c r="R985">
        <v>-20.8</v>
      </c>
      <c r="S985">
        <v>-10.199999999999999</v>
      </c>
      <c r="T985">
        <v>-1</v>
      </c>
      <c r="U985">
        <v>1.5</v>
      </c>
      <c r="V985">
        <v>4.8</v>
      </c>
      <c r="W985">
        <v>5.6</v>
      </c>
      <c r="X985" t="s">
        <v>116</v>
      </c>
    </row>
    <row r="986" spans="2:24" x14ac:dyDescent="0.3">
      <c r="B986" t="s">
        <v>1079</v>
      </c>
      <c r="C986" t="s">
        <v>106</v>
      </c>
      <c r="D986" t="s">
        <v>8</v>
      </c>
      <c r="E986" t="s">
        <v>19</v>
      </c>
      <c r="F986" t="s">
        <v>10</v>
      </c>
      <c r="G986" t="s">
        <v>74</v>
      </c>
      <c r="H986">
        <v>2026</v>
      </c>
      <c r="I986">
        <v>1441</v>
      </c>
      <c r="J986">
        <v>1.8</v>
      </c>
      <c r="K986" t="s">
        <v>25</v>
      </c>
      <c r="L986">
        <v>3.9</v>
      </c>
      <c r="M986">
        <v>2.9</v>
      </c>
      <c r="N986">
        <v>1269</v>
      </c>
      <c r="O986" t="s">
        <v>64</v>
      </c>
      <c r="P986">
        <v>43.1</v>
      </c>
      <c r="Q986" t="s">
        <v>76</v>
      </c>
      <c r="R986">
        <v>10.5</v>
      </c>
      <c r="S986">
        <v>-6.3</v>
      </c>
      <c r="T986">
        <v>5</v>
      </c>
      <c r="U986">
        <v>4</v>
      </c>
      <c r="V986">
        <v>7.3</v>
      </c>
      <c r="W986">
        <v>7.6</v>
      </c>
      <c r="X986" t="s">
        <v>57</v>
      </c>
    </row>
    <row r="987" spans="2:24" x14ac:dyDescent="0.3">
      <c r="B987" t="s">
        <v>1080</v>
      </c>
      <c r="C987" t="s">
        <v>73</v>
      </c>
      <c r="D987" t="s">
        <v>3</v>
      </c>
      <c r="E987" t="s">
        <v>19</v>
      </c>
      <c r="F987" t="s">
        <v>12</v>
      </c>
      <c r="G987" t="s">
        <v>98</v>
      </c>
      <c r="H987">
        <v>2024</v>
      </c>
      <c r="I987">
        <v>11911</v>
      </c>
      <c r="J987">
        <v>14.8</v>
      </c>
      <c r="K987" t="s">
        <v>21</v>
      </c>
      <c r="L987">
        <v>5.6</v>
      </c>
      <c r="M987">
        <v>7</v>
      </c>
      <c r="N987">
        <v>1086</v>
      </c>
      <c r="O987" t="s">
        <v>64</v>
      </c>
      <c r="P987">
        <v>35.1</v>
      </c>
      <c r="Q987" t="s">
        <v>84</v>
      </c>
      <c r="R987">
        <v>44.8</v>
      </c>
      <c r="S987">
        <v>-22.7</v>
      </c>
      <c r="T987">
        <v>-3.1</v>
      </c>
      <c r="U987">
        <v>4.5</v>
      </c>
      <c r="V987">
        <v>6.3</v>
      </c>
      <c r="W987">
        <v>3.7</v>
      </c>
      <c r="X987" t="s">
        <v>66</v>
      </c>
    </row>
    <row r="988" spans="2:24" x14ac:dyDescent="0.3">
      <c r="B988" t="s">
        <v>1081</v>
      </c>
      <c r="C988" t="s">
        <v>100</v>
      </c>
      <c r="D988" t="s">
        <v>3</v>
      </c>
      <c r="E988" t="s">
        <v>15</v>
      </c>
      <c r="F988" t="s">
        <v>11</v>
      </c>
      <c r="G988" t="s">
        <v>115</v>
      </c>
      <c r="H988">
        <v>2024</v>
      </c>
      <c r="I988">
        <v>288</v>
      </c>
      <c r="J988">
        <v>9</v>
      </c>
      <c r="K988" t="s">
        <v>24</v>
      </c>
      <c r="L988">
        <v>1</v>
      </c>
      <c r="M988">
        <v>2.8</v>
      </c>
      <c r="N988">
        <v>1267</v>
      </c>
      <c r="O988" t="s">
        <v>64</v>
      </c>
      <c r="P988">
        <v>61.8</v>
      </c>
      <c r="Q988" t="s">
        <v>76</v>
      </c>
      <c r="R988">
        <v>-29.6</v>
      </c>
      <c r="S988">
        <v>19.2</v>
      </c>
      <c r="T988">
        <v>5.7</v>
      </c>
      <c r="U988">
        <v>1.1000000000000001</v>
      </c>
      <c r="V988">
        <v>8.6999999999999993</v>
      </c>
      <c r="W988">
        <v>8</v>
      </c>
      <c r="X988" t="s">
        <v>57</v>
      </c>
    </row>
    <row r="989" spans="2:24" x14ac:dyDescent="0.3">
      <c r="B989" t="s">
        <v>1082</v>
      </c>
      <c r="C989" t="s">
        <v>106</v>
      </c>
      <c r="D989" t="s">
        <v>8</v>
      </c>
      <c r="E989" t="s">
        <v>19</v>
      </c>
      <c r="F989" t="s">
        <v>10</v>
      </c>
      <c r="G989" t="s">
        <v>63</v>
      </c>
      <c r="H989">
        <v>2025</v>
      </c>
      <c r="I989">
        <v>2271</v>
      </c>
      <c r="J989">
        <v>5.7</v>
      </c>
      <c r="K989" t="s">
        <v>22</v>
      </c>
      <c r="L989">
        <v>8.8000000000000007</v>
      </c>
      <c r="M989">
        <v>10</v>
      </c>
      <c r="N989">
        <v>1223</v>
      </c>
      <c r="O989" t="s">
        <v>55</v>
      </c>
      <c r="P989">
        <v>58.6</v>
      </c>
      <c r="Q989" t="s">
        <v>79</v>
      </c>
      <c r="R989">
        <v>55</v>
      </c>
      <c r="S989">
        <v>-13.1</v>
      </c>
      <c r="T989">
        <v>4.0999999999999996</v>
      </c>
      <c r="U989">
        <v>9</v>
      </c>
      <c r="V989">
        <v>7.8</v>
      </c>
      <c r="W989">
        <v>4.5</v>
      </c>
      <c r="X989" t="s">
        <v>57</v>
      </c>
    </row>
    <row r="990" spans="2:24" x14ac:dyDescent="0.3">
      <c r="B990" t="s">
        <v>1083</v>
      </c>
      <c r="C990" t="s">
        <v>139</v>
      </c>
      <c r="D990" t="s">
        <v>8</v>
      </c>
      <c r="E990" t="s">
        <v>18</v>
      </c>
      <c r="F990" t="s">
        <v>9</v>
      </c>
      <c r="G990" t="s">
        <v>74</v>
      </c>
      <c r="H990">
        <v>2025</v>
      </c>
      <c r="I990">
        <v>8546</v>
      </c>
      <c r="J990">
        <v>37.200000000000003</v>
      </c>
      <c r="K990" t="s">
        <v>21</v>
      </c>
      <c r="L990">
        <v>3.9</v>
      </c>
      <c r="M990">
        <v>10</v>
      </c>
      <c r="N990">
        <v>590</v>
      </c>
      <c r="O990" t="s">
        <v>75</v>
      </c>
      <c r="P990">
        <v>45.9</v>
      </c>
      <c r="Q990" t="s">
        <v>79</v>
      </c>
      <c r="R990">
        <v>-35.6</v>
      </c>
      <c r="S990">
        <v>35</v>
      </c>
      <c r="T990">
        <v>12.9</v>
      </c>
      <c r="U990">
        <v>3.6</v>
      </c>
      <c r="V990">
        <v>7</v>
      </c>
      <c r="W990">
        <v>2.9</v>
      </c>
      <c r="X990" t="s">
        <v>66</v>
      </c>
    </row>
    <row r="991" spans="2:24" x14ac:dyDescent="0.3">
      <c r="B991" t="s">
        <v>1084</v>
      </c>
      <c r="C991" t="s">
        <v>142</v>
      </c>
      <c r="D991" t="s">
        <v>8</v>
      </c>
      <c r="E991" t="s">
        <v>16</v>
      </c>
      <c r="F991" t="s">
        <v>11</v>
      </c>
      <c r="G991" t="s">
        <v>104</v>
      </c>
      <c r="H991">
        <v>2024</v>
      </c>
      <c r="I991">
        <v>5629</v>
      </c>
      <c r="J991">
        <v>21.5</v>
      </c>
      <c r="K991" t="s">
        <v>21</v>
      </c>
      <c r="L991">
        <v>3.7</v>
      </c>
      <c r="M991">
        <v>8</v>
      </c>
      <c r="N991">
        <v>1268</v>
      </c>
      <c r="O991" t="s">
        <v>75</v>
      </c>
      <c r="P991">
        <v>81.599999999999994</v>
      </c>
      <c r="Q991" t="s">
        <v>88</v>
      </c>
      <c r="R991">
        <v>31.2</v>
      </c>
      <c r="S991">
        <v>40.5</v>
      </c>
      <c r="T991">
        <v>5.9</v>
      </c>
      <c r="U991">
        <v>2.8</v>
      </c>
      <c r="V991">
        <v>7.8</v>
      </c>
      <c r="W991">
        <v>4.5</v>
      </c>
      <c r="X991" t="s">
        <v>66</v>
      </c>
    </row>
    <row r="992" spans="2:24" x14ac:dyDescent="0.3">
      <c r="B992" t="s">
        <v>1085</v>
      </c>
      <c r="C992" t="s">
        <v>139</v>
      </c>
      <c r="D992" t="s">
        <v>8</v>
      </c>
      <c r="E992" t="s">
        <v>16</v>
      </c>
      <c r="F992" t="s">
        <v>12</v>
      </c>
      <c r="G992" t="s">
        <v>104</v>
      </c>
      <c r="H992">
        <v>2024</v>
      </c>
      <c r="I992">
        <v>2733</v>
      </c>
      <c r="J992">
        <v>8.9</v>
      </c>
      <c r="K992" t="s">
        <v>21</v>
      </c>
      <c r="L992">
        <v>14.5</v>
      </c>
      <c r="M992">
        <v>10</v>
      </c>
      <c r="N992">
        <v>1164</v>
      </c>
      <c r="O992" t="s">
        <v>55</v>
      </c>
      <c r="P992">
        <v>14.9</v>
      </c>
      <c r="Q992" t="s">
        <v>86</v>
      </c>
      <c r="R992">
        <v>-36.4</v>
      </c>
      <c r="S992">
        <v>-11.5</v>
      </c>
      <c r="T992">
        <v>-5.3</v>
      </c>
      <c r="U992">
        <v>8.6999999999999993</v>
      </c>
      <c r="V992">
        <v>6.2</v>
      </c>
      <c r="W992">
        <v>5.5</v>
      </c>
      <c r="X992" t="s">
        <v>116</v>
      </c>
    </row>
    <row r="993" spans="2:24" x14ac:dyDescent="0.3">
      <c r="B993" t="s">
        <v>1086</v>
      </c>
      <c r="C993" t="s">
        <v>106</v>
      </c>
      <c r="D993" t="s">
        <v>7</v>
      </c>
      <c r="E993" t="s">
        <v>15</v>
      </c>
      <c r="F993" t="s">
        <v>12</v>
      </c>
      <c r="G993" t="s">
        <v>54</v>
      </c>
      <c r="H993">
        <v>2024</v>
      </c>
      <c r="I993">
        <v>7525</v>
      </c>
      <c r="J993">
        <v>32.200000000000003</v>
      </c>
      <c r="K993" t="s">
        <v>22</v>
      </c>
      <c r="L993">
        <v>4.3</v>
      </c>
      <c r="M993">
        <v>9.9</v>
      </c>
      <c r="N993">
        <v>1080</v>
      </c>
      <c r="O993" t="s">
        <v>75</v>
      </c>
      <c r="P993">
        <v>20.6</v>
      </c>
      <c r="Q993" t="s">
        <v>65</v>
      </c>
      <c r="R993">
        <v>77.400000000000006</v>
      </c>
      <c r="S993">
        <v>34.299999999999997</v>
      </c>
      <c r="T993">
        <v>1.9</v>
      </c>
      <c r="U993">
        <v>3.4</v>
      </c>
      <c r="V993">
        <v>7</v>
      </c>
      <c r="W993">
        <v>3.3</v>
      </c>
      <c r="X993" t="s">
        <v>66</v>
      </c>
    </row>
    <row r="994" spans="2:24" x14ac:dyDescent="0.3">
      <c r="B994" t="s">
        <v>1087</v>
      </c>
      <c r="C994" t="s">
        <v>90</v>
      </c>
      <c r="D994" t="s">
        <v>6</v>
      </c>
      <c r="E994" t="s">
        <v>16</v>
      </c>
      <c r="F994" t="s">
        <v>11</v>
      </c>
      <c r="G994" t="s">
        <v>101</v>
      </c>
      <c r="H994">
        <v>2026</v>
      </c>
      <c r="I994">
        <v>5202</v>
      </c>
      <c r="J994">
        <v>36.700000000000003</v>
      </c>
      <c r="K994" t="s">
        <v>21</v>
      </c>
      <c r="L994">
        <v>9.4</v>
      </c>
      <c r="M994">
        <v>10</v>
      </c>
      <c r="N994">
        <v>729</v>
      </c>
      <c r="O994" t="s">
        <v>75</v>
      </c>
      <c r="P994">
        <v>79.7</v>
      </c>
      <c r="Q994" t="s">
        <v>65</v>
      </c>
      <c r="R994">
        <v>34.200000000000003</v>
      </c>
      <c r="S994">
        <v>-1.1000000000000001</v>
      </c>
      <c r="T994">
        <v>-2.2000000000000002</v>
      </c>
      <c r="U994">
        <v>5.7</v>
      </c>
      <c r="V994">
        <v>5.2</v>
      </c>
      <c r="W994">
        <v>2.9</v>
      </c>
      <c r="X994" t="s">
        <v>66</v>
      </c>
    </row>
    <row r="995" spans="2:24" x14ac:dyDescent="0.3">
      <c r="B995" t="s">
        <v>1088</v>
      </c>
      <c r="C995" t="s">
        <v>142</v>
      </c>
      <c r="D995" t="s">
        <v>8</v>
      </c>
      <c r="E995" t="s">
        <v>16</v>
      </c>
      <c r="F995" t="s">
        <v>11</v>
      </c>
      <c r="G995" t="s">
        <v>131</v>
      </c>
      <c r="H995">
        <v>2026</v>
      </c>
      <c r="I995">
        <v>116</v>
      </c>
      <c r="J995">
        <v>12</v>
      </c>
      <c r="K995" t="s">
        <v>24</v>
      </c>
      <c r="L995">
        <v>1.3</v>
      </c>
      <c r="M995">
        <v>2.2000000000000002</v>
      </c>
      <c r="N995">
        <v>1538</v>
      </c>
      <c r="O995" t="s">
        <v>64</v>
      </c>
      <c r="P995">
        <v>57.2</v>
      </c>
      <c r="Q995" t="s">
        <v>76</v>
      </c>
      <c r="R995">
        <v>-10.3</v>
      </c>
      <c r="S995">
        <v>38.200000000000003</v>
      </c>
      <c r="T995">
        <v>15.7</v>
      </c>
      <c r="U995">
        <v>1.2</v>
      </c>
      <c r="V995">
        <v>7.3</v>
      </c>
      <c r="W995">
        <v>7.2</v>
      </c>
      <c r="X995" t="s">
        <v>116</v>
      </c>
    </row>
    <row r="996" spans="2:24" x14ac:dyDescent="0.3">
      <c r="B996" t="s">
        <v>1089</v>
      </c>
      <c r="C996" t="s">
        <v>137</v>
      </c>
      <c r="D996" t="s">
        <v>4</v>
      </c>
      <c r="E996" t="s">
        <v>15</v>
      </c>
      <c r="F996" t="s">
        <v>10</v>
      </c>
      <c r="G996" t="s">
        <v>74</v>
      </c>
      <c r="H996">
        <v>2026</v>
      </c>
      <c r="I996">
        <v>2048</v>
      </c>
      <c r="J996">
        <v>4.5</v>
      </c>
      <c r="K996" t="s">
        <v>21</v>
      </c>
      <c r="L996">
        <v>2.8</v>
      </c>
      <c r="M996">
        <v>3.4</v>
      </c>
      <c r="N996">
        <v>5064</v>
      </c>
      <c r="O996" t="s">
        <v>55</v>
      </c>
      <c r="P996">
        <v>61</v>
      </c>
      <c r="Q996" t="s">
        <v>125</v>
      </c>
      <c r="R996">
        <v>1.4</v>
      </c>
      <c r="S996">
        <v>4.2</v>
      </c>
      <c r="T996">
        <v>4.3</v>
      </c>
      <c r="U996">
        <v>2.2000000000000002</v>
      </c>
      <c r="V996">
        <v>7</v>
      </c>
      <c r="W996">
        <v>7.4</v>
      </c>
      <c r="X996" t="s">
        <v>57</v>
      </c>
    </row>
    <row r="997" spans="2:24" x14ac:dyDescent="0.3">
      <c r="B997" t="s">
        <v>1090</v>
      </c>
      <c r="C997" t="s">
        <v>97</v>
      </c>
      <c r="D997" t="s">
        <v>3</v>
      </c>
      <c r="E997" t="s">
        <v>18</v>
      </c>
      <c r="F997" t="s">
        <v>9</v>
      </c>
      <c r="G997" t="s">
        <v>115</v>
      </c>
      <c r="H997">
        <v>2026</v>
      </c>
      <c r="I997">
        <v>4908</v>
      </c>
      <c r="J997">
        <v>15.6</v>
      </c>
      <c r="K997" t="s">
        <v>24</v>
      </c>
      <c r="L997">
        <v>3.4</v>
      </c>
      <c r="M997">
        <v>6.6</v>
      </c>
      <c r="N997">
        <v>4230</v>
      </c>
      <c r="O997" t="s">
        <v>64</v>
      </c>
      <c r="P997">
        <v>45.2</v>
      </c>
      <c r="Q997" t="s">
        <v>88</v>
      </c>
      <c r="R997">
        <v>-37.6</v>
      </c>
      <c r="S997">
        <v>12.2</v>
      </c>
      <c r="T997">
        <v>3.7</v>
      </c>
      <c r="U997">
        <v>3.2</v>
      </c>
      <c r="V997">
        <v>7.7</v>
      </c>
      <c r="W997">
        <v>6.4</v>
      </c>
      <c r="X997" t="s">
        <v>116</v>
      </c>
    </row>
    <row r="998" spans="2:24" x14ac:dyDescent="0.3">
      <c r="B998" t="s">
        <v>1091</v>
      </c>
      <c r="C998" t="s">
        <v>106</v>
      </c>
      <c r="D998" t="s">
        <v>4</v>
      </c>
      <c r="E998" t="s">
        <v>16</v>
      </c>
      <c r="F998" t="s">
        <v>12</v>
      </c>
      <c r="G998" t="s">
        <v>131</v>
      </c>
      <c r="H998">
        <v>2026</v>
      </c>
      <c r="I998">
        <v>1065</v>
      </c>
      <c r="J998">
        <v>5.9</v>
      </c>
      <c r="K998" t="s">
        <v>22</v>
      </c>
      <c r="L998">
        <v>10.7</v>
      </c>
      <c r="M998">
        <v>10</v>
      </c>
      <c r="N998">
        <v>820</v>
      </c>
      <c r="O998" t="s">
        <v>55</v>
      </c>
      <c r="P998">
        <v>26.2</v>
      </c>
      <c r="Q998" t="s">
        <v>86</v>
      </c>
      <c r="R998">
        <v>39.4</v>
      </c>
      <c r="S998">
        <v>3.9</v>
      </c>
      <c r="T998">
        <v>9.1999999999999993</v>
      </c>
      <c r="U998">
        <v>9.8000000000000007</v>
      </c>
      <c r="V998">
        <v>5.6</v>
      </c>
      <c r="W998">
        <v>5</v>
      </c>
      <c r="X998" t="s">
        <v>116</v>
      </c>
    </row>
    <row r="999" spans="2:24" x14ac:dyDescent="0.3">
      <c r="B999" t="s">
        <v>1092</v>
      </c>
      <c r="C999" t="s">
        <v>94</v>
      </c>
      <c r="D999" t="s">
        <v>6</v>
      </c>
      <c r="E999" t="s">
        <v>19</v>
      </c>
      <c r="F999" t="s">
        <v>10</v>
      </c>
      <c r="G999" t="s">
        <v>104</v>
      </c>
      <c r="H999">
        <v>2026</v>
      </c>
      <c r="I999">
        <v>5381</v>
      </c>
      <c r="J999">
        <v>4.4000000000000004</v>
      </c>
      <c r="K999" t="s">
        <v>24</v>
      </c>
      <c r="L999">
        <v>1</v>
      </c>
      <c r="M999">
        <v>3.2</v>
      </c>
      <c r="N999">
        <v>4462</v>
      </c>
      <c r="O999" t="s">
        <v>55</v>
      </c>
      <c r="P999">
        <v>84.6</v>
      </c>
      <c r="Q999" t="s">
        <v>84</v>
      </c>
      <c r="R999">
        <v>-13.1</v>
      </c>
      <c r="S999">
        <v>36.1</v>
      </c>
      <c r="T999">
        <v>17.3</v>
      </c>
      <c r="U999">
        <v>1.6</v>
      </c>
      <c r="V999">
        <v>6.4</v>
      </c>
      <c r="W999">
        <v>7.7</v>
      </c>
      <c r="X999" t="s">
        <v>116</v>
      </c>
    </row>
    <row r="1000" spans="2:24" x14ac:dyDescent="0.3">
      <c r="B1000" t="s">
        <v>1093</v>
      </c>
      <c r="C1000" t="s">
        <v>122</v>
      </c>
      <c r="D1000" t="s">
        <v>2</v>
      </c>
      <c r="E1000" t="s">
        <v>19</v>
      </c>
      <c r="F1000" t="s">
        <v>9</v>
      </c>
      <c r="G1000" t="s">
        <v>74</v>
      </c>
      <c r="H1000">
        <v>2024</v>
      </c>
      <c r="I1000">
        <v>2044</v>
      </c>
      <c r="J1000">
        <v>7.8</v>
      </c>
      <c r="K1000" t="s">
        <v>25</v>
      </c>
      <c r="L1000">
        <v>4.0999999999999996</v>
      </c>
      <c r="M1000">
        <v>3.6</v>
      </c>
      <c r="N1000">
        <v>7692</v>
      </c>
      <c r="O1000" t="s">
        <v>55</v>
      </c>
      <c r="P1000">
        <v>89.9</v>
      </c>
      <c r="Q1000" t="s">
        <v>76</v>
      </c>
      <c r="R1000">
        <v>29.6</v>
      </c>
      <c r="S1000">
        <v>22.1</v>
      </c>
      <c r="T1000">
        <v>8</v>
      </c>
      <c r="U1000">
        <v>4.9000000000000004</v>
      </c>
      <c r="V1000">
        <v>6</v>
      </c>
      <c r="W1000">
        <v>7.3</v>
      </c>
      <c r="X1000" t="s">
        <v>116</v>
      </c>
    </row>
    <row r="1001" spans="2:24" x14ac:dyDescent="0.3">
      <c r="B1001" t="s">
        <v>1094</v>
      </c>
      <c r="C1001" t="s">
        <v>142</v>
      </c>
      <c r="D1001" t="s">
        <v>8</v>
      </c>
      <c r="E1001" t="s">
        <v>17</v>
      </c>
      <c r="F1001" t="s">
        <v>9</v>
      </c>
      <c r="G1001" t="s">
        <v>101</v>
      </c>
      <c r="H1001">
        <v>2026</v>
      </c>
      <c r="I1001">
        <v>558</v>
      </c>
      <c r="J1001">
        <v>8.1999999999999993</v>
      </c>
      <c r="K1001" t="s">
        <v>21</v>
      </c>
      <c r="L1001">
        <v>1.7</v>
      </c>
      <c r="M1001">
        <v>4.3</v>
      </c>
      <c r="N1001">
        <v>1604</v>
      </c>
      <c r="O1001" t="s">
        <v>64</v>
      </c>
      <c r="P1001">
        <v>57.7</v>
      </c>
      <c r="Q1001" t="s">
        <v>56</v>
      </c>
      <c r="R1001">
        <v>-36.200000000000003</v>
      </c>
      <c r="S1001">
        <v>-4.7</v>
      </c>
      <c r="T1001">
        <v>-10</v>
      </c>
      <c r="U1001">
        <v>1.5</v>
      </c>
      <c r="V1001">
        <v>6.5</v>
      </c>
      <c r="W1001">
        <v>6.6</v>
      </c>
      <c r="X1001" t="s">
        <v>57</v>
      </c>
    </row>
    <row r="1002" spans="2:24" x14ac:dyDescent="0.3">
      <c r="B1002" t="s">
        <v>1095</v>
      </c>
      <c r="C1002" t="s">
        <v>97</v>
      </c>
      <c r="D1002" t="s">
        <v>3</v>
      </c>
      <c r="E1002" t="s">
        <v>14</v>
      </c>
      <c r="F1002" t="s">
        <v>9</v>
      </c>
      <c r="G1002" t="s">
        <v>74</v>
      </c>
      <c r="H1002">
        <v>2024</v>
      </c>
      <c r="I1002">
        <v>365</v>
      </c>
      <c r="J1002">
        <v>7.4</v>
      </c>
      <c r="K1002" t="s">
        <v>23</v>
      </c>
      <c r="L1002">
        <v>5.0999999999999996</v>
      </c>
      <c r="M1002">
        <v>4.5999999999999996</v>
      </c>
      <c r="N1002">
        <v>5924</v>
      </c>
      <c r="O1002" t="s">
        <v>55</v>
      </c>
      <c r="P1002">
        <v>50.9</v>
      </c>
      <c r="Q1002" t="s">
        <v>84</v>
      </c>
      <c r="R1002">
        <v>9.3000000000000007</v>
      </c>
      <c r="S1002">
        <v>32.5</v>
      </c>
      <c r="T1002">
        <v>6.3</v>
      </c>
      <c r="U1002">
        <v>4.3</v>
      </c>
      <c r="V1002">
        <v>8.3000000000000007</v>
      </c>
      <c r="W1002">
        <v>7.9</v>
      </c>
      <c r="X1002" t="s">
        <v>57</v>
      </c>
    </row>
    <row r="1003" spans="2:24" x14ac:dyDescent="0.3">
      <c r="B1003" t="s">
        <v>1096</v>
      </c>
      <c r="C1003" t="s">
        <v>106</v>
      </c>
      <c r="D1003" t="s">
        <v>4</v>
      </c>
      <c r="E1003" t="s">
        <v>19</v>
      </c>
      <c r="F1003" t="s">
        <v>10</v>
      </c>
      <c r="G1003" t="s">
        <v>54</v>
      </c>
      <c r="H1003">
        <v>2026</v>
      </c>
      <c r="I1003">
        <v>1977</v>
      </c>
      <c r="J1003">
        <v>4.9000000000000004</v>
      </c>
      <c r="K1003" t="s">
        <v>25</v>
      </c>
      <c r="L1003">
        <v>7.5</v>
      </c>
      <c r="M1003">
        <v>6.9</v>
      </c>
      <c r="N1003">
        <v>1370</v>
      </c>
      <c r="O1003" t="s">
        <v>64</v>
      </c>
      <c r="P1003">
        <v>16</v>
      </c>
      <c r="Q1003" t="s">
        <v>125</v>
      </c>
      <c r="R1003">
        <v>39.5</v>
      </c>
      <c r="S1003">
        <v>-23.9</v>
      </c>
      <c r="T1003">
        <v>-5.4</v>
      </c>
      <c r="U1003">
        <v>8.3000000000000007</v>
      </c>
      <c r="V1003">
        <v>6.4</v>
      </c>
      <c r="W1003">
        <v>6</v>
      </c>
      <c r="X1003" t="s">
        <v>57</v>
      </c>
    </row>
    <row r="1004" spans="2:24" x14ac:dyDescent="0.3">
      <c r="B1004" t="s">
        <v>1097</v>
      </c>
      <c r="C1004" t="s">
        <v>73</v>
      </c>
      <c r="D1004" t="s">
        <v>3</v>
      </c>
      <c r="E1004" t="s">
        <v>19</v>
      </c>
      <c r="F1004" t="s">
        <v>9</v>
      </c>
      <c r="G1004" t="s">
        <v>60</v>
      </c>
      <c r="H1004">
        <v>2025</v>
      </c>
      <c r="I1004">
        <v>9493</v>
      </c>
      <c r="J1004">
        <v>14.4</v>
      </c>
      <c r="K1004" t="s">
        <v>22</v>
      </c>
      <c r="L1004">
        <v>1.4</v>
      </c>
      <c r="M1004">
        <v>3.2</v>
      </c>
      <c r="N1004">
        <v>1687</v>
      </c>
      <c r="O1004" t="s">
        <v>75</v>
      </c>
      <c r="P1004">
        <v>56.8</v>
      </c>
      <c r="Q1004" t="s">
        <v>84</v>
      </c>
      <c r="R1004">
        <v>9.4</v>
      </c>
      <c r="S1004">
        <v>50</v>
      </c>
      <c r="T1004">
        <v>18.600000000000001</v>
      </c>
      <c r="U1004">
        <v>1.6</v>
      </c>
      <c r="V1004">
        <v>8.1</v>
      </c>
      <c r="W1004">
        <v>6.9</v>
      </c>
      <c r="X1004" t="s">
        <v>66</v>
      </c>
    </row>
    <row r="1005" spans="2:24" x14ac:dyDescent="0.3">
      <c r="B1005" t="s">
        <v>1098</v>
      </c>
      <c r="C1005" t="s">
        <v>106</v>
      </c>
      <c r="D1005" t="s">
        <v>3</v>
      </c>
      <c r="E1005" t="s">
        <v>16</v>
      </c>
      <c r="F1005" t="s">
        <v>11</v>
      </c>
      <c r="G1005" t="s">
        <v>63</v>
      </c>
      <c r="H1005">
        <v>2025</v>
      </c>
      <c r="I1005">
        <v>877</v>
      </c>
      <c r="J1005">
        <v>7.1</v>
      </c>
      <c r="K1005" t="s">
        <v>21</v>
      </c>
      <c r="L1005">
        <v>5.2</v>
      </c>
      <c r="M1005">
        <v>6.9</v>
      </c>
      <c r="N1005">
        <v>3059</v>
      </c>
      <c r="O1005" t="s">
        <v>55</v>
      </c>
      <c r="P1005">
        <v>43.9</v>
      </c>
      <c r="Q1005" t="s">
        <v>56</v>
      </c>
      <c r="R1005">
        <v>-26.7</v>
      </c>
      <c r="S1005">
        <v>15.4</v>
      </c>
      <c r="T1005">
        <v>4.2</v>
      </c>
      <c r="U1005">
        <v>3.7</v>
      </c>
      <c r="V1005">
        <v>7.7</v>
      </c>
      <c r="W1005">
        <v>7.3</v>
      </c>
      <c r="X1005" t="s">
        <v>57</v>
      </c>
    </row>
    <row r="1006" spans="2:24" x14ac:dyDescent="0.3">
      <c r="B1006" t="s">
        <v>1099</v>
      </c>
      <c r="C1006" t="s">
        <v>83</v>
      </c>
      <c r="D1006" t="s">
        <v>4</v>
      </c>
      <c r="E1006" t="s">
        <v>14</v>
      </c>
      <c r="F1006" t="s">
        <v>12</v>
      </c>
      <c r="G1006" t="s">
        <v>131</v>
      </c>
      <c r="H1006">
        <v>2026</v>
      </c>
      <c r="I1006">
        <v>3267</v>
      </c>
      <c r="J1006">
        <v>13.6</v>
      </c>
      <c r="K1006" t="s">
        <v>24</v>
      </c>
      <c r="L1006">
        <v>2.9</v>
      </c>
      <c r="M1006">
        <v>6.9</v>
      </c>
      <c r="N1006">
        <v>4015</v>
      </c>
      <c r="O1006" t="s">
        <v>64</v>
      </c>
      <c r="P1006">
        <v>75</v>
      </c>
      <c r="Q1006" t="s">
        <v>76</v>
      </c>
      <c r="R1006">
        <v>-26.8</v>
      </c>
      <c r="S1006">
        <v>52.1</v>
      </c>
      <c r="T1006">
        <v>22.8</v>
      </c>
      <c r="U1006">
        <v>3.4</v>
      </c>
      <c r="V1006">
        <v>5.6</v>
      </c>
      <c r="W1006">
        <v>7</v>
      </c>
      <c r="X1006" t="s">
        <v>116</v>
      </c>
    </row>
    <row r="1007" spans="2:24" x14ac:dyDescent="0.3">
      <c r="B1007" t="s">
        <v>1100</v>
      </c>
      <c r="C1007" t="s">
        <v>62</v>
      </c>
      <c r="D1007" t="s">
        <v>2</v>
      </c>
      <c r="E1007" t="s">
        <v>18</v>
      </c>
      <c r="F1007" t="s">
        <v>12</v>
      </c>
      <c r="G1007" t="s">
        <v>74</v>
      </c>
      <c r="H1007">
        <v>2024</v>
      </c>
      <c r="I1007">
        <v>1527</v>
      </c>
      <c r="J1007">
        <v>3</v>
      </c>
      <c r="K1007" t="s">
        <v>22</v>
      </c>
      <c r="L1007">
        <v>8.4</v>
      </c>
      <c r="M1007">
        <v>7.6</v>
      </c>
      <c r="N1007">
        <v>9318</v>
      </c>
      <c r="O1007" t="s">
        <v>55</v>
      </c>
      <c r="P1007">
        <v>52.3</v>
      </c>
      <c r="Q1007" t="s">
        <v>76</v>
      </c>
      <c r="R1007">
        <v>14.4</v>
      </c>
      <c r="S1007">
        <v>-10</v>
      </c>
      <c r="T1007">
        <v>-6.1</v>
      </c>
      <c r="U1007">
        <v>5.3</v>
      </c>
      <c r="V1007">
        <v>5.5</v>
      </c>
      <c r="W1007">
        <v>5.4</v>
      </c>
      <c r="X1007" t="s">
        <v>116</v>
      </c>
    </row>
    <row r="1008" spans="2:24" x14ac:dyDescent="0.3">
      <c r="B1008" t="s">
        <v>1101</v>
      </c>
      <c r="C1008" t="s">
        <v>53</v>
      </c>
      <c r="D1008" t="s">
        <v>7</v>
      </c>
      <c r="E1008" t="s">
        <v>16</v>
      </c>
      <c r="F1008" t="s">
        <v>11</v>
      </c>
      <c r="G1008" t="s">
        <v>115</v>
      </c>
      <c r="H1008">
        <v>2026</v>
      </c>
      <c r="I1008">
        <v>9416</v>
      </c>
      <c r="J1008">
        <v>39.1</v>
      </c>
      <c r="K1008" t="s">
        <v>22</v>
      </c>
      <c r="L1008">
        <v>6.5</v>
      </c>
      <c r="M1008">
        <v>10</v>
      </c>
      <c r="N1008">
        <v>1893</v>
      </c>
      <c r="O1008" t="s">
        <v>64</v>
      </c>
      <c r="P1008">
        <v>70.900000000000006</v>
      </c>
      <c r="Q1008" t="s">
        <v>56</v>
      </c>
      <c r="R1008">
        <v>57</v>
      </c>
      <c r="S1008">
        <v>45</v>
      </c>
      <c r="T1008">
        <v>11.8</v>
      </c>
      <c r="U1008">
        <v>9.6999999999999993</v>
      </c>
      <c r="V1008">
        <v>5.9</v>
      </c>
      <c r="W1008">
        <v>3.4</v>
      </c>
      <c r="X1008" t="s">
        <v>66</v>
      </c>
    </row>
    <row r="1009" spans="2:24" x14ac:dyDescent="0.3">
      <c r="B1009" t="s">
        <v>1102</v>
      </c>
      <c r="C1009" t="s">
        <v>71</v>
      </c>
      <c r="D1009" t="s">
        <v>5</v>
      </c>
      <c r="E1009" t="s">
        <v>19</v>
      </c>
      <c r="F1009" t="s">
        <v>10</v>
      </c>
      <c r="G1009" t="s">
        <v>74</v>
      </c>
      <c r="H1009">
        <v>2026</v>
      </c>
      <c r="I1009">
        <v>2023</v>
      </c>
      <c r="J1009">
        <v>6.6</v>
      </c>
      <c r="K1009" t="s">
        <v>25</v>
      </c>
      <c r="L1009">
        <v>5</v>
      </c>
      <c r="M1009">
        <v>4</v>
      </c>
      <c r="N1009">
        <v>2279</v>
      </c>
      <c r="O1009" t="s">
        <v>64</v>
      </c>
      <c r="P1009">
        <v>87.1</v>
      </c>
      <c r="Q1009" t="s">
        <v>86</v>
      </c>
      <c r="R1009">
        <v>81.099999999999994</v>
      </c>
      <c r="S1009">
        <v>-16.2</v>
      </c>
      <c r="T1009">
        <v>-1.5</v>
      </c>
      <c r="U1009">
        <v>3.2</v>
      </c>
      <c r="V1009">
        <v>4.4000000000000004</v>
      </c>
      <c r="W1009">
        <v>5.4</v>
      </c>
      <c r="X1009" t="s">
        <v>57</v>
      </c>
    </row>
    <row r="1010" spans="2:24" x14ac:dyDescent="0.3">
      <c r="B1010" t="s">
        <v>1103</v>
      </c>
      <c r="C1010" t="s">
        <v>68</v>
      </c>
      <c r="D1010" t="s">
        <v>8</v>
      </c>
      <c r="E1010" t="s">
        <v>14</v>
      </c>
      <c r="F1010" t="s">
        <v>11</v>
      </c>
      <c r="G1010" t="s">
        <v>63</v>
      </c>
      <c r="H1010">
        <v>2026</v>
      </c>
      <c r="I1010">
        <v>3579</v>
      </c>
      <c r="J1010">
        <v>1.8</v>
      </c>
      <c r="K1010" t="s">
        <v>21</v>
      </c>
      <c r="L1010">
        <v>4.0999999999999996</v>
      </c>
      <c r="M1010">
        <v>8.3000000000000007</v>
      </c>
      <c r="N1010">
        <v>1314</v>
      </c>
      <c r="O1010" t="s">
        <v>64</v>
      </c>
      <c r="P1010">
        <v>33.200000000000003</v>
      </c>
      <c r="Q1010" t="s">
        <v>65</v>
      </c>
      <c r="R1010">
        <v>-13.8</v>
      </c>
      <c r="S1010">
        <v>19.100000000000001</v>
      </c>
      <c r="T1010">
        <v>2.2999999999999998</v>
      </c>
      <c r="U1010">
        <v>6.1</v>
      </c>
      <c r="V1010">
        <v>6.3</v>
      </c>
      <c r="W1010">
        <v>6.9</v>
      </c>
      <c r="X1010" t="s">
        <v>116</v>
      </c>
    </row>
    <row r="1011" spans="2:24" x14ac:dyDescent="0.3">
      <c r="B1011" t="s">
        <v>1104</v>
      </c>
      <c r="C1011" t="s">
        <v>53</v>
      </c>
      <c r="D1011" t="s">
        <v>7</v>
      </c>
      <c r="E1011" t="s">
        <v>19</v>
      </c>
      <c r="F1011" t="s">
        <v>11</v>
      </c>
      <c r="G1011" t="s">
        <v>74</v>
      </c>
      <c r="H1011">
        <v>2026</v>
      </c>
      <c r="I1011">
        <v>8307</v>
      </c>
      <c r="J1011">
        <v>15.6</v>
      </c>
      <c r="K1011" t="s">
        <v>22</v>
      </c>
      <c r="L1011">
        <v>4.0999999999999996</v>
      </c>
      <c r="M1011">
        <v>4.5999999999999996</v>
      </c>
      <c r="N1011">
        <v>705</v>
      </c>
      <c r="O1011" t="s">
        <v>64</v>
      </c>
      <c r="P1011">
        <v>40.9</v>
      </c>
      <c r="Q1011" t="s">
        <v>125</v>
      </c>
      <c r="R1011">
        <v>17</v>
      </c>
      <c r="S1011">
        <v>50.7</v>
      </c>
      <c r="T1011">
        <v>8</v>
      </c>
      <c r="U1011">
        <v>3.6</v>
      </c>
      <c r="V1011">
        <v>6.3</v>
      </c>
      <c r="W1011">
        <v>7.1</v>
      </c>
      <c r="X1011" t="s">
        <v>66</v>
      </c>
    </row>
    <row r="1012" spans="2:24" x14ac:dyDescent="0.3">
      <c r="B1012" t="s">
        <v>1105</v>
      </c>
      <c r="C1012" t="s">
        <v>53</v>
      </c>
      <c r="D1012" t="s">
        <v>7</v>
      </c>
      <c r="E1012" t="s">
        <v>14</v>
      </c>
      <c r="F1012" t="s">
        <v>12</v>
      </c>
      <c r="G1012" t="s">
        <v>69</v>
      </c>
      <c r="H1012">
        <v>2024</v>
      </c>
      <c r="I1012">
        <v>4193</v>
      </c>
      <c r="J1012">
        <v>3.5</v>
      </c>
      <c r="K1012" t="s">
        <v>24</v>
      </c>
      <c r="L1012">
        <v>1.7</v>
      </c>
      <c r="M1012">
        <v>3.9</v>
      </c>
      <c r="N1012">
        <v>4862</v>
      </c>
      <c r="O1012" t="s">
        <v>64</v>
      </c>
      <c r="P1012">
        <v>72.5</v>
      </c>
      <c r="Q1012" t="s">
        <v>88</v>
      </c>
      <c r="R1012">
        <v>-0.3</v>
      </c>
      <c r="S1012">
        <v>-24.6</v>
      </c>
      <c r="T1012">
        <v>-9.6999999999999993</v>
      </c>
      <c r="U1012">
        <v>1.5</v>
      </c>
      <c r="V1012">
        <v>6</v>
      </c>
      <c r="W1012">
        <v>6.6</v>
      </c>
      <c r="X1012" t="s">
        <v>116</v>
      </c>
    </row>
    <row r="1013" spans="2:24" x14ac:dyDescent="0.3">
      <c r="B1013" t="s">
        <v>1106</v>
      </c>
      <c r="C1013" t="s">
        <v>106</v>
      </c>
      <c r="D1013" t="s">
        <v>3</v>
      </c>
      <c r="E1013" t="s">
        <v>16</v>
      </c>
      <c r="F1013" t="s">
        <v>9</v>
      </c>
      <c r="G1013" t="s">
        <v>104</v>
      </c>
      <c r="H1013">
        <v>2026</v>
      </c>
      <c r="I1013">
        <v>710</v>
      </c>
      <c r="J1013">
        <v>7.2</v>
      </c>
      <c r="K1013" t="s">
        <v>22</v>
      </c>
      <c r="L1013">
        <v>4</v>
      </c>
      <c r="M1013">
        <v>3.7</v>
      </c>
      <c r="N1013">
        <v>1599</v>
      </c>
      <c r="O1013" t="s">
        <v>64</v>
      </c>
      <c r="P1013">
        <v>20.2</v>
      </c>
      <c r="Q1013" t="s">
        <v>84</v>
      </c>
      <c r="R1013">
        <v>-9.6</v>
      </c>
      <c r="S1013">
        <v>21.7</v>
      </c>
      <c r="T1013">
        <v>14</v>
      </c>
      <c r="U1013">
        <v>3.7</v>
      </c>
      <c r="V1013">
        <v>8.8000000000000007</v>
      </c>
      <c r="W1013">
        <v>6.8</v>
      </c>
      <c r="X1013" t="s">
        <v>116</v>
      </c>
    </row>
    <row r="1014" spans="2:24" x14ac:dyDescent="0.3">
      <c r="B1014" t="s">
        <v>1107</v>
      </c>
      <c r="C1014" t="s">
        <v>81</v>
      </c>
      <c r="D1014" t="s">
        <v>5</v>
      </c>
      <c r="E1014" t="s">
        <v>17</v>
      </c>
      <c r="F1014" t="s">
        <v>10</v>
      </c>
      <c r="G1014" t="s">
        <v>98</v>
      </c>
      <c r="H1014">
        <v>2025</v>
      </c>
      <c r="I1014">
        <v>828</v>
      </c>
      <c r="J1014">
        <v>2.6</v>
      </c>
      <c r="K1014" t="s">
        <v>25</v>
      </c>
      <c r="L1014">
        <v>1.4</v>
      </c>
      <c r="M1014">
        <v>1</v>
      </c>
      <c r="N1014">
        <v>2320</v>
      </c>
      <c r="O1014" t="s">
        <v>64</v>
      </c>
      <c r="P1014">
        <v>53.6</v>
      </c>
      <c r="Q1014" t="s">
        <v>56</v>
      </c>
      <c r="R1014">
        <v>57.7</v>
      </c>
      <c r="S1014">
        <v>31.3</v>
      </c>
      <c r="T1014">
        <v>11.5</v>
      </c>
      <c r="U1014">
        <v>1.6</v>
      </c>
      <c r="V1014">
        <v>6.5</v>
      </c>
      <c r="W1014">
        <v>7.5</v>
      </c>
      <c r="X1014" t="s">
        <v>57</v>
      </c>
    </row>
    <row r="1015" spans="2:24" x14ac:dyDescent="0.3">
      <c r="B1015" t="s">
        <v>1108</v>
      </c>
      <c r="C1015" t="s">
        <v>90</v>
      </c>
      <c r="D1015" t="s">
        <v>2</v>
      </c>
      <c r="E1015" t="s">
        <v>15</v>
      </c>
      <c r="F1015" t="s">
        <v>12</v>
      </c>
      <c r="G1015" t="s">
        <v>74</v>
      </c>
      <c r="H1015">
        <v>2025</v>
      </c>
      <c r="I1015">
        <v>2418</v>
      </c>
      <c r="J1015">
        <v>9.6999999999999993</v>
      </c>
      <c r="K1015" t="s">
        <v>25</v>
      </c>
      <c r="L1015">
        <v>4.9000000000000004</v>
      </c>
      <c r="M1015">
        <v>4.5999999999999996</v>
      </c>
      <c r="N1015">
        <v>5993</v>
      </c>
      <c r="O1015" t="s">
        <v>55</v>
      </c>
      <c r="P1015">
        <v>24</v>
      </c>
      <c r="Q1015" t="s">
        <v>56</v>
      </c>
      <c r="R1015">
        <v>0.9</v>
      </c>
      <c r="S1015">
        <v>60</v>
      </c>
      <c r="T1015">
        <v>33.9</v>
      </c>
      <c r="U1015">
        <v>6.9</v>
      </c>
      <c r="V1015">
        <v>7.5</v>
      </c>
      <c r="W1015">
        <v>8.5</v>
      </c>
      <c r="X1015" t="s">
        <v>57</v>
      </c>
    </row>
    <row r="1016" spans="2:24" x14ac:dyDescent="0.3">
      <c r="B1016" t="s">
        <v>1109</v>
      </c>
      <c r="C1016" t="s">
        <v>142</v>
      </c>
      <c r="D1016" t="s">
        <v>2</v>
      </c>
      <c r="E1016" t="s">
        <v>19</v>
      </c>
      <c r="F1016" t="s">
        <v>9</v>
      </c>
      <c r="G1016" t="s">
        <v>112</v>
      </c>
      <c r="H1016">
        <v>2025</v>
      </c>
      <c r="I1016">
        <v>14679</v>
      </c>
      <c r="J1016">
        <v>33.9</v>
      </c>
      <c r="K1016" t="s">
        <v>21</v>
      </c>
      <c r="L1016">
        <v>2.8</v>
      </c>
      <c r="M1016">
        <v>9.4</v>
      </c>
      <c r="N1016">
        <v>2087</v>
      </c>
      <c r="O1016" t="s">
        <v>75</v>
      </c>
      <c r="P1016">
        <v>15.5</v>
      </c>
      <c r="Q1016" t="s">
        <v>76</v>
      </c>
      <c r="R1016">
        <v>9.1999999999999993</v>
      </c>
      <c r="S1016">
        <v>14.6</v>
      </c>
      <c r="T1016">
        <v>6</v>
      </c>
      <c r="U1016">
        <v>3.4</v>
      </c>
      <c r="V1016">
        <v>5.0999999999999996</v>
      </c>
      <c r="W1016">
        <v>3.5</v>
      </c>
      <c r="X1016" t="s">
        <v>66</v>
      </c>
    </row>
    <row r="1017" spans="2:24" x14ac:dyDescent="0.3">
      <c r="B1017" t="s">
        <v>1110</v>
      </c>
      <c r="C1017" t="s">
        <v>159</v>
      </c>
      <c r="D1017" t="s">
        <v>7</v>
      </c>
      <c r="E1017" t="s">
        <v>19</v>
      </c>
      <c r="F1017" t="s">
        <v>12</v>
      </c>
      <c r="G1017" t="s">
        <v>115</v>
      </c>
      <c r="H1017">
        <v>2024</v>
      </c>
      <c r="I1017">
        <v>135</v>
      </c>
      <c r="J1017">
        <v>1.3</v>
      </c>
      <c r="K1017" t="s">
        <v>21</v>
      </c>
      <c r="L1017">
        <v>1.8</v>
      </c>
      <c r="M1017">
        <v>1</v>
      </c>
      <c r="N1017">
        <v>5696</v>
      </c>
      <c r="O1017" t="s">
        <v>55</v>
      </c>
      <c r="P1017">
        <v>53.7</v>
      </c>
      <c r="Q1017" t="s">
        <v>86</v>
      </c>
      <c r="R1017">
        <v>6.6</v>
      </c>
      <c r="S1017">
        <v>-10.5</v>
      </c>
      <c r="T1017">
        <v>-4.5</v>
      </c>
      <c r="U1017">
        <v>3</v>
      </c>
      <c r="V1017">
        <v>6.3</v>
      </c>
      <c r="W1017">
        <v>7.2</v>
      </c>
      <c r="X1017" t="s">
        <v>57</v>
      </c>
    </row>
    <row r="1018" spans="2:24" x14ac:dyDescent="0.3">
      <c r="B1018" t="s">
        <v>1111</v>
      </c>
      <c r="C1018" t="s">
        <v>97</v>
      </c>
      <c r="D1018" t="s">
        <v>3</v>
      </c>
      <c r="E1018" t="s">
        <v>19</v>
      </c>
      <c r="F1018" t="s">
        <v>9</v>
      </c>
      <c r="G1018" t="s">
        <v>74</v>
      </c>
      <c r="H1018">
        <v>2026</v>
      </c>
      <c r="I1018">
        <v>992</v>
      </c>
      <c r="J1018">
        <v>2.9</v>
      </c>
      <c r="K1018" t="s">
        <v>24</v>
      </c>
      <c r="L1018">
        <v>12.9</v>
      </c>
      <c r="M1018">
        <v>7.5</v>
      </c>
      <c r="N1018">
        <v>3328</v>
      </c>
      <c r="O1018" t="s">
        <v>55</v>
      </c>
      <c r="P1018">
        <v>19.100000000000001</v>
      </c>
      <c r="Q1018" t="s">
        <v>84</v>
      </c>
      <c r="R1018">
        <v>30.2</v>
      </c>
      <c r="S1018">
        <v>48.7</v>
      </c>
      <c r="T1018">
        <v>22.8</v>
      </c>
      <c r="U1018">
        <v>7.9</v>
      </c>
      <c r="V1018">
        <v>9.6999999999999993</v>
      </c>
      <c r="W1018">
        <v>7.8</v>
      </c>
      <c r="X1018" t="s">
        <v>57</v>
      </c>
    </row>
    <row r="1019" spans="2:24" x14ac:dyDescent="0.3">
      <c r="B1019" t="s">
        <v>1112</v>
      </c>
      <c r="C1019" t="s">
        <v>68</v>
      </c>
      <c r="D1019" t="s">
        <v>8</v>
      </c>
      <c r="E1019" t="s">
        <v>19</v>
      </c>
      <c r="F1019" t="s">
        <v>11</v>
      </c>
      <c r="G1019" t="s">
        <v>60</v>
      </c>
      <c r="H1019">
        <v>2025</v>
      </c>
      <c r="I1019">
        <v>3039</v>
      </c>
      <c r="J1019">
        <v>4.0999999999999996</v>
      </c>
      <c r="K1019" t="s">
        <v>22</v>
      </c>
      <c r="L1019">
        <v>3.9</v>
      </c>
      <c r="M1019">
        <v>4.0999999999999996</v>
      </c>
      <c r="N1019">
        <v>1924</v>
      </c>
      <c r="O1019" t="s">
        <v>64</v>
      </c>
      <c r="P1019">
        <v>76</v>
      </c>
      <c r="Q1019" t="s">
        <v>79</v>
      </c>
      <c r="R1019">
        <v>7.1</v>
      </c>
      <c r="S1019">
        <v>57.8</v>
      </c>
      <c r="T1019">
        <v>15.1</v>
      </c>
      <c r="U1019">
        <v>5.7</v>
      </c>
      <c r="V1019">
        <v>9.3000000000000007</v>
      </c>
      <c r="W1019">
        <v>9.4</v>
      </c>
      <c r="X1019" t="s">
        <v>116</v>
      </c>
    </row>
    <row r="1020" spans="2:24" x14ac:dyDescent="0.3">
      <c r="B1020" t="s">
        <v>1113</v>
      </c>
      <c r="C1020" t="s">
        <v>142</v>
      </c>
      <c r="D1020" t="s">
        <v>2</v>
      </c>
      <c r="E1020" t="s">
        <v>19</v>
      </c>
      <c r="F1020" t="s">
        <v>12</v>
      </c>
      <c r="G1020" t="s">
        <v>60</v>
      </c>
      <c r="H1020">
        <v>2025</v>
      </c>
      <c r="I1020">
        <v>1049</v>
      </c>
      <c r="J1020">
        <v>4.4000000000000004</v>
      </c>
      <c r="K1020" t="s">
        <v>23</v>
      </c>
      <c r="L1020">
        <v>8.5</v>
      </c>
      <c r="M1020">
        <v>3.3</v>
      </c>
      <c r="N1020">
        <v>6758</v>
      </c>
      <c r="O1020" t="s">
        <v>55</v>
      </c>
      <c r="P1020">
        <v>64.2</v>
      </c>
      <c r="Q1020" t="s">
        <v>56</v>
      </c>
      <c r="R1020">
        <v>63.8</v>
      </c>
      <c r="S1020">
        <v>43.9</v>
      </c>
      <c r="T1020">
        <v>14.7</v>
      </c>
      <c r="U1020">
        <v>5.9</v>
      </c>
      <c r="V1020">
        <v>8.1999999999999993</v>
      </c>
      <c r="W1020">
        <v>7.9</v>
      </c>
      <c r="X1020" t="s">
        <v>57</v>
      </c>
    </row>
    <row r="1021" spans="2:24" x14ac:dyDescent="0.3">
      <c r="B1021" t="s">
        <v>1114</v>
      </c>
      <c r="C1021" t="s">
        <v>90</v>
      </c>
      <c r="D1021" t="s">
        <v>5</v>
      </c>
      <c r="E1021" t="s">
        <v>19</v>
      </c>
      <c r="F1021" t="s">
        <v>9</v>
      </c>
      <c r="G1021" t="s">
        <v>112</v>
      </c>
      <c r="H1021">
        <v>2026</v>
      </c>
      <c r="I1021">
        <v>863</v>
      </c>
      <c r="J1021">
        <v>8.4</v>
      </c>
      <c r="K1021" t="s">
        <v>22</v>
      </c>
      <c r="L1021">
        <v>3</v>
      </c>
      <c r="M1021">
        <v>4.0999999999999996</v>
      </c>
      <c r="N1021">
        <v>1408</v>
      </c>
      <c r="O1021" t="s">
        <v>64</v>
      </c>
      <c r="P1021">
        <v>82.1</v>
      </c>
      <c r="Q1021" t="s">
        <v>84</v>
      </c>
      <c r="R1021">
        <v>-6.5</v>
      </c>
      <c r="S1021">
        <v>-17.899999999999999</v>
      </c>
      <c r="T1021">
        <v>0.3</v>
      </c>
      <c r="U1021">
        <v>2.7</v>
      </c>
      <c r="V1021">
        <v>5</v>
      </c>
      <c r="W1021">
        <v>5</v>
      </c>
      <c r="X1021" t="s">
        <v>57</v>
      </c>
    </row>
    <row r="1022" spans="2:24" x14ac:dyDescent="0.3">
      <c r="B1022" t="s">
        <v>1115</v>
      </c>
      <c r="C1022" t="s">
        <v>62</v>
      </c>
      <c r="D1022" t="s">
        <v>2</v>
      </c>
      <c r="E1022" t="s">
        <v>16</v>
      </c>
      <c r="F1022" t="s">
        <v>12</v>
      </c>
      <c r="G1022" t="s">
        <v>101</v>
      </c>
      <c r="H1022">
        <v>2026</v>
      </c>
      <c r="I1022">
        <v>1680</v>
      </c>
      <c r="J1022">
        <v>3.5</v>
      </c>
      <c r="K1022" t="s">
        <v>22</v>
      </c>
      <c r="L1022">
        <v>4.3</v>
      </c>
      <c r="M1022">
        <v>5.0999999999999996</v>
      </c>
      <c r="N1022">
        <v>3276</v>
      </c>
      <c r="O1022" t="s">
        <v>55</v>
      </c>
      <c r="P1022">
        <v>43.6</v>
      </c>
      <c r="Q1022" t="s">
        <v>56</v>
      </c>
      <c r="R1022">
        <v>13.6</v>
      </c>
      <c r="S1022">
        <v>52.1</v>
      </c>
      <c r="T1022">
        <v>13</v>
      </c>
      <c r="U1022">
        <v>4.0999999999999996</v>
      </c>
      <c r="V1022">
        <v>10</v>
      </c>
      <c r="W1022">
        <v>8.5</v>
      </c>
      <c r="X1022" t="s">
        <v>57</v>
      </c>
    </row>
    <row r="1023" spans="2:24" x14ac:dyDescent="0.3">
      <c r="B1023" t="s">
        <v>1116</v>
      </c>
      <c r="C1023" t="s">
        <v>73</v>
      </c>
      <c r="D1023" t="s">
        <v>2</v>
      </c>
      <c r="E1023" t="s">
        <v>17</v>
      </c>
      <c r="F1023" t="s">
        <v>9</v>
      </c>
      <c r="G1023" t="s">
        <v>63</v>
      </c>
      <c r="H1023">
        <v>2026</v>
      </c>
      <c r="I1023">
        <v>1891</v>
      </c>
      <c r="J1023">
        <v>12.9</v>
      </c>
      <c r="K1023" t="s">
        <v>24</v>
      </c>
      <c r="L1023">
        <v>7.3</v>
      </c>
      <c r="M1023">
        <v>10</v>
      </c>
      <c r="N1023">
        <v>5350</v>
      </c>
      <c r="O1023" t="s">
        <v>55</v>
      </c>
      <c r="P1023">
        <v>69.900000000000006</v>
      </c>
      <c r="Q1023" t="s">
        <v>56</v>
      </c>
      <c r="R1023">
        <v>-19.100000000000001</v>
      </c>
      <c r="S1023">
        <v>-6</v>
      </c>
      <c r="T1023">
        <v>1.4</v>
      </c>
      <c r="U1023">
        <v>7.1</v>
      </c>
      <c r="V1023">
        <v>4.8</v>
      </c>
      <c r="W1023">
        <v>4.4000000000000004</v>
      </c>
      <c r="X1023" t="s">
        <v>116</v>
      </c>
    </row>
    <row r="1024" spans="2:24" x14ac:dyDescent="0.3">
      <c r="B1024" t="s">
        <v>1117</v>
      </c>
      <c r="C1024" t="s">
        <v>90</v>
      </c>
      <c r="D1024" t="s">
        <v>2</v>
      </c>
      <c r="E1024" t="s">
        <v>18</v>
      </c>
      <c r="F1024" t="s">
        <v>10</v>
      </c>
      <c r="G1024" t="s">
        <v>115</v>
      </c>
      <c r="H1024">
        <v>2026</v>
      </c>
      <c r="I1024">
        <v>16702</v>
      </c>
      <c r="J1024">
        <v>16</v>
      </c>
      <c r="K1024" t="s">
        <v>23</v>
      </c>
      <c r="L1024">
        <v>1.4</v>
      </c>
      <c r="M1024">
        <v>5</v>
      </c>
      <c r="N1024">
        <v>2394</v>
      </c>
      <c r="O1024" t="s">
        <v>64</v>
      </c>
      <c r="P1024">
        <v>88.6</v>
      </c>
      <c r="Q1024" t="s">
        <v>56</v>
      </c>
      <c r="R1024">
        <v>-30.6</v>
      </c>
      <c r="S1024">
        <v>8.6</v>
      </c>
      <c r="T1024">
        <v>-7.5</v>
      </c>
      <c r="U1024">
        <v>2</v>
      </c>
      <c r="V1024">
        <v>7.3</v>
      </c>
      <c r="W1024">
        <v>5.7</v>
      </c>
      <c r="X1024" t="s">
        <v>66</v>
      </c>
    </row>
    <row r="1025" spans="2:24" x14ac:dyDescent="0.3">
      <c r="B1025" t="s">
        <v>1118</v>
      </c>
      <c r="C1025" t="s">
        <v>106</v>
      </c>
      <c r="D1025" t="s">
        <v>3</v>
      </c>
      <c r="E1025" t="s">
        <v>16</v>
      </c>
      <c r="F1025" t="s">
        <v>9</v>
      </c>
      <c r="G1025" t="s">
        <v>78</v>
      </c>
      <c r="H1025">
        <v>2026</v>
      </c>
      <c r="I1025">
        <v>2615</v>
      </c>
      <c r="J1025">
        <v>3.9</v>
      </c>
      <c r="K1025" t="s">
        <v>23</v>
      </c>
      <c r="L1025">
        <v>1.2</v>
      </c>
      <c r="M1025">
        <v>1.1000000000000001</v>
      </c>
      <c r="N1025">
        <v>5959</v>
      </c>
      <c r="O1025" t="s">
        <v>55</v>
      </c>
      <c r="P1025">
        <v>70.5</v>
      </c>
      <c r="Q1025" t="s">
        <v>76</v>
      </c>
      <c r="R1025">
        <v>24.4</v>
      </c>
      <c r="S1025">
        <v>-11.6</v>
      </c>
      <c r="T1025">
        <v>-5.7</v>
      </c>
      <c r="U1025">
        <v>1.3</v>
      </c>
      <c r="V1025">
        <v>8.1999999999999993</v>
      </c>
      <c r="W1025">
        <v>6.7</v>
      </c>
      <c r="X1025" t="s">
        <v>116</v>
      </c>
    </row>
    <row r="1026" spans="2:24" x14ac:dyDescent="0.3">
      <c r="B1026" t="s">
        <v>1119</v>
      </c>
      <c r="C1026" t="s">
        <v>73</v>
      </c>
      <c r="D1026" t="s">
        <v>3</v>
      </c>
      <c r="E1026" t="s">
        <v>15</v>
      </c>
      <c r="F1026" t="s">
        <v>11</v>
      </c>
      <c r="G1026" t="s">
        <v>74</v>
      </c>
      <c r="H1026">
        <v>2025</v>
      </c>
      <c r="I1026">
        <v>2365</v>
      </c>
      <c r="J1026">
        <v>14.3</v>
      </c>
      <c r="K1026" t="s">
        <v>23</v>
      </c>
      <c r="L1026">
        <v>5.9</v>
      </c>
      <c r="M1026">
        <v>9.3000000000000007</v>
      </c>
      <c r="N1026">
        <v>3916</v>
      </c>
      <c r="O1026" t="s">
        <v>64</v>
      </c>
      <c r="P1026">
        <v>56.6</v>
      </c>
      <c r="Q1026" t="s">
        <v>76</v>
      </c>
      <c r="R1026">
        <v>41.6</v>
      </c>
      <c r="S1026">
        <v>52.3</v>
      </c>
      <c r="T1026">
        <v>17.100000000000001</v>
      </c>
      <c r="U1026">
        <v>4.8</v>
      </c>
      <c r="V1026">
        <v>9.1999999999999993</v>
      </c>
      <c r="W1026">
        <v>7.2</v>
      </c>
      <c r="X1026" t="s">
        <v>116</v>
      </c>
    </row>
    <row r="1027" spans="2:24" x14ac:dyDescent="0.3">
      <c r="B1027" t="s">
        <v>1120</v>
      </c>
      <c r="C1027" t="s">
        <v>137</v>
      </c>
      <c r="D1027" t="s">
        <v>4</v>
      </c>
      <c r="E1027" t="s">
        <v>19</v>
      </c>
      <c r="F1027" t="s">
        <v>12</v>
      </c>
      <c r="G1027" t="s">
        <v>63</v>
      </c>
      <c r="H1027">
        <v>2024</v>
      </c>
      <c r="I1027">
        <v>1676</v>
      </c>
      <c r="J1027">
        <v>1.3</v>
      </c>
      <c r="K1027" t="s">
        <v>21</v>
      </c>
      <c r="L1027">
        <v>1.8</v>
      </c>
      <c r="M1027">
        <v>2.2999999999999998</v>
      </c>
      <c r="N1027">
        <v>3163</v>
      </c>
      <c r="O1027" t="s">
        <v>64</v>
      </c>
      <c r="P1027">
        <v>47.2</v>
      </c>
      <c r="Q1027" t="s">
        <v>84</v>
      </c>
      <c r="R1027">
        <v>-8.6</v>
      </c>
      <c r="S1027">
        <v>53.6</v>
      </c>
      <c r="T1027">
        <v>12.6</v>
      </c>
      <c r="U1027">
        <v>1.8</v>
      </c>
      <c r="V1027">
        <v>10</v>
      </c>
      <c r="W1027">
        <v>9.5</v>
      </c>
      <c r="X1027" t="s">
        <v>57</v>
      </c>
    </row>
    <row r="1028" spans="2:24" x14ac:dyDescent="0.3">
      <c r="B1028" t="s">
        <v>1121</v>
      </c>
      <c r="C1028" t="s">
        <v>106</v>
      </c>
      <c r="D1028" t="s">
        <v>8</v>
      </c>
      <c r="E1028" t="s">
        <v>17</v>
      </c>
      <c r="F1028" t="s">
        <v>10</v>
      </c>
      <c r="G1028" t="s">
        <v>115</v>
      </c>
      <c r="H1028">
        <v>2024</v>
      </c>
      <c r="I1028">
        <v>4056</v>
      </c>
      <c r="J1028">
        <v>16.600000000000001</v>
      </c>
      <c r="K1028" t="s">
        <v>21</v>
      </c>
      <c r="L1028">
        <v>11.1</v>
      </c>
      <c r="M1028">
        <v>10</v>
      </c>
      <c r="N1028">
        <v>709</v>
      </c>
      <c r="O1028" t="s">
        <v>64</v>
      </c>
      <c r="P1028">
        <v>37.4</v>
      </c>
      <c r="Q1028" t="s">
        <v>79</v>
      </c>
      <c r="R1028">
        <v>-44</v>
      </c>
      <c r="S1028">
        <v>31.4</v>
      </c>
      <c r="T1028">
        <v>20.7</v>
      </c>
      <c r="U1028">
        <v>9.6999999999999993</v>
      </c>
      <c r="V1028">
        <v>6</v>
      </c>
      <c r="W1028">
        <v>4.9000000000000004</v>
      </c>
      <c r="X1028" t="s">
        <v>116</v>
      </c>
    </row>
    <row r="1029" spans="2:24" x14ac:dyDescent="0.3">
      <c r="B1029" t="s">
        <v>1122</v>
      </c>
      <c r="C1029" t="s">
        <v>137</v>
      </c>
      <c r="D1029" t="s">
        <v>3</v>
      </c>
      <c r="E1029" t="s">
        <v>17</v>
      </c>
      <c r="F1029" t="s">
        <v>9</v>
      </c>
      <c r="G1029" t="s">
        <v>63</v>
      </c>
      <c r="H1029">
        <v>2024</v>
      </c>
      <c r="I1029">
        <v>1143</v>
      </c>
      <c r="J1029">
        <v>2.1</v>
      </c>
      <c r="K1029" t="s">
        <v>24</v>
      </c>
      <c r="L1029">
        <v>8.3000000000000007</v>
      </c>
      <c r="M1029">
        <v>9.3000000000000007</v>
      </c>
      <c r="N1029">
        <v>2983</v>
      </c>
      <c r="O1029" t="s">
        <v>64</v>
      </c>
      <c r="P1029">
        <v>56.6</v>
      </c>
      <c r="Q1029" t="s">
        <v>88</v>
      </c>
      <c r="R1029">
        <v>-9.4</v>
      </c>
      <c r="S1029">
        <v>55.9</v>
      </c>
      <c r="T1029">
        <v>33.200000000000003</v>
      </c>
      <c r="U1029">
        <v>6.6</v>
      </c>
      <c r="V1029">
        <v>7</v>
      </c>
      <c r="W1029">
        <v>8.4</v>
      </c>
      <c r="X1029" t="s">
        <v>116</v>
      </c>
    </row>
    <row r="1030" spans="2:24" x14ac:dyDescent="0.3">
      <c r="B1030" t="s">
        <v>1123</v>
      </c>
      <c r="C1030" t="s">
        <v>71</v>
      </c>
      <c r="D1030" t="s">
        <v>5</v>
      </c>
      <c r="E1030" t="s">
        <v>15</v>
      </c>
      <c r="F1030" t="s">
        <v>12</v>
      </c>
      <c r="G1030" t="s">
        <v>54</v>
      </c>
      <c r="H1030">
        <v>2025</v>
      </c>
      <c r="I1030">
        <v>1449</v>
      </c>
      <c r="J1030">
        <v>0.3</v>
      </c>
      <c r="K1030" t="s">
        <v>23</v>
      </c>
      <c r="L1030">
        <v>1.6</v>
      </c>
      <c r="M1030">
        <v>2.9</v>
      </c>
      <c r="N1030">
        <v>5870</v>
      </c>
      <c r="O1030" t="s">
        <v>55</v>
      </c>
      <c r="P1030">
        <v>86.4</v>
      </c>
      <c r="Q1030" t="s">
        <v>65</v>
      </c>
      <c r="R1030">
        <v>-32.4</v>
      </c>
      <c r="S1030">
        <v>56.8</v>
      </c>
      <c r="T1030">
        <v>28</v>
      </c>
      <c r="U1030">
        <v>1.5</v>
      </c>
      <c r="V1030">
        <v>8</v>
      </c>
      <c r="W1030">
        <v>8.6999999999999993</v>
      </c>
      <c r="X1030" t="s">
        <v>57</v>
      </c>
    </row>
    <row r="1031" spans="2:24" x14ac:dyDescent="0.3">
      <c r="B1031" t="s">
        <v>1124</v>
      </c>
      <c r="C1031" t="s">
        <v>142</v>
      </c>
      <c r="D1031" t="s">
        <v>8</v>
      </c>
      <c r="E1031" t="s">
        <v>14</v>
      </c>
      <c r="F1031" t="s">
        <v>11</v>
      </c>
      <c r="G1031" t="s">
        <v>98</v>
      </c>
      <c r="H1031">
        <v>2025</v>
      </c>
      <c r="I1031">
        <v>17141</v>
      </c>
      <c r="J1031">
        <v>31.9</v>
      </c>
      <c r="K1031" t="s">
        <v>22</v>
      </c>
      <c r="L1031">
        <v>9.1</v>
      </c>
      <c r="M1031">
        <v>10</v>
      </c>
      <c r="N1031">
        <v>1151</v>
      </c>
      <c r="O1031" t="s">
        <v>64</v>
      </c>
      <c r="P1031">
        <v>17.5</v>
      </c>
      <c r="Q1031" t="s">
        <v>56</v>
      </c>
      <c r="R1031">
        <v>58.4</v>
      </c>
      <c r="S1031">
        <v>43.3</v>
      </c>
      <c r="T1031">
        <v>10.1</v>
      </c>
      <c r="U1031">
        <v>9.6</v>
      </c>
      <c r="V1031">
        <v>4.0999999999999996</v>
      </c>
      <c r="W1031">
        <v>4.5999999999999996</v>
      </c>
      <c r="X1031" t="s">
        <v>66</v>
      </c>
    </row>
    <row r="1032" spans="2:24" x14ac:dyDescent="0.3">
      <c r="B1032" t="s">
        <v>1125</v>
      </c>
      <c r="C1032" t="s">
        <v>106</v>
      </c>
      <c r="D1032" t="s">
        <v>2</v>
      </c>
      <c r="E1032" t="s">
        <v>14</v>
      </c>
      <c r="F1032" t="s">
        <v>9</v>
      </c>
      <c r="G1032" t="s">
        <v>54</v>
      </c>
      <c r="H1032">
        <v>2026</v>
      </c>
      <c r="I1032">
        <v>2157</v>
      </c>
      <c r="J1032">
        <v>0.7</v>
      </c>
      <c r="K1032" t="s">
        <v>23</v>
      </c>
      <c r="L1032">
        <v>7.2</v>
      </c>
      <c r="M1032">
        <v>5.3</v>
      </c>
      <c r="N1032">
        <v>3176</v>
      </c>
      <c r="O1032" t="s">
        <v>55</v>
      </c>
      <c r="P1032">
        <v>80.599999999999994</v>
      </c>
      <c r="Q1032" t="s">
        <v>76</v>
      </c>
      <c r="R1032">
        <v>74</v>
      </c>
      <c r="S1032">
        <v>23</v>
      </c>
      <c r="T1032">
        <v>7.5</v>
      </c>
      <c r="U1032">
        <v>8.1999999999999993</v>
      </c>
      <c r="V1032">
        <v>5.8</v>
      </c>
      <c r="W1032">
        <v>8.4</v>
      </c>
      <c r="X1032" t="s">
        <v>57</v>
      </c>
    </row>
    <row r="1033" spans="2:24" x14ac:dyDescent="0.3">
      <c r="B1033" t="s">
        <v>1126</v>
      </c>
      <c r="C1033" t="s">
        <v>53</v>
      </c>
      <c r="D1033" t="s">
        <v>4</v>
      </c>
      <c r="E1033" t="s">
        <v>18</v>
      </c>
      <c r="F1033" t="s">
        <v>10</v>
      </c>
      <c r="G1033" t="s">
        <v>54</v>
      </c>
      <c r="H1033">
        <v>2025</v>
      </c>
      <c r="I1033">
        <v>8923</v>
      </c>
      <c r="J1033">
        <v>39.9</v>
      </c>
      <c r="K1033" t="s">
        <v>24</v>
      </c>
      <c r="L1033">
        <v>6</v>
      </c>
      <c r="M1033">
        <v>10</v>
      </c>
      <c r="N1033">
        <v>658</v>
      </c>
      <c r="O1033" t="s">
        <v>75</v>
      </c>
      <c r="P1033">
        <v>77.5</v>
      </c>
      <c r="Q1033" t="s">
        <v>56</v>
      </c>
      <c r="R1033">
        <v>79.7</v>
      </c>
      <c r="S1033">
        <v>3.1</v>
      </c>
      <c r="T1033">
        <v>-16.5</v>
      </c>
      <c r="U1033">
        <v>6.6</v>
      </c>
      <c r="V1033">
        <v>5.2</v>
      </c>
      <c r="W1033">
        <v>3</v>
      </c>
      <c r="X1033" t="s">
        <v>66</v>
      </c>
    </row>
    <row r="1034" spans="2:24" x14ac:dyDescent="0.3">
      <c r="B1034" t="s">
        <v>1127</v>
      </c>
      <c r="C1034" t="s">
        <v>68</v>
      </c>
      <c r="D1034" t="s">
        <v>8</v>
      </c>
      <c r="E1034" t="s">
        <v>16</v>
      </c>
      <c r="F1034" t="s">
        <v>10</v>
      </c>
      <c r="G1034" t="s">
        <v>69</v>
      </c>
      <c r="H1034">
        <v>2024</v>
      </c>
      <c r="I1034">
        <v>1565</v>
      </c>
      <c r="J1034">
        <v>7.1</v>
      </c>
      <c r="K1034" t="s">
        <v>22</v>
      </c>
      <c r="L1034">
        <v>2.2000000000000002</v>
      </c>
      <c r="M1034">
        <v>3.2</v>
      </c>
      <c r="N1034">
        <v>2134</v>
      </c>
      <c r="O1034" t="s">
        <v>64</v>
      </c>
      <c r="P1034">
        <v>63</v>
      </c>
      <c r="Q1034" t="s">
        <v>86</v>
      </c>
      <c r="R1034">
        <v>31.3</v>
      </c>
      <c r="S1034">
        <v>46.6</v>
      </c>
      <c r="T1034">
        <v>16.100000000000001</v>
      </c>
      <c r="U1034">
        <v>1.6</v>
      </c>
      <c r="V1034">
        <v>9</v>
      </c>
      <c r="W1034">
        <v>8.6</v>
      </c>
      <c r="X1034" t="s">
        <v>57</v>
      </c>
    </row>
    <row r="1035" spans="2:24" x14ac:dyDescent="0.3">
      <c r="B1035" t="s">
        <v>1128</v>
      </c>
      <c r="C1035" t="s">
        <v>106</v>
      </c>
      <c r="D1035" t="s">
        <v>3</v>
      </c>
      <c r="E1035" t="s">
        <v>16</v>
      </c>
      <c r="F1035" t="s">
        <v>12</v>
      </c>
      <c r="G1035" t="s">
        <v>112</v>
      </c>
      <c r="H1035">
        <v>2025</v>
      </c>
      <c r="I1035">
        <v>633</v>
      </c>
      <c r="J1035">
        <v>13.1</v>
      </c>
      <c r="K1035" t="s">
        <v>21</v>
      </c>
      <c r="L1035">
        <v>7</v>
      </c>
      <c r="M1035">
        <v>10</v>
      </c>
      <c r="N1035">
        <v>986</v>
      </c>
      <c r="O1035" t="s">
        <v>55</v>
      </c>
      <c r="P1035">
        <v>70.7</v>
      </c>
      <c r="Q1035" t="s">
        <v>125</v>
      </c>
      <c r="R1035">
        <v>-22.4</v>
      </c>
      <c r="S1035">
        <v>-6.7</v>
      </c>
      <c r="T1035">
        <v>-5.6</v>
      </c>
      <c r="U1035">
        <v>9.8000000000000007</v>
      </c>
      <c r="V1035">
        <v>5.9</v>
      </c>
      <c r="W1035">
        <v>4.2</v>
      </c>
      <c r="X1035" t="s">
        <v>116</v>
      </c>
    </row>
    <row r="1036" spans="2:24" x14ac:dyDescent="0.3">
      <c r="B1036" t="s">
        <v>1129</v>
      </c>
      <c r="C1036" t="s">
        <v>106</v>
      </c>
      <c r="D1036" t="s">
        <v>8</v>
      </c>
      <c r="E1036" t="s">
        <v>14</v>
      </c>
      <c r="F1036" t="s">
        <v>10</v>
      </c>
      <c r="G1036" t="s">
        <v>131</v>
      </c>
      <c r="H1036">
        <v>2024</v>
      </c>
      <c r="I1036">
        <v>1945</v>
      </c>
      <c r="J1036">
        <v>4.5999999999999996</v>
      </c>
      <c r="K1036" t="s">
        <v>21</v>
      </c>
      <c r="L1036">
        <v>11.7</v>
      </c>
      <c r="M1036">
        <v>10</v>
      </c>
      <c r="N1036">
        <v>1327</v>
      </c>
      <c r="O1036" t="s">
        <v>55</v>
      </c>
      <c r="P1036">
        <v>71.5</v>
      </c>
      <c r="Q1036" t="s">
        <v>125</v>
      </c>
      <c r="R1036">
        <v>25.6</v>
      </c>
      <c r="S1036">
        <v>52.2</v>
      </c>
      <c r="T1036">
        <v>13.6</v>
      </c>
      <c r="U1036">
        <v>7.4</v>
      </c>
      <c r="V1036">
        <v>7.1</v>
      </c>
      <c r="W1036">
        <v>7.7</v>
      </c>
      <c r="X1036" t="s">
        <v>116</v>
      </c>
    </row>
    <row r="1037" spans="2:24" x14ac:dyDescent="0.3">
      <c r="B1037" t="s">
        <v>1130</v>
      </c>
      <c r="C1037" t="s">
        <v>53</v>
      </c>
      <c r="D1037" t="s">
        <v>2</v>
      </c>
      <c r="E1037" t="s">
        <v>18</v>
      </c>
      <c r="F1037" t="s">
        <v>12</v>
      </c>
      <c r="G1037" t="s">
        <v>98</v>
      </c>
      <c r="H1037">
        <v>2026</v>
      </c>
      <c r="I1037">
        <v>3210</v>
      </c>
      <c r="J1037">
        <v>12.7</v>
      </c>
      <c r="K1037" t="s">
        <v>23</v>
      </c>
      <c r="L1037">
        <v>3</v>
      </c>
      <c r="M1037">
        <v>4.0999999999999996</v>
      </c>
      <c r="N1037">
        <v>2880</v>
      </c>
      <c r="O1037" t="s">
        <v>64</v>
      </c>
      <c r="P1037">
        <v>35.1</v>
      </c>
      <c r="Q1037" t="s">
        <v>56</v>
      </c>
      <c r="R1037">
        <v>14.3</v>
      </c>
      <c r="S1037">
        <v>-24.8</v>
      </c>
      <c r="T1037">
        <v>-7.8</v>
      </c>
      <c r="U1037">
        <v>2.6</v>
      </c>
      <c r="V1037">
        <v>6.8</v>
      </c>
      <c r="W1037">
        <v>5.0999999999999996</v>
      </c>
      <c r="X1037" t="s">
        <v>116</v>
      </c>
    </row>
    <row r="1038" spans="2:24" x14ac:dyDescent="0.3">
      <c r="B1038" t="s">
        <v>1131</v>
      </c>
      <c r="C1038" t="s">
        <v>59</v>
      </c>
      <c r="D1038" t="s">
        <v>4</v>
      </c>
      <c r="E1038" t="s">
        <v>14</v>
      </c>
      <c r="F1038" t="s">
        <v>11</v>
      </c>
      <c r="G1038" t="s">
        <v>63</v>
      </c>
      <c r="H1038">
        <v>2024</v>
      </c>
      <c r="I1038">
        <v>240</v>
      </c>
      <c r="J1038">
        <v>11.4</v>
      </c>
      <c r="K1038" t="s">
        <v>23</v>
      </c>
      <c r="L1038">
        <v>8.6999999999999993</v>
      </c>
      <c r="M1038">
        <v>10</v>
      </c>
      <c r="N1038">
        <v>4910</v>
      </c>
      <c r="O1038" t="s">
        <v>55</v>
      </c>
      <c r="P1038">
        <v>55.4</v>
      </c>
      <c r="Q1038" t="s">
        <v>88</v>
      </c>
      <c r="R1038">
        <v>0.3</v>
      </c>
      <c r="S1038">
        <v>3</v>
      </c>
      <c r="T1038">
        <v>9.6999999999999993</v>
      </c>
      <c r="U1038">
        <v>8.1</v>
      </c>
      <c r="V1038">
        <v>6.6</v>
      </c>
      <c r="W1038">
        <v>4.5999999999999996</v>
      </c>
      <c r="X1038" t="s">
        <v>116</v>
      </c>
    </row>
    <row r="1039" spans="2:24" x14ac:dyDescent="0.3">
      <c r="B1039" t="s">
        <v>1132</v>
      </c>
      <c r="C1039" t="s">
        <v>62</v>
      </c>
      <c r="D1039" t="s">
        <v>2</v>
      </c>
      <c r="E1039" t="s">
        <v>17</v>
      </c>
      <c r="F1039" t="s">
        <v>9</v>
      </c>
      <c r="G1039" t="s">
        <v>60</v>
      </c>
      <c r="H1039">
        <v>2025</v>
      </c>
      <c r="I1039">
        <v>927</v>
      </c>
      <c r="J1039">
        <v>8.1999999999999993</v>
      </c>
      <c r="K1039" t="s">
        <v>24</v>
      </c>
      <c r="L1039">
        <v>7.5</v>
      </c>
      <c r="M1039">
        <v>5.9</v>
      </c>
      <c r="N1039">
        <v>5247</v>
      </c>
      <c r="O1039" t="s">
        <v>55</v>
      </c>
      <c r="P1039">
        <v>78.099999999999994</v>
      </c>
      <c r="Q1039" t="s">
        <v>76</v>
      </c>
      <c r="R1039">
        <v>-15</v>
      </c>
      <c r="S1039">
        <v>28</v>
      </c>
      <c r="T1039">
        <v>11.5</v>
      </c>
      <c r="U1039">
        <v>5.2</v>
      </c>
      <c r="V1039">
        <v>6.2</v>
      </c>
      <c r="W1039">
        <v>7.6</v>
      </c>
      <c r="X1039" t="s">
        <v>57</v>
      </c>
    </row>
    <row r="1040" spans="2:24" x14ac:dyDescent="0.3">
      <c r="B1040" t="s">
        <v>1133</v>
      </c>
      <c r="C1040" t="s">
        <v>73</v>
      </c>
      <c r="D1040" t="s">
        <v>3</v>
      </c>
      <c r="E1040" t="s">
        <v>19</v>
      </c>
      <c r="F1040" t="s">
        <v>10</v>
      </c>
      <c r="G1040" t="s">
        <v>104</v>
      </c>
      <c r="H1040">
        <v>2025</v>
      </c>
      <c r="I1040">
        <v>14050</v>
      </c>
      <c r="J1040">
        <v>37.200000000000003</v>
      </c>
      <c r="K1040" t="s">
        <v>23</v>
      </c>
      <c r="L1040">
        <v>5.9</v>
      </c>
      <c r="M1040">
        <v>10</v>
      </c>
      <c r="N1040">
        <v>1677</v>
      </c>
      <c r="O1040" t="s">
        <v>64</v>
      </c>
      <c r="P1040">
        <v>48.3</v>
      </c>
      <c r="Q1040" t="s">
        <v>125</v>
      </c>
      <c r="R1040">
        <v>64.900000000000006</v>
      </c>
      <c r="S1040">
        <v>9.6999999999999993</v>
      </c>
      <c r="T1040">
        <v>-9.3000000000000007</v>
      </c>
      <c r="U1040">
        <v>9</v>
      </c>
      <c r="V1040">
        <v>4.5999999999999996</v>
      </c>
      <c r="W1040">
        <v>3.3</v>
      </c>
      <c r="X1040" t="s">
        <v>66</v>
      </c>
    </row>
    <row r="1041" spans="2:24" x14ac:dyDescent="0.3">
      <c r="B1041" t="s">
        <v>1134</v>
      </c>
      <c r="C1041" t="s">
        <v>83</v>
      </c>
      <c r="D1041" t="s">
        <v>4</v>
      </c>
      <c r="E1041" t="s">
        <v>14</v>
      </c>
      <c r="F1041" t="s">
        <v>9</v>
      </c>
      <c r="G1041" t="s">
        <v>69</v>
      </c>
      <c r="H1041">
        <v>2026</v>
      </c>
      <c r="I1041">
        <v>779</v>
      </c>
      <c r="J1041">
        <v>3.5</v>
      </c>
      <c r="K1041" t="s">
        <v>24</v>
      </c>
      <c r="L1041">
        <v>5.7</v>
      </c>
      <c r="M1041">
        <v>4.8</v>
      </c>
      <c r="N1041">
        <v>1412</v>
      </c>
      <c r="O1041" t="s">
        <v>55</v>
      </c>
      <c r="P1041">
        <v>15</v>
      </c>
      <c r="Q1041" t="s">
        <v>76</v>
      </c>
      <c r="R1041">
        <v>-29.2</v>
      </c>
      <c r="S1041">
        <v>-8.1999999999999993</v>
      </c>
      <c r="T1041">
        <v>1.1000000000000001</v>
      </c>
      <c r="U1041">
        <v>5</v>
      </c>
      <c r="V1041">
        <v>6.3</v>
      </c>
      <c r="W1041">
        <v>5.6</v>
      </c>
      <c r="X1041" t="s">
        <v>57</v>
      </c>
    </row>
    <row r="1042" spans="2:24" x14ac:dyDescent="0.3">
      <c r="B1042" t="s">
        <v>1135</v>
      </c>
      <c r="C1042" t="s">
        <v>71</v>
      </c>
      <c r="D1042" t="s">
        <v>6</v>
      </c>
      <c r="E1042" t="s">
        <v>15</v>
      </c>
      <c r="F1042" t="s">
        <v>9</v>
      </c>
      <c r="G1042" t="s">
        <v>54</v>
      </c>
      <c r="H1042">
        <v>2026</v>
      </c>
      <c r="I1042">
        <v>14912</v>
      </c>
      <c r="J1042">
        <v>16</v>
      </c>
      <c r="K1042" t="s">
        <v>22</v>
      </c>
      <c r="L1042">
        <v>6.1</v>
      </c>
      <c r="M1042">
        <v>7.4</v>
      </c>
      <c r="N1042">
        <v>1025</v>
      </c>
      <c r="O1042" t="s">
        <v>64</v>
      </c>
      <c r="P1042">
        <v>67.3</v>
      </c>
      <c r="Q1042" t="s">
        <v>76</v>
      </c>
      <c r="R1042">
        <v>49.3</v>
      </c>
      <c r="S1042">
        <v>48.3</v>
      </c>
      <c r="T1042">
        <v>23.9</v>
      </c>
      <c r="U1042">
        <v>6.4</v>
      </c>
      <c r="V1042">
        <v>8.1999999999999993</v>
      </c>
      <c r="W1042">
        <v>6.1</v>
      </c>
      <c r="X1042" t="s">
        <v>66</v>
      </c>
    </row>
    <row r="1043" spans="2:24" x14ac:dyDescent="0.3">
      <c r="B1043" t="s">
        <v>1136</v>
      </c>
      <c r="C1043" t="s">
        <v>159</v>
      </c>
      <c r="D1043" t="s">
        <v>2</v>
      </c>
      <c r="E1043" t="s">
        <v>16</v>
      </c>
      <c r="F1043" t="s">
        <v>11</v>
      </c>
      <c r="G1043" t="s">
        <v>78</v>
      </c>
      <c r="H1043">
        <v>2026</v>
      </c>
      <c r="I1043">
        <v>1125</v>
      </c>
      <c r="J1043">
        <v>26.7</v>
      </c>
      <c r="K1043" t="s">
        <v>22</v>
      </c>
      <c r="L1043">
        <v>8.3000000000000007</v>
      </c>
      <c r="M1043">
        <v>9.6999999999999993</v>
      </c>
      <c r="N1043">
        <v>2069</v>
      </c>
      <c r="O1043" t="s">
        <v>64</v>
      </c>
      <c r="P1043">
        <v>36.5</v>
      </c>
      <c r="Q1043" t="s">
        <v>76</v>
      </c>
      <c r="R1043">
        <v>42.2</v>
      </c>
      <c r="S1043">
        <v>26</v>
      </c>
      <c r="T1043">
        <v>-1</v>
      </c>
      <c r="U1043">
        <v>6</v>
      </c>
      <c r="V1043">
        <v>4.8</v>
      </c>
      <c r="W1043">
        <v>5.2</v>
      </c>
      <c r="X1043" t="s">
        <v>66</v>
      </c>
    </row>
    <row r="1044" spans="2:24" x14ac:dyDescent="0.3">
      <c r="B1044" t="s">
        <v>1137</v>
      </c>
      <c r="C1044" t="s">
        <v>142</v>
      </c>
      <c r="D1044" t="s">
        <v>8</v>
      </c>
      <c r="E1044" t="s">
        <v>14</v>
      </c>
      <c r="F1044" t="s">
        <v>12</v>
      </c>
      <c r="G1044" t="s">
        <v>115</v>
      </c>
      <c r="H1044">
        <v>2024</v>
      </c>
      <c r="I1044">
        <v>12130</v>
      </c>
      <c r="J1044">
        <v>35.4</v>
      </c>
      <c r="K1044" t="s">
        <v>23</v>
      </c>
      <c r="L1044">
        <v>7.2</v>
      </c>
      <c r="M1044">
        <v>10</v>
      </c>
      <c r="N1044">
        <v>159</v>
      </c>
      <c r="O1044" t="s">
        <v>75</v>
      </c>
      <c r="P1044">
        <v>84</v>
      </c>
      <c r="Q1044" t="s">
        <v>88</v>
      </c>
      <c r="R1044">
        <v>-17.600000000000001</v>
      </c>
      <c r="S1044">
        <v>35.700000000000003</v>
      </c>
      <c r="T1044">
        <v>1.7</v>
      </c>
      <c r="U1044">
        <v>5.8</v>
      </c>
      <c r="V1044">
        <v>4.5999999999999996</v>
      </c>
      <c r="W1044">
        <v>3.5</v>
      </c>
      <c r="X1044" t="s">
        <v>66</v>
      </c>
    </row>
    <row r="1045" spans="2:24" x14ac:dyDescent="0.3">
      <c r="B1045" t="s">
        <v>1138</v>
      </c>
      <c r="C1045" t="s">
        <v>94</v>
      </c>
      <c r="D1045" t="s">
        <v>6</v>
      </c>
      <c r="E1045" t="s">
        <v>14</v>
      </c>
      <c r="F1045" t="s">
        <v>10</v>
      </c>
      <c r="G1045" t="s">
        <v>115</v>
      </c>
      <c r="H1045">
        <v>2026</v>
      </c>
      <c r="I1045">
        <v>584</v>
      </c>
      <c r="J1045">
        <v>14.8</v>
      </c>
      <c r="K1045" t="s">
        <v>25</v>
      </c>
      <c r="L1045">
        <v>6.5</v>
      </c>
      <c r="M1045">
        <v>5.5</v>
      </c>
      <c r="N1045">
        <v>1253</v>
      </c>
      <c r="O1045" t="s">
        <v>64</v>
      </c>
      <c r="P1045">
        <v>29.8</v>
      </c>
      <c r="Q1045" t="s">
        <v>125</v>
      </c>
      <c r="R1045">
        <v>-22.1</v>
      </c>
      <c r="S1045">
        <v>49.5</v>
      </c>
      <c r="T1045">
        <v>17.5</v>
      </c>
      <c r="U1045">
        <v>5</v>
      </c>
      <c r="V1045">
        <v>5.7</v>
      </c>
      <c r="W1045">
        <v>6.4</v>
      </c>
      <c r="X1045" t="s">
        <v>116</v>
      </c>
    </row>
    <row r="1046" spans="2:24" x14ac:dyDescent="0.3">
      <c r="B1046" t="s">
        <v>1139</v>
      </c>
      <c r="C1046" t="s">
        <v>59</v>
      </c>
      <c r="D1046" t="s">
        <v>4</v>
      </c>
      <c r="E1046" t="s">
        <v>16</v>
      </c>
      <c r="F1046" t="s">
        <v>12</v>
      </c>
      <c r="G1046" t="s">
        <v>115</v>
      </c>
      <c r="H1046">
        <v>2026</v>
      </c>
      <c r="I1046">
        <v>10629</v>
      </c>
      <c r="J1046">
        <v>25.7</v>
      </c>
      <c r="K1046" t="s">
        <v>21</v>
      </c>
      <c r="L1046">
        <v>2.4</v>
      </c>
      <c r="M1046">
        <v>7.1</v>
      </c>
      <c r="N1046">
        <v>1846</v>
      </c>
      <c r="O1046" t="s">
        <v>75</v>
      </c>
      <c r="P1046">
        <v>80.5</v>
      </c>
      <c r="Q1046" t="s">
        <v>56</v>
      </c>
      <c r="R1046">
        <v>75.599999999999994</v>
      </c>
      <c r="S1046">
        <v>51.1</v>
      </c>
      <c r="T1046">
        <v>12.8</v>
      </c>
      <c r="U1046">
        <v>1.7</v>
      </c>
      <c r="V1046">
        <v>8.3000000000000007</v>
      </c>
      <c r="W1046">
        <v>6.5</v>
      </c>
      <c r="X1046" t="s">
        <v>66</v>
      </c>
    </row>
    <row r="1047" spans="2:24" x14ac:dyDescent="0.3">
      <c r="B1047" t="s">
        <v>1140</v>
      </c>
      <c r="C1047" t="s">
        <v>139</v>
      </c>
      <c r="D1047" t="s">
        <v>8</v>
      </c>
      <c r="E1047" t="s">
        <v>17</v>
      </c>
      <c r="F1047" t="s">
        <v>11</v>
      </c>
      <c r="G1047" t="s">
        <v>78</v>
      </c>
      <c r="H1047">
        <v>2026</v>
      </c>
      <c r="I1047">
        <v>4655</v>
      </c>
      <c r="J1047">
        <v>5.5</v>
      </c>
      <c r="K1047" t="s">
        <v>24</v>
      </c>
      <c r="L1047">
        <v>1.4</v>
      </c>
      <c r="M1047">
        <v>3.9</v>
      </c>
      <c r="N1047">
        <v>2033</v>
      </c>
      <c r="O1047" t="s">
        <v>64</v>
      </c>
      <c r="P1047">
        <v>51.2</v>
      </c>
      <c r="Q1047" t="s">
        <v>65</v>
      </c>
      <c r="R1047">
        <v>33.200000000000003</v>
      </c>
      <c r="S1047">
        <v>56.7</v>
      </c>
      <c r="T1047">
        <v>26.7</v>
      </c>
      <c r="U1047">
        <v>1.3</v>
      </c>
      <c r="V1047">
        <v>7.2</v>
      </c>
      <c r="W1047">
        <v>8.3000000000000007</v>
      </c>
      <c r="X1047" t="s">
        <v>116</v>
      </c>
    </row>
    <row r="1048" spans="2:24" x14ac:dyDescent="0.3">
      <c r="B1048" t="s">
        <v>1141</v>
      </c>
      <c r="C1048" t="s">
        <v>137</v>
      </c>
      <c r="D1048" t="s">
        <v>4</v>
      </c>
      <c r="E1048" t="s">
        <v>19</v>
      </c>
      <c r="F1048" t="s">
        <v>11</v>
      </c>
      <c r="G1048" t="s">
        <v>54</v>
      </c>
      <c r="H1048">
        <v>2024</v>
      </c>
      <c r="I1048">
        <v>7875</v>
      </c>
      <c r="J1048">
        <v>34.5</v>
      </c>
      <c r="K1048" t="s">
        <v>22</v>
      </c>
      <c r="L1048">
        <v>6</v>
      </c>
      <c r="M1048">
        <v>9.1999999999999993</v>
      </c>
      <c r="N1048">
        <v>1170</v>
      </c>
      <c r="O1048" t="s">
        <v>75</v>
      </c>
      <c r="P1048">
        <v>22.2</v>
      </c>
      <c r="Q1048" t="s">
        <v>56</v>
      </c>
      <c r="R1048">
        <v>-40</v>
      </c>
      <c r="S1048">
        <v>9</v>
      </c>
      <c r="T1048">
        <v>0.3</v>
      </c>
      <c r="U1048">
        <v>4.8</v>
      </c>
      <c r="V1048">
        <v>3.7</v>
      </c>
      <c r="W1048">
        <v>2.9</v>
      </c>
      <c r="X1048" t="s">
        <v>66</v>
      </c>
    </row>
    <row r="1049" spans="2:24" x14ac:dyDescent="0.3">
      <c r="B1049" t="s">
        <v>1142</v>
      </c>
      <c r="C1049" t="s">
        <v>73</v>
      </c>
      <c r="D1049" t="s">
        <v>3</v>
      </c>
      <c r="E1049" t="s">
        <v>14</v>
      </c>
      <c r="F1049" t="s">
        <v>9</v>
      </c>
      <c r="G1049" t="s">
        <v>60</v>
      </c>
      <c r="H1049">
        <v>2024</v>
      </c>
      <c r="I1049">
        <v>15718</v>
      </c>
      <c r="J1049">
        <v>39.6</v>
      </c>
      <c r="K1049" t="s">
        <v>25</v>
      </c>
      <c r="L1049">
        <v>1.7</v>
      </c>
      <c r="M1049">
        <v>10</v>
      </c>
      <c r="N1049">
        <v>919</v>
      </c>
      <c r="O1049" t="s">
        <v>75</v>
      </c>
      <c r="P1049">
        <v>13.6</v>
      </c>
      <c r="Q1049" t="s">
        <v>56</v>
      </c>
      <c r="R1049">
        <v>45.5</v>
      </c>
      <c r="S1049">
        <v>-12.7</v>
      </c>
      <c r="T1049">
        <v>-24.3</v>
      </c>
      <c r="U1049">
        <v>2.7</v>
      </c>
      <c r="V1049">
        <v>1.5</v>
      </c>
      <c r="W1049">
        <v>1.2</v>
      </c>
      <c r="X1049" t="s">
        <v>66</v>
      </c>
    </row>
    <row r="1050" spans="2:24" x14ac:dyDescent="0.3">
      <c r="B1050" t="s">
        <v>1143</v>
      </c>
      <c r="C1050" t="s">
        <v>100</v>
      </c>
      <c r="D1050" t="s">
        <v>3</v>
      </c>
      <c r="E1050" t="s">
        <v>17</v>
      </c>
      <c r="F1050" t="s">
        <v>10</v>
      </c>
      <c r="G1050" t="s">
        <v>101</v>
      </c>
      <c r="H1050">
        <v>2026</v>
      </c>
      <c r="I1050">
        <v>2318</v>
      </c>
      <c r="J1050">
        <v>12.7</v>
      </c>
      <c r="K1050" t="s">
        <v>23</v>
      </c>
      <c r="L1050">
        <v>7.4</v>
      </c>
      <c r="M1050">
        <v>6.2</v>
      </c>
      <c r="N1050">
        <v>1028</v>
      </c>
      <c r="O1050" t="s">
        <v>64</v>
      </c>
      <c r="P1050">
        <v>44.3</v>
      </c>
      <c r="Q1050" t="s">
        <v>65</v>
      </c>
      <c r="R1050">
        <v>78.3</v>
      </c>
      <c r="S1050">
        <v>37.700000000000003</v>
      </c>
      <c r="T1050">
        <v>13.7</v>
      </c>
      <c r="U1050">
        <v>4.5</v>
      </c>
      <c r="V1050">
        <v>6.8</v>
      </c>
      <c r="W1050">
        <v>6.1</v>
      </c>
      <c r="X1050" t="s">
        <v>116</v>
      </c>
    </row>
    <row r="1051" spans="2:24" x14ac:dyDescent="0.3">
      <c r="B1051" t="s">
        <v>1144</v>
      </c>
      <c r="C1051" t="s">
        <v>106</v>
      </c>
      <c r="D1051" t="s">
        <v>8</v>
      </c>
      <c r="E1051" t="s">
        <v>15</v>
      </c>
      <c r="F1051" t="s">
        <v>10</v>
      </c>
      <c r="G1051" t="s">
        <v>78</v>
      </c>
      <c r="H1051">
        <v>2026</v>
      </c>
      <c r="I1051">
        <v>6579</v>
      </c>
      <c r="J1051">
        <v>15</v>
      </c>
      <c r="K1051" t="s">
        <v>25</v>
      </c>
      <c r="L1051">
        <v>3.2</v>
      </c>
      <c r="M1051">
        <v>7.7</v>
      </c>
      <c r="N1051">
        <v>1999</v>
      </c>
      <c r="O1051" t="s">
        <v>75</v>
      </c>
      <c r="P1051">
        <v>69.400000000000006</v>
      </c>
      <c r="Q1051" t="s">
        <v>56</v>
      </c>
      <c r="R1051">
        <v>-5.2</v>
      </c>
      <c r="S1051">
        <v>-2.8</v>
      </c>
      <c r="T1051">
        <v>-3.1</v>
      </c>
      <c r="U1051">
        <v>4.0999999999999996</v>
      </c>
      <c r="V1051">
        <v>5.6</v>
      </c>
      <c r="W1051">
        <v>4</v>
      </c>
      <c r="X1051" t="s">
        <v>116</v>
      </c>
    </row>
    <row r="1052" spans="2:24" x14ac:dyDescent="0.3">
      <c r="B1052" t="s">
        <v>1145</v>
      </c>
      <c r="C1052" t="s">
        <v>100</v>
      </c>
      <c r="D1052" t="s">
        <v>3</v>
      </c>
      <c r="E1052" t="s">
        <v>18</v>
      </c>
      <c r="F1052" t="s">
        <v>9</v>
      </c>
      <c r="G1052" t="s">
        <v>131</v>
      </c>
      <c r="H1052">
        <v>2025</v>
      </c>
      <c r="I1052">
        <v>480</v>
      </c>
      <c r="J1052">
        <v>1.6</v>
      </c>
      <c r="K1052" t="s">
        <v>25</v>
      </c>
      <c r="L1052">
        <v>13.1</v>
      </c>
      <c r="M1052">
        <v>10</v>
      </c>
      <c r="N1052">
        <v>2460</v>
      </c>
      <c r="O1052" t="s">
        <v>55</v>
      </c>
      <c r="P1052">
        <v>86.8</v>
      </c>
      <c r="Q1052" t="s">
        <v>86</v>
      </c>
      <c r="R1052">
        <v>-12.1</v>
      </c>
      <c r="S1052">
        <v>28.4</v>
      </c>
      <c r="T1052">
        <v>7.7</v>
      </c>
      <c r="U1052">
        <v>7.9</v>
      </c>
      <c r="V1052">
        <v>9.1999999999999993</v>
      </c>
      <c r="W1052">
        <v>5.9</v>
      </c>
      <c r="X1052" t="s">
        <v>57</v>
      </c>
    </row>
    <row r="1053" spans="2:24" x14ac:dyDescent="0.3">
      <c r="B1053" t="s">
        <v>1146</v>
      </c>
      <c r="C1053" t="s">
        <v>59</v>
      </c>
      <c r="D1053" t="s">
        <v>4</v>
      </c>
      <c r="E1053" t="s">
        <v>19</v>
      </c>
      <c r="F1053" t="s">
        <v>11</v>
      </c>
      <c r="G1053" t="s">
        <v>74</v>
      </c>
      <c r="H1053">
        <v>2025</v>
      </c>
      <c r="I1053">
        <v>601</v>
      </c>
      <c r="J1053">
        <v>5</v>
      </c>
      <c r="K1053" t="s">
        <v>23</v>
      </c>
      <c r="L1053">
        <v>8.4</v>
      </c>
      <c r="M1053">
        <v>5.2</v>
      </c>
      <c r="N1053">
        <v>964</v>
      </c>
      <c r="O1053" t="s">
        <v>64</v>
      </c>
      <c r="P1053">
        <v>27.6</v>
      </c>
      <c r="Q1053" t="s">
        <v>65</v>
      </c>
      <c r="R1053">
        <v>86.7</v>
      </c>
      <c r="S1053">
        <v>-22</v>
      </c>
      <c r="T1053">
        <v>-4.9000000000000004</v>
      </c>
      <c r="U1053">
        <v>5.6</v>
      </c>
      <c r="V1053">
        <v>5.6</v>
      </c>
      <c r="W1053">
        <v>6.3</v>
      </c>
      <c r="X1053" t="s">
        <v>57</v>
      </c>
    </row>
    <row r="1054" spans="2:24" x14ac:dyDescent="0.3">
      <c r="B1054" t="s">
        <v>1147</v>
      </c>
      <c r="C1054" t="s">
        <v>53</v>
      </c>
      <c r="D1054" t="s">
        <v>3</v>
      </c>
      <c r="E1054" t="s">
        <v>18</v>
      </c>
      <c r="F1054" t="s">
        <v>11</v>
      </c>
      <c r="G1054" t="s">
        <v>63</v>
      </c>
      <c r="H1054">
        <v>2025</v>
      </c>
      <c r="I1054">
        <v>10389</v>
      </c>
      <c r="J1054">
        <v>36.6</v>
      </c>
      <c r="K1054" t="s">
        <v>25</v>
      </c>
      <c r="L1054">
        <v>9.9</v>
      </c>
      <c r="M1054">
        <v>10</v>
      </c>
      <c r="N1054">
        <v>421</v>
      </c>
      <c r="O1054" t="s">
        <v>75</v>
      </c>
      <c r="P1054">
        <v>80.900000000000006</v>
      </c>
      <c r="Q1054" t="s">
        <v>125</v>
      </c>
      <c r="R1054">
        <v>-26.9</v>
      </c>
      <c r="S1054">
        <v>20.9</v>
      </c>
      <c r="T1054">
        <v>5</v>
      </c>
      <c r="U1054">
        <v>5.9</v>
      </c>
      <c r="V1054">
        <v>5.9</v>
      </c>
      <c r="W1054">
        <v>2</v>
      </c>
      <c r="X1054" t="s">
        <v>66</v>
      </c>
    </row>
    <row r="1055" spans="2:24" x14ac:dyDescent="0.3">
      <c r="B1055" t="s">
        <v>1148</v>
      </c>
      <c r="C1055" t="s">
        <v>94</v>
      </c>
      <c r="D1055" t="s">
        <v>6</v>
      </c>
      <c r="E1055" t="s">
        <v>17</v>
      </c>
      <c r="F1055" t="s">
        <v>9</v>
      </c>
      <c r="G1055" t="s">
        <v>115</v>
      </c>
      <c r="H1055">
        <v>2026</v>
      </c>
      <c r="I1055">
        <v>14427</v>
      </c>
      <c r="J1055">
        <v>12.5</v>
      </c>
      <c r="K1055" t="s">
        <v>24</v>
      </c>
      <c r="L1055">
        <v>12.7</v>
      </c>
      <c r="M1055">
        <v>7.4</v>
      </c>
      <c r="N1055">
        <v>869</v>
      </c>
      <c r="O1055" t="s">
        <v>55</v>
      </c>
      <c r="P1055">
        <v>10.4</v>
      </c>
      <c r="Q1055" t="s">
        <v>65</v>
      </c>
      <c r="R1055">
        <v>44.7</v>
      </c>
      <c r="S1055">
        <v>-19.2</v>
      </c>
      <c r="T1055">
        <v>-10.199999999999999</v>
      </c>
      <c r="U1055">
        <v>9.9</v>
      </c>
      <c r="V1055">
        <v>4.5999999999999996</v>
      </c>
      <c r="W1055">
        <v>4.5999999999999996</v>
      </c>
      <c r="X1055" t="s">
        <v>66</v>
      </c>
    </row>
    <row r="1056" spans="2:24" x14ac:dyDescent="0.3">
      <c r="B1056" t="s">
        <v>1149</v>
      </c>
      <c r="C1056" t="s">
        <v>106</v>
      </c>
      <c r="D1056" t="s">
        <v>2</v>
      </c>
      <c r="E1056" t="s">
        <v>17</v>
      </c>
      <c r="F1056" t="s">
        <v>9</v>
      </c>
      <c r="G1056" t="s">
        <v>115</v>
      </c>
      <c r="H1056">
        <v>2026</v>
      </c>
      <c r="I1056">
        <v>614</v>
      </c>
      <c r="J1056">
        <v>4.7</v>
      </c>
      <c r="K1056" t="s">
        <v>25</v>
      </c>
      <c r="L1056">
        <v>4.9000000000000004</v>
      </c>
      <c r="M1056">
        <v>8</v>
      </c>
      <c r="N1056">
        <v>2177</v>
      </c>
      <c r="O1056" t="s">
        <v>55</v>
      </c>
      <c r="P1056">
        <v>60.8</v>
      </c>
      <c r="Q1056" t="s">
        <v>56</v>
      </c>
      <c r="R1056">
        <v>-36.6</v>
      </c>
      <c r="S1056">
        <v>56</v>
      </c>
      <c r="T1056">
        <v>24.6</v>
      </c>
      <c r="U1056">
        <v>6.4</v>
      </c>
      <c r="V1056">
        <v>7.3</v>
      </c>
      <c r="W1056">
        <v>7.3</v>
      </c>
      <c r="X1056" t="s">
        <v>57</v>
      </c>
    </row>
    <row r="1057" spans="2:24" x14ac:dyDescent="0.3">
      <c r="B1057" t="s">
        <v>1150</v>
      </c>
      <c r="C1057" t="s">
        <v>106</v>
      </c>
      <c r="D1057" t="s">
        <v>8</v>
      </c>
      <c r="E1057" t="s">
        <v>16</v>
      </c>
      <c r="F1057" t="s">
        <v>12</v>
      </c>
      <c r="G1057" t="s">
        <v>54</v>
      </c>
      <c r="H1057">
        <v>2025</v>
      </c>
      <c r="I1057">
        <v>5847</v>
      </c>
      <c r="J1057">
        <v>7.8</v>
      </c>
      <c r="K1057" t="s">
        <v>25</v>
      </c>
      <c r="L1057">
        <v>1</v>
      </c>
      <c r="M1057">
        <v>4.2</v>
      </c>
      <c r="N1057">
        <v>3816</v>
      </c>
      <c r="O1057" t="s">
        <v>64</v>
      </c>
      <c r="P1057">
        <v>40.6</v>
      </c>
      <c r="Q1057" t="s">
        <v>88</v>
      </c>
      <c r="R1057">
        <v>-28.8</v>
      </c>
      <c r="S1057">
        <v>-21.2</v>
      </c>
      <c r="T1057">
        <v>-2.8</v>
      </c>
      <c r="U1057">
        <v>1.5</v>
      </c>
      <c r="V1057">
        <v>5.3</v>
      </c>
      <c r="W1057">
        <v>5</v>
      </c>
      <c r="X1057" t="s">
        <v>116</v>
      </c>
    </row>
    <row r="1058" spans="2:24" x14ac:dyDescent="0.3">
      <c r="B1058" t="s">
        <v>1151</v>
      </c>
      <c r="C1058" t="s">
        <v>159</v>
      </c>
      <c r="D1058" t="s">
        <v>7</v>
      </c>
      <c r="E1058" t="s">
        <v>19</v>
      </c>
      <c r="F1058" t="s">
        <v>10</v>
      </c>
      <c r="G1058" t="s">
        <v>60</v>
      </c>
      <c r="H1058">
        <v>2025</v>
      </c>
      <c r="I1058">
        <v>5583</v>
      </c>
      <c r="J1058">
        <v>17.899999999999999</v>
      </c>
      <c r="K1058" t="s">
        <v>25</v>
      </c>
      <c r="L1058">
        <v>2.2000000000000002</v>
      </c>
      <c r="M1058">
        <v>7.2</v>
      </c>
      <c r="N1058">
        <v>2586</v>
      </c>
      <c r="O1058" t="s">
        <v>75</v>
      </c>
      <c r="P1058">
        <v>35.4</v>
      </c>
      <c r="Q1058" t="s">
        <v>86</v>
      </c>
      <c r="R1058">
        <v>-36.6</v>
      </c>
      <c r="S1058">
        <v>56.7</v>
      </c>
      <c r="T1058">
        <v>25.7</v>
      </c>
      <c r="U1058">
        <v>2.4</v>
      </c>
      <c r="V1058">
        <v>8.8000000000000007</v>
      </c>
      <c r="W1058">
        <v>7.2</v>
      </c>
      <c r="X1058" t="s">
        <v>116</v>
      </c>
    </row>
    <row r="1059" spans="2:24" x14ac:dyDescent="0.3">
      <c r="B1059" t="s">
        <v>1152</v>
      </c>
      <c r="C1059" t="s">
        <v>53</v>
      </c>
      <c r="D1059" t="s">
        <v>2</v>
      </c>
      <c r="E1059" t="s">
        <v>19</v>
      </c>
      <c r="F1059" t="s">
        <v>12</v>
      </c>
      <c r="G1059" t="s">
        <v>78</v>
      </c>
      <c r="H1059">
        <v>2024</v>
      </c>
      <c r="I1059">
        <v>10416</v>
      </c>
      <c r="J1059">
        <v>38.700000000000003</v>
      </c>
      <c r="K1059" t="s">
        <v>22</v>
      </c>
      <c r="L1059">
        <v>5.9</v>
      </c>
      <c r="M1059">
        <v>10</v>
      </c>
      <c r="N1059">
        <v>3025</v>
      </c>
      <c r="O1059" t="s">
        <v>64</v>
      </c>
      <c r="P1059">
        <v>48.2</v>
      </c>
      <c r="Q1059" t="s">
        <v>76</v>
      </c>
      <c r="R1059">
        <v>60.7</v>
      </c>
      <c r="S1059">
        <v>54.6</v>
      </c>
      <c r="T1059">
        <v>5.7</v>
      </c>
      <c r="U1059">
        <v>5.5</v>
      </c>
      <c r="V1059">
        <v>5.6</v>
      </c>
      <c r="W1059">
        <v>4.3</v>
      </c>
      <c r="X1059" t="s">
        <v>66</v>
      </c>
    </row>
    <row r="1060" spans="2:24" x14ac:dyDescent="0.3">
      <c r="B1060" t="s">
        <v>1153</v>
      </c>
      <c r="C1060" t="s">
        <v>90</v>
      </c>
      <c r="D1060" t="s">
        <v>3</v>
      </c>
      <c r="E1060" t="s">
        <v>18</v>
      </c>
      <c r="F1060" t="s">
        <v>9</v>
      </c>
      <c r="G1060" t="s">
        <v>101</v>
      </c>
      <c r="H1060">
        <v>2026</v>
      </c>
      <c r="I1060">
        <v>2041</v>
      </c>
      <c r="J1060">
        <v>2.8</v>
      </c>
      <c r="K1060" t="s">
        <v>23</v>
      </c>
      <c r="L1060">
        <v>1.2</v>
      </c>
      <c r="M1060">
        <v>1</v>
      </c>
      <c r="N1060">
        <v>3208</v>
      </c>
      <c r="O1060" t="s">
        <v>55</v>
      </c>
      <c r="P1060">
        <v>84.8</v>
      </c>
      <c r="Q1060" t="s">
        <v>79</v>
      </c>
      <c r="R1060">
        <v>43.4</v>
      </c>
      <c r="S1060">
        <v>3.8</v>
      </c>
      <c r="T1060">
        <v>-6.2</v>
      </c>
      <c r="U1060">
        <v>1.8</v>
      </c>
      <c r="V1060">
        <v>8.6</v>
      </c>
      <c r="W1060">
        <v>8.5</v>
      </c>
      <c r="X1060" t="s">
        <v>57</v>
      </c>
    </row>
    <row r="1061" spans="2:24" x14ac:dyDescent="0.3">
      <c r="B1061" t="s">
        <v>1154</v>
      </c>
      <c r="C1061" t="s">
        <v>106</v>
      </c>
      <c r="D1061" t="s">
        <v>2</v>
      </c>
      <c r="E1061" t="s">
        <v>14</v>
      </c>
      <c r="F1061" t="s">
        <v>11</v>
      </c>
      <c r="G1061" t="s">
        <v>74</v>
      </c>
      <c r="H1061">
        <v>2024</v>
      </c>
      <c r="I1061">
        <v>2409</v>
      </c>
      <c r="J1061">
        <v>8.8000000000000007</v>
      </c>
      <c r="K1061" t="s">
        <v>25</v>
      </c>
      <c r="L1061">
        <v>10.7</v>
      </c>
      <c r="M1061">
        <v>7</v>
      </c>
      <c r="N1061">
        <v>3052</v>
      </c>
      <c r="O1061" t="s">
        <v>64</v>
      </c>
      <c r="P1061">
        <v>34.799999999999997</v>
      </c>
      <c r="Q1061" t="s">
        <v>56</v>
      </c>
      <c r="R1061">
        <v>-10.1</v>
      </c>
      <c r="S1061">
        <v>-20.3</v>
      </c>
      <c r="T1061">
        <v>-12.6</v>
      </c>
      <c r="U1061">
        <v>6.5</v>
      </c>
      <c r="V1061">
        <v>6.4</v>
      </c>
      <c r="W1061">
        <v>5.8</v>
      </c>
      <c r="X1061" t="s">
        <v>66</v>
      </c>
    </row>
    <row r="1062" spans="2:24" x14ac:dyDescent="0.3">
      <c r="B1062" t="s">
        <v>1155</v>
      </c>
      <c r="C1062" t="s">
        <v>139</v>
      </c>
      <c r="D1062" t="s">
        <v>8</v>
      </c>
      <c r="E1062" t="s">
        <v>14</v>
      </c>
      <c r="F1062" t="s">
        <v>11</v>
      </c>
      <c r="G1062" t="s">
        <v>60</v>
      </c>
      <c r="H1062">
        <v>2024</v>
      </c>
      <c r="I1062">
        <v>2969</v>
      </c>
      <c r="J1062">
        <v>4.5</v>
      </c>
      <c r="K1062" t="s">
        <v>22</v>
      </c>
      <c r="L1062">
        <v>10.8</v>
      </c>
      <c r="M1062">
        <v>8.8000000000000007</v>
      </c>
      <c r="N1062">
        <v>3827</v>
      </c>
      <c r="O1062" t="s">
        <v>55</v>
      </c>
      <c r="P1062">
        <v>68.099999999999994</v>
      </c>
      <c r="Q1062" t="s">
        <v>56</v>
      </c>
      <c r="R1062">
        <v>88.3</v>
      </c>
      <c r="S1062">
        <v>55.1</v>
      </c>
      <c r="T1062">
        <v>21.6</v>
      </c>
      <c r="U1062">
        <v>7</v>
      </c>
      <c r="V1062">
        <v>8.6</v>
      </c>
      <c r="W1062">
        <v>8.1999999999999993</v>
      </c>
      <c r="X1062" t="s">
        <v>116</v>
      </c>
    </row>
    <row r="1063" spans="2:24" x14ac:dyDescent="0.3">
      <c r="B1063" t="s">
        <v>1156</v>
      </c>
      <c r="C1063" t="s">
        <v>106</v>
      </c>
      <c r="D1063" t="s">
        <v>3</v>
      </c>
      <c r="E1063" t="s">
        <v>15</v>
      </c>
      <c r="F1063" t="s">
        <v>9</v>
      </c>
      <c r="G1063" t="s">
        <v>112</v>
      </c>
      <c r="H1063">
        <v>2024</v>
      </c>
      <c r="I1063">
        <v>11292</v>
      </c>
      <c r="J1063">
        <v>34.9</v>
      </c>
      <c r="K1063" t="s">
        <v>23</v>
      </c>
      <c r="L1063">
        <v>8.5</v>
      </c>
      <c r="M1063">
        <v>10</v>
      </c>
      <c r="N1063">
        <v>1451</v>
      </c>
      <c r="O1063" t="s">
        <v>64</v>
      </c>
      <c r="P1063">
        <v>22.2</v>
      </c>
      <c r="Q1063" t="s">
        <v>65</v>
      </c>
      <c r="R1063">
        <v>4.4000000000000004</v>
      </c>
      <c r="S1063">
        <v>-11.9</v>
      </c>
      <c r="T1063">
        <v>-19.100000000000001</v>
      </c>
      <c r="U1063">
        <v>5.7</v>
      </c>
      <c r="V1063">
        <v>5.8</v>
      </c>
      <c r="W1063">
        <v>2.4</v>
      </c>
      <c r="X1063" t="s">
        <v>66</v>
      </c>
    </row>
    <row r="1064" spans="2:24" x14ac:dyDescent="0.3">
      <c r="B1064" t="s">
        <v>1157</v>
      </c>
      <c r="C1064" t="s">
        <v>137</v>
      </c>
      <c r="D1064" t="s">
        <v>3</v>
      </c>
      <c r="E1064" t="s">
        <v>17</v>
      </c>
      <c r="F1064" t="s">
        <v>11</v>
      </c>
      <c r="G1064" t="s">
        <v>98</v>
      </c>
      <c r="H1064">
        <v>2026</v>
      </c>
      <c r="I1064">
        <v>29</v>
      </c>
      <c r="J1064">
        <v>2.7</v>
      </c>
      <c r="K1064" t="s">
        <v>25</v>
      </c>
      <c r="L1064">
        <v>6.2</v>
      </c>
      <c r="M1064">
        <v>10</v>
      </c>
      <c r="N1064">
        <v>3409</v>
      </c>
      <c r="O1064" t="s">
        <v>118</v>
      </c>
      <c r="P1064">
        <v>89.5</v>
      </c>
      <c r="Q1064" t="s">
        <v>84</v>
      </c>
      <c r="R1064">
        <v>20.5</v>
      </c>
      <c r="S1064">
        <v>-20.7</v>
      </c>
      <c r="T1064">
        <v>-10.4</v>
      </c>
      <c r="U1064">
        <v>9.6999999999999993</v>
      </c>
      <c r="V1064">
        <v>5.4</v>
      </c>
      <c r="W1064">
        <v>5.0999999999999996</v>
      </c>
      <c r="X1064" t="s">
        <v>57</v>
      </c>
    </row>
    <row r="1065" spans="2:24" x14ac:dyDescent="0.3">
      <c r="B1065" t="s">
        <v>1158</v>
      </c>
      <c r="C1065" t="s">
        <v>27</v>
      </c>
      <c r="D1065" t="s">
        <v>2</v>
      </c>
      <c r="E1065" t="s">
        <v>19</v>
      </c>
      <c r="F1065" t="s">
        <v>9</v>
      </c>
      <c r="G1065" t="s">
        <v>69</v>
      </c>
      <c r="H1065">
        <v>2026</v>
      </c>
      <c r="I1065">
        <v>5267</v>
      </c>
      <c r="J1065">
        <v>5.4</v>
      </c>
      <c r="K1065" t="s">
        <v>23</v>
      </c>
      <c r="L1065">
        <v>11.4</v>
      </c>
      <c r="M1065">
        <v>10</v>
      </c>
      <c r="N1065">
        <v>5284</v>
      </c>
      <c r="O1065" t="s">
        <v>118</v>
      </c>
      <c r="P1065">
        <v>81.5</v>
      </c>
      <c r="Q1065" t="s">
        <v>56</v>
      </c>
      <c r="R1065">
        <v>-27.7</v>
      </c>
      <c r="S1065">
        <v>35.6</v>
      </c>
      <c r="T1065">
        <v>12.8</v>
      </c>
      <c r="U1065">
        <v>8.8000000000000007</v>
      </c>
      <c r="V1065">
        <v>7.6</v>
      </c>
      <c r="W1065">
        <v>6.1</v>
      </c>
      <c r="X1065" t="s">
        <v>116</v>
      </c>
    </row>
    <row r="1066" spans="2:24" x14ac:dyDescent="0.3">
      <c r="B1066" t="s">
        <v>1159</v>
      </c>
      <c r="C1066" t="s">
        <v>59</v>
      </c>
      <c r="D1066" t="s">
        <v>4</v>
      </c>
      <c r="E1066" t="s">
        <v>18</v>
      </c>
      <c r="F1066" t="s">
        <v>10</v>
      </c>
      <c r="G1066" t="s">
        <v>78</v>
      </c>
      <c r="H1066">
        <v>2025</v>
      </c>
      <c r="I1066">
        <v>12903</v>
      </c>
      <c r="J1066">
        <v>21.4</v>
      </c>
      <c r="K1066" t="s">
        <v>21</v>
      </c>
      <c r="L1066">
        <v>9.9</v>
      </c>
      <c r="M1066">
        <v>10</v>
      </c>
      <c r="N1066">
        <v>986</v>
      </c>
      <c r="O1066" t="s">
        <v>64</v>
      </c>
      <c r="P1066">
        <v>35.799999999999997</v>
      </c>
      <c r="Q1066" t="s">
        <v>86</v>
      </c>
      <c r="R1066">
        <v>21.9</v>
      </c>
      <c r="S1066">
        <v>33.9</v>
      </c>
      <c r="T1066">
        <v>16.3</v>
      </c>
      <c r="U1066">
        <v>5.9</v>
      </c>
      <c r="V1066">
        <v>7.6</v>
      </c>
      <c r="W1066">
        <v>4</v>
      </c>
      <c r="X1066" t="s">
        <v>66</v>
      </c>
    </row>
    <row r="1067" spans="2:24" x14ac:dyDescent="0.3">
      <c r="B1067" t="s">
        <v>1160</v>
      </c>
      <c r="C1067" t="s">
        <v>106</v>
      </c>
      <c r="D1067" t="s">
        <v>8</v>
      </c>
      <c r="E1067" t="s">
        <v>15</v>
      </c>
      <c r="F1067" t="s">
        <v>11</v>
      </c>
      <c r="G1067" t="s">
        <v>69</v>
      </c>
      <c r="H1067">
        <v>2026</v>
      </c>
      <c r="I1067">
        <v>442</v>
      </c>
      <c r="J1067">
        <v>7.6</v>
      </c>
      <c r="K1067" t="s">
        <v>22</v>
      </c>
      <c r="L1067">
        <v>8</v>
      </c>
      <c r="M1067">
        <v>9.9</v>
      </c>
      <c r="N1067">
        <v>4253</v>
      </c>
      <c r="O1067" t="s">
        <v>64</v>
      </c>
      <c r="P1067">
        <v>87.2</v>
      </c>
      <c r="Q1067" t="s">
        <v>84</v>
      </c>
      <c r="R1067">
        <v>-22.2</v>
      </c>
      <c r="S1067">
        <v>-7.7</v>
      </c>
      <c r="T1067">
        <v>-3.5</v>
      </c>
      <c r="U1067">
        <v>6.8</v>
      </c>
      <c r="V1067">
        <v>4.4000000000000004</v>
      </c>
      <c r="W1067">
        <v>6</v>
      </c>
      <c r="X1067" t="s">
        <v>57</v>
      </c>
    </row>
    <row r="1068" spans="2:24" x14ac:dyDescent="0.3">
      <c r="B1068" t="s">
        <v>1161</v>
      </c>
      <c r="C1068" t="s">
        <v>122</v>
      </c>
      <c r="D1068" t="s">
        <v>2</v>
      </c>
      <c r="E1068" t="s">
        <v>15</v>
      </c>
      <c r="F1068" t="s">
        <v>11</v>
      </c>
      <c r="G1068" t="s">
        <v>63</v>
      </c>
      <c r="H1068">
        <v>2025</v>
      </c>
      <c r="I1068">
        <v>2698</v>
      </c>
      <c r="J1068">
        <v>15.8</v>
      </c>
      <c r="K1068" t="s">
        <v>23</v>
      </c>
      <c r="L1068">
        <v>2.6</v>
      </c>
      <c r="M1068">
        <v>5.5</v>
      </c>
      <c r="N1068">
        <v>7467</v>
      </c>
      <c r="O1068" t="s">
        <v>55</v>
      </c>
      <c r="P1068">
        <v>32.4</v>
      </c>
      <c r="Q1068" t="s">
        <v>56</v>
      </c>
      <c r="R1068">
        <v>86.5</v>
      </c>
      <c r="S1068">
        <v>-22.4</v>
      </c>
      <c r="T1068">
        <v>-16.2</v>
      </c>
      <c r="U1068">
        <v>3.5</v>
      </c>
      <c r="V1068">
        <v>4.2</v>
      </c>
      <c r="W1068">
        <v>5.6</v>
      </c>
      <c r="X1068" t="s">
        <v>66</v>
      </c>
    </row>
    <row r="1069" spans="2:24" x14ac:dyDescent="0.3">
      <c r="B1069" t="s">
        <v>1162</v>
      </c>
      <c r="C1069" t="s">
        <v>59</v>
      </c>
      <c r="D1069" t="s">
        <v>4</v>
      </c>
      <c r="E1069" t="s">
        <v>19</v>
      </c>
      <c r="F1069" t="s">
        <v>10</v>
      </c>
      <c r="G1069" t="s">
        <v>101</v>
      </c>
      <c r="H1069">
        <v>2026</v>
      </c>
      <c r="I1069">
        <v>11541</v>
      </c>
      <c r="J1069">
        <v>23</v>
      </c>
      <c r="K1069" t="s">
        <v>21</v>
      </c>
      <c r="L1069">
        <v>2.9</v>
      </c>
      <c r="M1069">
        <v>7.2</v>
      </c>
      <c r="N1069">
        <v>1551</v>
      </c>
      <c r="O1069" t="s">
        <v>75</v>
      </c>
      <c r="P1069">
        <v>77.3</v>
      </c>
      <c r="Q1069" t="s">
        <v>76</v>
      </c>
      <c r="R1069">
        <v>51.4</v>
      </c>
      <c r="S1069">
        <v>-9.6</v>
      </c>
      <c r="T1069">
        <v>-0.9</v>
      </c>
      <c r="U1069">
        <v>2.2000000000000002</v>
      </c>
      <c r="V1069">
        <v>3.3</v>
      </c>
      <c r="W1069">
        <v>3.4</v>
      </c>
      <c r="X1069" t="s">
        <v>66</v>
      </c>
    </row>
    <row r="1070" spans="2:24" x14ac:dyDescent="0.3">
      <c r="B1070" t="s">
        <v>1163</v>
      </c>
      <c r="C1070" t="s">
        <v>27</v>
      </c>
      <c r="D1070" t="s">
        <v>2</v>
      </c>
      <c r="E1070" t="s">
        <v>14</v>
      </c>
      <c r="F1070" t="s">
        <v>11</v>
      </c>
      <c r="G1070" t="s">
        <v>54</v>
      </c>
      <c r="H1070">
        <v>2026</v>
      </c>
      <c r="I1070">
        <v>17753</v>
      </c>
      <c r="J1070">
        <v>21.8</v>
      </c>
      <c r="K1070" t="s">
        <v>25</v>
      </c>
      <c r="L1070">
        <v>12.7</v>
      </c>
      <c r="M1070">
        <v>10</v>
      </c>
      <c r="N1070">
        <v>5487</v>
      </c>
      <c r="O1070" t="s">
        <v>55</v>
      </c>
      <c r="P1070">
        <v>28.9</v>
      </c>
      <c r="Q1070" t="s">
        <v>76</v>
      </c>
      <c r="R1070">
        <v>40.6</v>
      </c>
      <c r="S1070">
        <v>57.1</v>
      </c>
      <c r="T1070">
        <v>16.2</v>
      </c>
      <c r="U1070">
        <v>8.9</v>
      </c>
      <c r="V1070">
        <v>7.5</v>
      </c>
      <c r="W1070">
        <v>6.1</v>
      </c>
      <c r="X1070" t="s">
        <v>66</v>
      </c>
    </row>
    <row r="1071" spans="2:24" x14ac:dyDescent="0.3">
      <c r="B1071" t="s">
        <v>1164</v>
      </c>
      <c r="C1071" t="s">
        <v>27</v>
      </c>
      <c r="D1071" t="s">
        <v>2</v>
      </c>
      <c r="E1071" t="s">
        <v>17</v>
      </c>
      <c r="F1071" t="s">
        <v>11</v>
      </c>
      <c r="G1071" t="s">
        <v>74</v>
      </c>
      <c r="H1071">
        <v>2024</v>
      </c>
      <c r="I1071">
        <v>16251</v>
      </c>
      <c r="J1071">
        <v>31.8</v>
      </c>
      <c r="K1071" t="s">
        <v>25</v>
      </c>
      <c r="L1071">
        <v>6.3</v>
      </c>
      <c r="M1071">
        <v>10</v>
      </c>
      <c r="N1071">
        <v>2719</v>
      </c>
      <c r="O1071" t="s">
        <v>64</v>
      </c>
      <c r="P1071">
        <v>38</v>
      </c>
      <c r="Q1071" t="s">
        <v>56</v>
      </c>
      <c r="R1071">
        <v>2.1</v>
      </c>
      <c r="S1071">
        <v>2.8</v>
      </c>
      <c r="T1071">
        <v>-12.9</v>
      </c>
      <c r="U1071">
        <v>7.9</v>
      </c>
      <c r="V1071">
        <v>6.4</v>
      </c>
      <c r="W1071">
        <v>3.5</v>
      </c>
      <c r="X1071" t="s">
        <v>66</v>
      </c>
    </row>
    <row r="1072" spans="2:24" x14ac:dyDescent="0.3">
      <c r="B1072" t="s">
        <v>1165</v>
      </c>
      <c r="C1072" t="s">
        <v>106</v>
      </c>
      <c r="D1072" t="s">
        <v>4</v>
      </c>
      <c r="E1072" t="s">
        <v>18</v>
      </c>
      <c r="F1072" t="s">
        <v>12</v>
      </c>
      <c r="G1072" t="s">
        <v>131</v>
      </c>
      <c r="H1072">
        <v>2024</v>
      </c>
      <c r="I1072">
        <v>1612</v>
      </c>
      <c r="J1072">
        <v>3.9</v>
      </c>
      <c r="K1072" t="s">
        <v>25</v>
      </c>
      <c r="L1072">
        <v>5.2</v>
      </c>
      <c r="M1072">
        <v>10</v>
      </c>
      <c r="N1072">
        <v>2902</v>
      </c>
      <c r="O1072" t="s">
        <v>55</v>
      </c>
      <c r="P1072">
        <v>21.1</v>
      </c>
      <c r="Q1072" t="s">
        <v>76</v>
      </c>
      <c r="R1072">
        <v>23.9</v>
      </c>
      <c r="S1072">
        <v>6.1</v>
      </c>
      <c r="T1072">
        <v>8.1</v>
      </c>
      <c r="U1072">
        <v>7.9</v>
      </c>
      <c r="V1072">
        <v>8</v>
      </c>
      <c r="W1072">
        <v>5.7</v>
      </c>
      <c r="X1072" t="s">
        <v>57</v>
      </c>
    </row>
    <row r="1073" spans="2:24" x14ac:dyDescent="0.3">
      <c r="B1073" t="s">
        <v>1166</v>
      </c>
      <c r="C1073" t="s">
        <v>71</v>
      </c>
      <c r="D1073" t="s">
        <v>6</v>
      </c>
      <c r="E1073" t="s">
        <v>15</v>
      </c>
      <c r="F1073" t="s">
        <v>11</v>
      </c>
      <c r="G1073" t="s">
        <v>54</v>
      </c>
      <c r="H1073">
        <v>2024</v>
      </c>
      <c r="I1073">
        <v>416</v>
      </c>
      <c r="J1073">
        <v>5.6</v>
      </c>
      <c r="K1073" t="s">
        <v>23</v>
      </c>
      <c r="L1073">
        <v>7.1</v>
      </c>
      <c r="M1073">
        <v>10</v>
      </c>
      <c r="N1073">
        <v>3514</v>
      </c>
      <c r="O1073" t="s">
        <v>55</v>
      </c>
      <c r="P1073">
        <v>54.5</v>
      </c>
      <c r="Q1073" t="s">
        <v>86</v>
      </c>
      <c r="R1073">
        <v>33.299999999999997</v>
      </c>
      <c r="S1073">
        <v>32.5</v>
      </c>
      <c r="T1073">
        <v>6.6</v>
      </c>
      <c r="U1073">
        <v>5.9</v>
      </c>
      <c r="V1073">
        <v>6.2</v>
      </c>
      <c r="W1073">
        <v>6.6</v>
      </c>
      <c r="X1073" t="s">
        <v>57</v>
      </c>
    </row>
    <row r="1074" spans="2:24" x14ac:dyDescent="0.3">
      <c r="B1074" t="s">
        <v>1167</v>
      </c>
      <c r="C1074" t="s">
        <v>83</v>
      </c>
      <c r="D1074" t="s">
        <v>4</v>
      </c>
      <c r="E1074" t="s">
        <v>14</v>
      </c>
      <c r="F1074" t="s">
        <v>10</v>
      </c>
      <c r="G1074" t="s">
        <v>74</v>
      </c>
      <c r="H1074">
        <v>2026</v>
      </c>
      <c r="I1074">
        <v>5701</v>
      </c>
      <c r="J1074">
        <v>2.1</v>
      </c>
      <c r="K1074" t="s">
        <v>22</v>
      </c>
      <c r="L1074">
        <v>7.5</v>
      </c>
      <c r="M1074">
        <v>10</v>
      </c>
      <c r="N1074">
        <v>5960</v>
      </c>
      <c r="O1074" t="s">
        <v>118</v>
      </c>
      <c r="P1074">
        <v>89.5</v>
      </c>
      <c r="Q1074" t="s">
        <v>65</v>
      </c>
      <c r="R1074">
        <v>44.4</v>
      </c>
      <c r="S1074">
        <v>7</v>
      </c>
      <c r="T1074">
        <v>8.9</v>
      </c>
      <c r="U1074">
        <v>9.6</v>
      </c>
      <c r="V1074">
        <v>8.6</v>
      </c>
      <c r="W1074">
        <v>5.6</v>
      </c>
      <c r="X1074" t="s">
        <v>116</v>
      </c>
    </row>
    <row r="1075" spans="2:24" x14ac:dyDescent="0.3">
      <c r="B1075" t="s">
        <v>1168</v>
      </c>
      <c r="C1075" t="s">
        <v>90</v>
      </c>
      <c r="D1075" t="s">
        <v>6</v>
      </c>
      <c r="E1075" t="s">
        <v>17</v>
      </c>
      <c r="F1075" t="s">
        <v>12</v>
      </c>
      <c r="G1075" t="s">
        <v>63</v>
      </c>
      <c r="H1075">
        <v>2024</v>
      </c>
      <c r="I1075">
        <v>6036</v>
      </c>
      <c r="J1075">
        <v>25.7</v>
      </c>
      <c r="K1075" t="s">
        <v>24</v>
      </c>
      <c r="L1075">
        <v>13.6</v>
      </c>
      <c r="M1075">
        <v>10</v>
      </c>
      <c r="N1075">
        <v>1375</v>
      </c>
      <c r="O1075" t="s">
        <v>64</v>
      </c>
      <c r="P1075">
        <v>76.400000000000006</v>
      </c>
      <c r="Q1075" t="s">
        <v>65</v>
      </c>
      <c r="R1075">
        <v>-6.4</v>
      </c>
      <c r="S1075">
        <v>-20.8</v>
      </c>
      <c r="T1075">
        <v>-11.4</v>
      </c>
      <c r="U1075">
        <v>9.1</v>
      </c>
      <c r="V1075">
        <v>4.0999999999999996</v>
      </c>
      <c r="W1075">
        <v>2.5</v>
      </c>
      <c r="X1075" t="s">
        <v>66</v>
      </c>
    </row>
    <row r="1076" spans="2:24" x14ac:dyDescent="0.3">
      <c r="B1076" t="s">
        <v>1169</v>
      </c>
      <c r="C1076" t="s">
        <v>71</v>
      </c>
      <c r="D1076" t="s">
        <v>6</v>
      </c>
      <c r="E1076" t="s">
        <v>16</v>
      </c>
      <c r="F1076" t="s">
        <v>12</v>
      </c>
      <c r="G1076" t="s">
        <v>131</v>
      </c>
      <c r="H1076">
        <v>2025</v>
      </c>
      <c r="I1076">
        <v>2986</v>
      </c>
      <c r="J1076">
        <v>16</v>
      </c>
      <c r="K1076" t="s">
        <v>25</v>
      </c>
      <c r="L1076">
        <v>2.1</v>
      </c>
      <c r="M1076">
        <v>5.4</v>
      </c>
      <c r="N1076">
        <v>1979</v>
      </c>
      <c r="O1076" t="s">
        <v>64</v>
      </c>
      <c r="P1076">
        <v>72</v>
      </c>
      <c r="Q1076" t="s">
        <v>125</v>
      </c>
      <c r="R1076">
        <v>-37.6</v>
      </c>
      <c r="S1076">
        <v>17.3</v>
      </c>
      <c r="T1076">
        <v>1.2</v>
      </c>
      <c r="U1076">
        <v>2</v>
      </c>
      <c r="V1076">
        <v>4.9000000000000004</v>
      </c>
      <c r="W1076">
        <v>5.0999999999999996</v>
      </c>
      <c r="X1076" t="s">
        <v>116</v>
      </c>
    </row>
    <row r="1077" spans="2:24" x14ac:dyDescent="0.3">
      <c r="B1077" t="s">
        <v>1170</v>
      </c>
      <c r="C1077" t="s">
        <v>81</v>
      </c>
      <c r="D1077" t="s">
        <v>5</v>
      </c>
      <c r="E1077" t="s">
        <v>15</v>
      </c>
      <c r="F1077" t="s">
        <v>11</v>
      </c>
      <c r="G1077" t="s">
        <v>63</v>
      </c>
      <c r="H1077">
        <v>2025</v>
      </c>
      <c r="I1077">
        <v>5807</v>
      </c>
      <c r="J1077">
        <v>21.7</v>
      </c>
      <c r="K1077" t="s">
        <v>22</v>
      </c>
      <c r="L1077">
        <v>5</v>
      </c>
      <c r="M1077">
        <v>5.7</v>
      </c>
      <c r="N1077">
        <v>1974</v>
      </c>
      <c r="O1077" t="s">
        <v>75</v>
      </c>
      <c r="P1077">
        <v>23.1</v>
      </c>
      <c r="Q1077" t="s">
        <v>86</v>
      </c>
      <c r="R1077">
        <v>-21.1</v>
      </c>
      <c r="S1077">
        <v>14.3</v>
      </c>
      <c r="T1077">
        <v>7.7</v>
      </c>
      <c r="U1077">
        <v>4</v>
      </c>
      <c r="V1077">
        <v>4.3</v>
      </c>
      <c r="W1077">
        <v>5.2</v>
      </c>
      <c r="X1077" t="s">
        <v>66</v>
      </c>
    </row>
    <row r="1078" spans="2:24" x14ac:dyDescent="0.3">
      <c r="B1078" t="s">
        <v>1171</v>
      </c>
      <c r="C1078" t="s">
        <v>106</v>
      </c>
      <c r="D1078" t="s">
        <v>4</v>
      </c>
      <c r="E1078" t="s">
        <v>19</v>
      </c>
      <c r="F1078" t="s">
        <v>12</v>
      </c>
      <c r="G1078" t="s">
        <v>112</v>
      </c>
      <c r="H1078">
        <v>2024</v>
      </c>
      <c r="I1078">
        <v>19819</v>
      </c>
      <c r="J1078">
        <v>33.799999999999997</v>
      </c>
      <c r="K1078" t="s">
        <v>25</v>
      </c>
      <c r="L1078">
        <v>2.8</v>
      </c>
      <c r="M1078">
        <v>10</v>
      </c>
      <c r="N1078">
        <v>787</v>
      </c>
      <c r="O1078" t="s">
        <v>75</v>
      </c>
      <c r="P1078">
        <v>44</v>
      </c>
      <c r="Q1078" t="s">
        <v>84</v>
      </c>
      <c r="R1078">
        <v>71.5</v>
      </c>
      <c r="S1078">
        <v>2.5</v>
      </c>
      <c r="T1078">
        <v>-11.1</v>
      </c>
      <c r="U1078">
        <v>2.9</v>
      </c>
      <c r="V1078">
        <v>5.5</v>
      </c>
      <c r="W1078">
        <v>2.5</v>
      </c>
      <c r="X1078" t="s">
        <v>66</v>
      </c>
    </row>
    <row r="1079" spans="2:24" x14ac:dyDescent="0.3">
      <c r="B1079" t="s">
        <v>1172</v>
      </c>
      <c r="C1079" t="s">
        <v>97</v>
      </c>
      <c r="D1079" t="s">
        <v>3</v>
      </c>
      <c r="E1079" t="s">
        <v>14</v>
      </c>
      <c r="F1079" t="s">
        <v>12</v>
      </c>
      <c r="G1079" t="s">
        <v>78</v>
      </c>
      <c r="H1079">
        <v>2024</v>
      </c>
      <c r="I1079">
        <v>2023</v>
      </c>
      <c r="J1079">
        <v>27.4</v>
      </c>
      <c r="K1079" t="s">
        <v>23</v>
      </c>
      <c r="L1079">
        <v>9.1999999999999993</v>
      </c>
      <c r="M1079">
        <v>10</v>
      </c>
      <c r="N1079">
        <v>1390</v>
      </c>
      <c r="O1079" t="s">
        <v>75</v>
      </c>
      <c r="P1079">
        <v>32.4</v>
      </c>
      <c r="Q1079" t="s">
        <v>84</v>
      </c>
      <c r="R1079">
        <v>-10.199999999999999</v>
      </c>
      <c r="S1079">
        <v>-18.600000000000001</v>
      </c>
      <c r="T1079">
        <v>-15.7</v>
      </c>
      <c r="U1079">
        <v>6.2</v>
      </c>
      <c r="V1079">
        <v>4.3</v>
      </c>
      <c r="W1079">
        <v>3.6</v>
      </c>
      <c r="X1079" t="s">
        <v>66</v>
      </c>
    </row>
    <row r="1080" spans="2:24" x14ac:dyDescent="0.3">
      <c r="B1080" t="s">
        <v>1173</v>
      </c>
      <c r="C1080" t="s">
        <v>90</v>
      </c>
      <c r="D1080" t="s">
        <v>2</v>
      </c>
      <c r="E1080" t="s">
        <v>15</v>
      </c>
      <c r="F1080" t="s">
        <v>9</v>
      </c>
      <c r="G1080" t="s">
        <v>112</v>
      </c>
      <c r="H1080">
        <v>2025</v>
      </c>
      <c r="I1080">
        <v>2258</v>
      </c>
      <c r="J1080">
        <v>3.6</v>
      </c>
      <c r="K1080" t="s">
        <v>21</v>
      </c>
      <c r="L1080">
        <v>6.1</v>
      </c>
      <c r="M1080">
        <v>3.3</v>
      </c>
      <c r="N1080">
        <v>2020</v>
      </c>
      <c r="O1080" t="s">
        <v>64</v>
      </c>
      <c r="P1080">
        <v>80.599999999999994</v>
      </c>
      <c r="Q1080" t="s">
        <v>56</v>
      </c>
      <c r="R1080">
        <v>60.5</v>
      </c>
      <c r="S1080">
        <v>3.2</v>
      </c>
      <c r="T1080">
        <v>2.4</v>
      </c>
      <c r="U1080">
        <v>4.0999999999999996</v>
      </c>
      <c r="V1080">
        <v>4.9000000000000004</v>
      </c>
      <c r="W1080">
        <v>7.5</v>
      </c>
      <c r="X1080" t="s">
        <v>57</v>
      </c>
    </row>
    <row r="1081" spans="2:24" x14ac:dyDescent="0.3">
      <c r="B1081" t="s">
        <v>1174</v>
      </c>
      <c r="C1081" t="s">
        <v>71</v>
      </c>
      <c r="D1081" t="s">
        <v>5</v>
      </c>
      <c r="E1081" t="s">
        <v>19</v>
      </c>
      <c r="F1081" t="s">
        <v>12</v>
      </c>
      <c r="G1081" t="s">
        <v>74</v>
      </c>
      <c r="H1081">
        <v>2026</v>
      </c>
      <c r="I1081">
        <v>3939</v>
      </c>
      <c r="J1081">
        <v>19.5</v>
      </c>
      <c r="K1081" t="s">
        <v>21</v>
      </c>
      <c r="L1081">
        <v>8.5</v>
      </c>
      <c r="M1081">
        <v>10</v>
      </c>
      <c r="N1081">
        <v>311</v>
      </c>
      <c r="O1081" t="s">
        <v>64</v>
      </c>
      <c r="P1081">
        <v>37.5</v>
      </c>
      <c r="Q1081" t="s">
        <v>56</v>
      </c>
      <c r="R1081">
        <v>55.6</v>
      </c>
      <c r="S1081">
        <v>14</v>
      </c>
      <c r="T1081">
        <v>3.6</v>
      </c>
      <c r="U1081">
        <v>7.5</v>
      </c>
      <c r="V1081">
        <v>6.7</v>
      </c>
      <c r="W1081">
        <v>5.2</v>
      </c>
      <c r="X1081" t="s">
        <v>66</v>
      </c>
    </row>
    <row r="1082" spans="2:24" x14ac:dyDescent="0.3">
      <c r="B1082" t="s">
        <v>1175</v>
      </c>
      <c r="C1082" t="s">
        <v>106</v>
      </c>
      <c r="D1082" t="s">
        <v>3</v>
      </c>
      <c r="E1082" t="s">
        <v>18</v>
      </c>
      <c r="F1082" t="s">
        <v>10</v>
      </c>
      <c r="G1082" t="s">
        <v>112</v>
      </c>
      <c r="H1082">
        <v>2025</v>
      </c>
      <c r="I1082">
        <v>10587</v>
      </c>
      <c r="J1082">
        <v>15.1</v>
      </c>
      <c r="K1082" t="s">
        <v>22</v>
      </c>
      <c r="L1082">
        <v>5</v>
      </c>
      <c r="M1082">
        <v>8.9</v>
      </c>
      <c r="N1082">
        <v>1303</v>
      </c>
      <c r="O1082" t="s">
        <v>64</v>
      </c>
      <c r="P1082">
        <v>19.100000000000001</v>
      </c>
      <c r="Q1082" t="s">
        <v>125</v>
      </c>
      <c r="R1082">
        <v>54.6</v>
      </c>
      <c r="S1082">
        <v>39.700000000000003</v>
      </c>
      <c r="T1082">
        <v>7.5</v>
      </c>
      <c r="U1082">
        <v>5.2</v>
      </c>
      <c r="V1082">
        <v>7</v>
      </c>
      <c r="W1082">
        <v>5</v>
      </c>
      <c r="X1082" t="s">
        <v>66</v>
      </c>
    </row>
    <row r="1083" spans="2:24" x14ac:dyDescent="0.3">
      <c r="B1083" t="s">
        <v>1176</v>
      </c>
      <c r="C1083" t="s">
        <v>159</v>
      </c>
      <c r="D1083" t="s">
        <v>7</v>
      </c>
      <c r="E1083" t="s">
        <v>14</v>
      </c>
      <c r="F1083" t="s">
        <v>9</v>
      </c>
      <c r="G1083" t="s">
        <v>78</v>
      </c>
      <c r="H1083">
        <v>2024</v>
      </c>
      <c r="I1083">
        <v>3583</v>
      </c>
      <c r="J1083">
        <v>5.8</v>
      </c>
      <c r="K1083" t="s">
        <v>23</v>
      </c>
      <c r="L1083">
        <v>1.9</v>
      </c>
      <c r="M1083">
        <v>1</v>
      </c>
      <c r="N1083">
        <v>5584</v>
      </c>
      <c r="O1083" t="s">
        <v>64</v>
      </c>
      <c r="P1083">
        <v>20</v>
      </c>
      <c r="Q1083" t="s">
        <v>56</v>
      </c>
      <c r="R1083">
        <v>27.9</v>
      </c>
      <c r="S1083">
        <v>34.299999999999997</v>
      </c>
      <c r="T1083">
        <v>21.3</v>
      </c>
      <c r="U1083">
        <v>2.2000000000000002</v>
      </c>
      <c r="V1083">
        <v>8.1999999999999993</v>
      </c>
      <c r="W1083">
        <v>9.1</v>
      </c>
      <c r="X1083" t="s">
        <v>116</v>
      </c>
    </row>
    <row r="1084" spans="2:24" x14ac:dyDescent="0.3">
      <c r="B1084" t="s">
        <v>1177</v>
      </c>
      <c r="C1084" t="s">
        <v>71</v>
      </c>
      <c r="D1084" t="s">
        <v>5</v>
      </c>
      <c r="E1084" t="s">
        <v>14</v>
      </c>
      <c r="F1084" t="s">
        <v>11</v>
      </c>
      <c r="G1084" t="s">
        <v>98</v>
      </c>
      <c r="H1084">
        <v>2024</v>
      </c>
      <c r="I1084">
        <v>7470</v>
      </c>
      <c r="J1084">
        <v>8.6</v>
      </c>
      <c r="K1084" t="s">
        <v>22</v>
      </c>
      <c r="L1084">
        <v>2.4</v>
      </c>
      <c r="M1084">
        <v>3</v>
      </c>
      <c r="N1084">
        <v>1597</v>
      </c>
      <c r="O1084" t="s">
        <v>64</v>
      </c>
      <c r="P1084">
        <v>11.4</v>
      </c>
      <c r="Q1084" t="s">
        <v>125</v>
      </c>
      <c r="R1084">
        <v>-23.6</v>
      </c>
      <c r="S1084">
        <v>-20.7</v>
      </c>
      <c r="T1084">
        <v>-3.7</v>
      </c>
      <c r="U1084">
        <v>3.2</v>
      </c>
      <c r="V1084">
        <v>4.2</v>
      </c>
      <c r="W1084">
        <v>5.6</v>
      </c>
      <c r="X1084" t="s">
        <v>66</v>
      </c>
    </row>
    <row r="1085" spans="2:24" x14ac:dyDescent="0.3">
      <c r="B1085" t="s">
        <v>1178</v>
      </c>
      <c r="C1085" t="s">
        <v>62</v>
      </c>
      <c r="D1085" t="s">
        <v>2</v>
      </c>
      <c r="E1085" t="s">
        <v>19</v>
      </c>
      <c r="F1085" t="s">
        <v>12</v>
      </c>
      <c r="G1085" t="s">
        <v>98</v>
      </c>
      <c r="H1085">
        <v>2025</v>
      </c>
      <c r="I1085">
        <v>4987</v>
      </c>
      <c r="J1085">
        <v>5.0999999999999996</v>
      </c>
      <c r="K1085" t="s">
        <v>24</v>
      </c>
      <c r="L1085">
        <v>8.5</v>
      </c>
      <c r="M1085">
        <v>9.1999999999999993</v>
      </c>
      <c r="N1085">
        <v>1134</v>
      </c>
      <c r="O1085" t="s">
        <v>64</v>
      </c>
      <c r="P1085">
        <v>38.4</v>
      </c>
      <c r="Q1085" t="s">
        <v>56</v>
      </c>
      <c r="R1085">
        <v>81.5</v>
      </c>
      <c r="S1085">
        <v>39</v>
      </c>
      <c r="T1085">
        <v>25</v>
      </c>
      <c r="U1085">
        <v>8.5</v>
      </c>
      <c r="V1085">
        <v>6.6</v>
      </c>
      <c r="W1085">
        <v>7.1</v>
      </c>
      <c r="X1085" t="s">
        <v>116</v>
      </c>
    </row>
    <row r="1086" spans="2:24" x14ac:dyDescent="0.3">
      <c r="B1086" t="s">
        <v>1179</v>
      </c>
      <c r="C1086" t="s">
        <v>142</v>
      </c>
      <c r="D1086" t="s">
        <v>2</v>
      </c>
      <c r="E1086" t="s">
        <v>15</v>
      </c>
      <c r="F1086" t="s">
        <v>12</v>
      </c>
      <c r="G1086" t="s">
        <v>54</v>
      </c>
      <c r="H1086">
        <v>2026</v>
      </c>
      <c r="I1086">
        <v>6430</v>
      </c>
      <c r="J1086">
        <v>10.7</v>
      </c>
      <c r="K1086" t="s">
        <v>22</v>
      </c>
      <c r="L1086">
        <v>9</v>
      </c>
      <c r="M1086">
        <v>10</v>
      </c>
      <c r="N1086">
        <v>8445</v>
      </c>
      <c r="O1086" t="s">
        <v>118</v>
      </c>
      <c r="P1086">
        <v>29.7</v>
      </c>
      <c r="Q1086" t="s">
        <v>56</v>
      </c>
      <c r="R1086">
        <v>71.7</v>
      </c>
      <c r="S1086">
        <v>-8.1</v>
      </c>
      <c r="T1086">
        <v>-5.6</v>
      </c>
      <c r="U1086">
        <v>7.8</v>
      </c>
      <c r="V1086">
        <v>6.7</v>
      </c>
      <c r="W1086">
        <v>4.0999999999999996</v>
      </c>
      <c r="X1086" t="s">
        <v>116</v>
      </c>
    </row>
    <row r="1087" spans="2:24" x14ac:dyDescent="0.3">
      <c r="B1087" t="s">
        <v>1180</v>
      </c>
      <c r="C1087" t="s">
        <v>139</v>
      </c>
      <c r="D1087" t="s">
        <v>8</v>
      </c>
      <c r="E1087" t="s">
        <v>17</v>
      </c>
      <c r="F1087" t="s">
        <v>11</v>
      </c>
      <c r="G1087" t="s">
        <v>54</v>
      </c>
      <c r="H1087">
        <v>2026</v>
      </c>
      <c r="I1087">
        <v>5981</v>
      </c>
      <c r="J1087">
        <v>2.2999999999999998</v>
      </c>
      <c r="K1087" t="s">
        <v>24</v>
      </c>
      <c r="L1087">
        <v>11.6</v>
      </c>
      <c r="M1087">
        <v>10</v>
      </c>
      <c r="N1087">
        <v>3427</v>
      </c>
      <c r="O1087" t="s">
        <v>55</v>
      </c>
      <c r="P1087">
        <v>78.900000000000006</v>
      </c>
      <c r="Q1087" t="s">
        <v>125</v>
      </c>
      <c r="R1087">
        <v>-36.1</v>
      </c>
      <c r="S1087">
        <v>4.5</v>
      </c>
      <c r="T1087">
        <v>-1.7</v>
      </c>
      <c r="U1087">
        <v>7.5</v>
      </c>
      <c r="V1087">
        <v>5.5</v>
      </c>
      <c r="W1087">
        <v>5.7</v>
      </c>
      <c r="X1087" t="s">
        <v>116</v>
      </c>
    </row>
    <row r="1088" spans="2:24" x14ac:dyDescent="0.3">
      <c r="B1088" t="s">
        <v>1181</v>
      </c>
      <c r="C1088" t="s">
        <v>71</v>
      </c>
      <c r="D1088" t="s">
        <v>5</v>
      </c>
      <c r="E1088" t="s">
        <v>16</v>
      </c>
      <c r="F1088" t="s">
        <v>9</v>
      </c>
      <c r="G1088" t="s">
        <v>74</v>
      </c>
      <c r="H1088">
        <v>2026</v>
      </c>
      <c r="I1088">
        <v>18783</v>
      </c>
      <c r="J1088">
        <v>17.899999999999999</v>
      </c>
      <c r="K1088" t="s">
        <v>23</v>
      </c>
      <c r="L1088">
        <v>4.5999999999999996</v>
      </c>
      <c r="M1088">
        <v>9.3000000000000007</v>
      </c>
      <c r="N1088">
        <v>181</v>
      </c>
      <c r="O1088" t="s">
        <v>64</v>
      </c>
      <c r="P1088">
        <v>35.4</v>
      </c>
      <c r="Q1088" t="s">
        <v>125</v>
      </c>
      <c r="R1088">
        <v>31.9</v>
      </c>
      <c r="S1088">
        <v>34.5</v>
      </c>
      <c r="T1088">
        <v>12.5</v>
      </c>
      <c r="U1088">
        <v>6.6</v>
      </c>
      <c r="V1088">
        <v>7.1</v>
      </c>
      <c r="W1088">
        <v>4.5</v>
      </c>
      <c r="X1088" t="s">
        <v>66</v>
      </c>
    </row>
    <row r="1089" spans="2:24" x14ac:dyDescent="0.3">
      <c r="B1089" t="s">
        <v>1182</v>
      </c>
      <c r="C1089" t="s">
        <v>68</v>
      </c>
      <c r="D1089" t="s">
        <v>8</v>
      </c>
      <c r="E1089" t="s">
        <v>15</v>
      </c>
      <c r="F1089" t="s">
        <v>9</v>
      </c>
      <c r="G1089" t="s">
        <v>69</v>
      </c>
      <c r="H1089">
        <v>2026</v>
      </c>
      <c r="I1089">
        <v>318</v>
      </c>
      <c r="J1089">
        <v>7</v>
      </c>
      <c r="K1089" t="s">
        <v>22</v>
      </c>
      <c r="L1089">
        <v>7.3</v>
      </c>
      <c r="M1089">
        <v>10</v>
      </c>
      <c r="N1089">
        <v>3965</v>
      </c>
      <c r="O1089" t="s">
        <v>55</v>
      </c>
      <c r="P1089">
        <v>14.7</v>
      </c>
      <c r="Q1089" t="s">
        <v>76</v>
      </c>
      <c r="R1089">
        <v>-0.2</v>
      </c>
      <c r="S1089">
        <v>-8.3000000000000007</v>
      </c>
      <c r="T1089">
        <v>-0.5</v>
      </c>
      <c r="U1089">
        <v>9</v>
      </c>
      <c r="V1089">
        <v>4.9000000000000004</v>
      </c>
      <c r="W1089">
        <v>6</v>
      </c>
      <c r="X1089" t="s">
        <v>57</v>
      </c>
    </row>
    <row r="1090" spans="2:24" x14ac:dyDescent="0.3">
      <c r="B1090" t="s">
        <v>1183</v>
      </c>
      <c r="C1090" t="s">
        <v>90</v>
      </c>
      <c r="D1090" t="s">
        <v>6</v>
      </c>
      <c r="E1090" t="s">
        <v>15</v>
      </c>
      <c r="F1090" t="s">
        <v>10</v>
      </c>
      <c r="G1090" t="s">
        <v>78</v>
      </c>
      <c r="H1090">
        <v>2026</v>
      </c>
      <c r="I1090">
        <v>1664</v>
      </c>
      <c r="J1090">
        <v>7.2</v>
      </c>
      <c r="K1090" t="s">
        <v>21</v>
      </c>
      <c r="L1090">
        <v>13.3</v>
      </c>
      <c r="M1090">
        <v>10</v>
      </c>
      <c r="N1090">
        <v>1419</v>
      </c>
      <c r="O1090" t="s">
        <v>64</v>
      </c>
      <c r="P1090">
        <v>66.400000000000006</v>
      </c>
      <c r="Q1090" t="s">
        <v>65</v>
      </c>
      <c r="R1090">
        <v>0</v>
      </c>
      <c r="S1090">
        <v>-14.9</v>
      </c>
      <c r="T1090">
        <v>-1.5</v>
      </c>
      <c r="U1090">
        <v>8.1</v>
      </c>
      <c r="V1090">
        <v>5.5</v>
      </c>
      <c r="W1090">
        <v>4</v>
      </c>
      <c r="X1090" t="s">
        <v>116</v>
      </c>
    </row>
    <row r="1091" spans="2:24" x14ac:dyDescent="0.3">
      <c r="B1091" t="s">
        <v>1184</v>
      </c>
      <c r="C1091" t="s">
        <v>53</v>
      </c>
      <c r="D1091" t="s">
        <v>4</v>
      </c>
      <c r="E1091" t="s">
        <v>14</v>
      </c>
      <c r="F1091" t="s">
        <v>11</v>
      </c>
      <c r="G1091" t="s">
        <v>69</v>
      </c>
      <c r="H1091">
        <v>2025</v>
      </c>
      <c r="I1091">
        <v>1607</v>
      </c>
      <c r="J1091">
        <v>7.5</v>
      </c>
      <c r="K1091" t="s">
        <v>24</v>
      </c>
      <c r="L1091">
        <v>7.4</v>
      </c>
      <c r="M1091">
        <v>9.8000000000000007</v>
      </c>
      <c r="N1091">
        <v>382</v>
      </c>
      <c r="O1091" t="s">
        <v>55</v>
      </c>
      <c r="P1091">
        <v>81.8</v>
      </c>
      <c r="Q1091" t="s">
        <v>86</v>
      </c>
      <c r="R1091">
        <v>-11.9</v>
      </c>
      <c r="S1091">
        <v>-5.4</v>
      </c>
      <c r="T1091">
        <v>4.5999999999999996</v>
      </c>
      <c r="U1091">
        <v>5.7</v>
      </c>
      <c r="V1091">
        <v>6.2</v>
      </c>
      <c r="W1091">
        <v>6</v>
      </c>
      <c r="X1091" t="s">
        <v>57</v>
      </c>
    </row>
    <row r="1092" spans="2:24" x14ac:dyDescent="0.3">
      <c r="B1092" t="s">
        <v>1185</v>
      </c>
      <c r="C1092" t="s">
        <v>106</v>
      </c>
      <c r="D1092" t="s">
        <v>3</v>
      </c>
      <c r="E1092" t="s">
        <v>14</v>
      </c>
      <c r="F1092" t="s">
        <v>9</v>
      </c>
      <c r="G1092" t="s">
        <v>131</v>
      </c>
      <c r="H1092">
        <v>2024</v>
      </c>
      <c r="I1092">
        <v>2350</v>
      </c>
      <c r="J1092">
        <v>3.8</v>
      </c>
      <c r="K1092" t="s">
        <v>22</v>
      </c>
      <c r="L1092">
        <v>9.9</v>
      </c>
      <c r="M1092">
        <v>8.9</v>
      </c>
      <c r="N1092">
        <v>5239</v>
      </c>
      <c r="O1092" t="s">
        <v>55</v>
      </c>
      <c r="P1092">
        <v>55.2</v>
      </c>
      <c r="Q1092" t="s">
        <v>79</v>
      </c>
      <c r="R1092">
        <v>-25.4</v>
      </c>
      <c r="S1092">
        <v>56</v>
      </c>
      <c r="T1092">
        <v>24.3</v>
      </c>
      <c r="U1092">
        <v>6.4</v>
      </c>
      <c r="V1092">
        <v>8.3000000000000007</v>
      </c>
      <c r="W1092">
        <v>6.8</v>
      </c>
      <c r="X1092" t="s">
        <v>116</v>
      </c>
    </row>
    <row r="1093" spans="2:24" x14ac:dyDescent="0.3">
      <c r="B1093" t="s">
        <v>1186</v>
      </c>
      <c r="C1093" t="s">
        <v>53</v>
      </c>
      <c r="D1093" t="s">
        <v>7</v>
      </c>
      <c r="E1093" t="s">
        <v>17</v>
      </c>
      <c r="F1093" t="s">
        <v>12</v>
      </c>
      <c r="G1093" t="s">
        <v>98</v>
      </c>
      <c r="H1093">
        <v>2026</v>
      </c>
      <c r="I1093">
        <v>1895</v>
      </c>
      <c r="J1093">
        <v>9.9</v>
      </c>
      <c r="K1093" t="s">
        <v>23</v>
      </c>
      <c r="L1093">
        <v>2.2000000000000002</v>
      </c>
      <c r="M1093">
        <v>3.5</v>
      </c>
      <c r="N1093">
        <v>3177</v>
      </c>
      <c r="O1093" t="s">
        <v>64</v>
      </c>
      <c r="P1093">
        <v>68.5</v>
      </c>
      <c r="Q1093" t="s">
        <v>79</v>
      </c>
      <c r="R1093">
        <v>6.7</v>
      </c>
      <c r="S1093">
        <v>51.8</v>
      </c>
      <c r="T1093">
        <v>18.3</v>
      </c>
      <c r="U1093">
        <v>1.3</v>
      </c>
      <c r="V1093">
        <v>8.6999999999999993</v>
      </c>
      <c r="W1093">
        <v>8.1999999999999993</v>
      </c>
      <c r="X1093" t="s">
        <v>57</v>
      </c>
    </row>
    <row r="1094" spans="2:24" x14ac:dyDescent="0.3">
      <c r="B1094" t="s">
        <v>1187</v>
      </c>
      <c r="C1094" t="s">
        <v>106</v>
      </c>
      <c r="D1094" t="s">
        <v>7</v>
      </c>
      <c r="E1094" t="s">
        <v>17</v>
      </c>
      <c r="F1094" t="s">
        <v>12</v>
      </c>
      <c r="G1094" t="s">
        <v>63</v>
      </c>
      <c r="H1094">
        <v>2025</v>
      </c>
      <c r="I1094">
        <v>1606</v>
      </c>
      <c r="J1094">
        <v>7.1</v>
      </c>
      <c r="K1094" t="s">
        <v>22</v>
      </c>
      <c r="L1094">
        <v>10.3</v>
      </c>
      <c r="M1094">
        <v>10</v>
      </c>
      <c r="N1094">
        <v>4287</v>
      </c>
      <c r="O1094" t="s">
        <v>55</v>
      </c>
      <c r="P1094">
        <v>20.6</v>
      </c>
      <c r="Q1094" t="s">
        <v>88</v>
      </c>
      <c r="R1094">
        <v>-44.3</v>
      </c>
      <c r="S1094">
        <v>-24.3</v>
      </c>
      <c r="T1094">
        <v>-13.9</v>
      </c>
      <c r="U1094">
        <v>6.9</v>
      </c>
      <c r="V1094">
        <v>4.8</v>
      </c>
      <c r="W1094">
        <v>4.7</v>
      </c>
      <c r="X1094" t="s">
        <v>116</v>
      </c>
    </row>
    <row r="1095" spans="2:24" x14ac:dyDescent="0.3">
      <c r="B1095" t="s">
        <v>1188</v>
      </c>
      <c r="C1095" t="s">
        <v>73</v>
      </c>
      <c r="D1095" t="s">
        <v>3</v>
      </c>
      <c r="E1095" t="s">
        <v>17</v>
      </c>
      <c r="F1095" t="s">
        <v>9</v>
      </c>
      <c r="G1095" t="s">
        <v>131</v>
      </c>
      <c r="H1095">
        <v>2025</v>
      </c>
      <c r="I1095">
        <v>6755</v>
      </c>
      <c r="J1095">
        <v>9.1999999999999993</v>
      </c>
      <c r="K1095" t="s">
        <v>23</v>
      </c>
      <c r="L1095">
        <v>8.6999999999999993</v>
      </c>
      <c r="M1095">
        <v>10</v>
      </c>
      <c r="N1095">
        <v>2242</v>
      </c>
      <c r="O1095" t="s">
        <v>55</v>
      </c>
      <c r="P1095">
        <v>11</v>
      </c>
      <c r="Q1095" t="s">
        <v>84</v>
      </c>
      <c r="R1095">
        <v>31.5</v>
      </c>
      <c r="S1095">
        <v>34.9</v>
      </c>
      <c r="T1095">
        <v>15.2</v>
      </c>
      <c r="U1095">
        <v>8</v>
      </c>
      <c r="V1095">
        <v>9.1</v>
      </c>
      <c r="W1095">
        <v>6.3</v>
      </c>
      <c r="X1095" t="s">
        <v>116</v>
      </c>
    </row>
    <row r="1096" spans="2:24" x14ac:dyDescent="0.3">
      <c r="B1096" t="s">
        <v>1189</v>
      </c>
      <c r="C1096" t="s">
        <v>92</v>
      </c>
      <c r="D1096" t="s">
        <v>7</v>
      </c>
      <c r="E1096" t="s">
        <v>16</v>
      </c>
      <c r="F1096" t="s">
        <v>12</v>
      </c>
      <c r="G1096" t="s">
        <v>54</v>
      </c>
      <c r="H1096">
        <v>2025</v>
      </c>
      <c r="I1096">
        <v>2305</v>
      </c>
      <c r="J1096">
        <v>9.8000000000000007</v>
      </c>
      <c r="K1096" t="s">
        <v>22</v>
      </c>
      <c r="L1096">
        <v>9.5</v>
      </c>
      <c r="M1096">
        <v>10</v>
      </c>
      <c r="N1096">
        <v>223</v>
      </c>
      <c r="O1096" t="s">
        <v>64</v>
      </c>
      <c r="P1096">
        <v>76.2</v>
      </c>
      <c r="Q1096" t="s">
        <v>65</v>
      </c>
      <c r="R1096">
        <v>-22.7</v>
      </c>
      <c r="S1096">
        <v>31.2</v>
      </c>
      <c r="T1096">
        <v>3</v>
      </c>
      <c r="U1096">
        <v>5.7</v>
      </c>
      <c r="V1096">
        <v>8.5</v>
      </c>
      <c r="W1096">
        <v>6.8</v>
      </c>
      <c r="X1096" t="s">
        <v>57</v>
      </c>
    </row>
    <row r="1097" spans="2:24" x14ac:dyDescent="0.3">
      <c r="B1097" t="s">
        <v>1190</v>
      </c>
      <c r="C1097" t="s">
        <v>137</v>
      </c>
      <c r="D1097" t="s">
        <v>4</v>
      </c>
      <c r="E1097" t="s">
        <v>18</v>
      </c>
      <c r="F1097" t="s">
        <v>11</v>
      </c>
      <c r="G1097" t="s">
        <v>112</v>
      </c>
      <c r="H1097">
        <v>2025</v>
      </c>
      <c r="I1097">
        <v>18040</v>
      </c>
      <c r="J1097">
        <v>36.299999999999997</v>
      </c>
      <c r="K1097" t="s">
        <v>23</v>
      </c>
      <c r="L1097">
        <v>2.4</v>
      </c>
      <c r="M1097">
        <v>10</v>
      </c>
      <c r="N1097">
        <v>1054</v>
      </c>
      <c r="O1097" t="s">
        <v>75</v>
      </c>
      <c r="P1097">
        <v>11.9</v>
      </c>
      <c r="Q1097" t="s">
        <v>56</v>
      </c>
      <c r="R1097">
        <v>86.5</v>
      </c>
      <c r="S1097">
        <v>32.6</v>
      </c>
      <c r="T1097">
        <v>12</v>
      </c>
      <c r="U1097">
        <v>2.6</v>
      </c>
      <c r="V1097">
        <v>4.3</v>
      </c>
      <c r="W1097">
        <v>3.2</v>
      </c>
      <c r="X1097" t="s">
        <v>66</v>
      </c>
    </row>
    <row r="1098" spans="2:24" x14ac:dyDescent="0.3">
      <c r="B1098" t="s">
        <v>1191</v>
      </c>
      <c r="C1098" t="s">
        <v>81</v>
      </c>
      <c r="D1098" t="s">
        <v>5</v>
      </c>
      <c r="E1098" t="s">
        <v>14</v>
      </c>
      <c r="F1098" t="s">
        <v>11</v>
      </c>
      <c r="G1098" t="s">
        <v>101</v>
      </c>
      <c r="H1098">
        <v>2025</v>
      </c>
      <c r="I1098">
        <v>4530</v>
      </c>
      <c r="J1098">
        <v>5.2</v>
      </c>
      <c r="K1098" t="s">
        <v>24</v>
      </c>
      <c r="L1098">
        <v>2</v>
      </c>
      <c r="M1098">
        <v>2.4</v>
      </c>
      <c r="N1098">
        <v>4788</v>
      </c>
      <c r="O1098" t="s">
        <v>55</v>
      </c>
      <c r="P1098">
        <v>83.9</v>
      </c>
      <c r="Q1098" t="s">
        <v>84</v>
      </c>
      <c r="R1098">
        <v>14.7</v>
      </c>
      <c r="S1098">
        <v>21.5</v>
      </c>
      <c r="T1098">
        <v>-1.1000000000000001</v>
      </c>
      <c r="U1098">
        <v>2.5</v>
      </c>
      <c r="V1098">
        <v>7.2</v>
      </c>
      <c r="W1098">
        <v>7.5</v>
      </c>
      <c r="X1098" t="s">
        <v>116</v>
      </c>
    </row>
    <row r="1099" spans="2:24" x14ac:dyDescent="0.3">
      <c r="B1099" t="s">
        <v>1192</v>
      </c>
      <c r="C1099" t="s">
        <v>73</v>
      </c>
      <c r="D1099" t="s">
        <v>3</v>
      </c>
      <c r="E1099" t="s">
        <v>18</v>
      </c>
      <c r="F1099" t="s">
        <v>11</v>
      </c>
      <c r="G1099" t="s">
        <v>98</v>
      </c>
      <c r="H1099">
        <v>2026</v>
      </c>
      <c r="I1099">
        <v>12526</v>
      </c>
      <c r="J1099">
        <v>28.9</v>
      </c>
      <c r="K1099" t="s">
        <v>21</v>
      </c>
      <c r="L1099">
        <v>10.6</v>
      </c>
      <c r="M1099">
        <v>10</v>
      </c>
      <c r="N1099">
        <v>1726</v>
      </c>
      <c r="O1099" t="s">
        <v>75</v>
      </c>
      <c r="P1099">
        <v>38.9</v>
      </c>
      <c r="Q1099" t="s">
        <v>79</v>
      </c>
      <c r="R1099">
        <v>70.900000000000006</v>
      </c>
      <c r="S1099">
        <v>8.8000000000000007</v>
      </c>
      <c r="T1099">
        <v>-8.8000000000000007</v>
      </c>
      <c r="U1099">
        <v>7.4</v>
      </c>
      <c r="V1099">
        <v>5.5</v>
      </c>
      <c r="W1099">
        <v>4.2</v>
      </c>
      <c r="X1099" t="s">
        <v>66</v>
      </c>
    </row>
    <row r="1100" spans="2:24" x14ac:dyDescent="0.3">
      <c r="B1100" t="s">
        <v>1193</v>
      </c>
      <c r="C1100" t="s">
        <v>106</v>
      </c>
      <c r="D1100" t="s">
        <v>3</v>
      </c>
      <c r="E1100" t="s">
        <v>14</v>
      </c>
      <c r="F1100" t="s">
        <v>10</v>
      </c>
      <c r="G1100" t="s">
        <v>54</v>
      </c>
      <c r="H1100">
        <v>2025</v>
      </c>
      <c r="I1100">
        <v>1218</v>
      </c>
      <c r="J1100">
        <v>6</v>
      </c>
      <c r="K1100" t="s">
        <v>23</v>
      </c>
      <c r="L1100">
        <v>6.6</v>
      </c>
      <c r="M1100">
        <v>6.7</v>
      </c>
      <c r="N1100">
        <v>321</v>
      </c>
      <c r="O1100" t="s">
        <v>64</v>
      </c>
      <c r="P1100">
        <v>36.700000000000003</v>
      </c>
      <c r="Q1100" t="s">
        <v>84</v>
      </c>
      <c r="R1100">
        <v>-1.3</v>
      </c>
      <c r="S1100">
        <v>17.100000000000001</v>
      </c>
      <c r="T1100">
        <v>18.3</v>
      </c>
      <c r="U1100">
        <v>7.7</v>
      </c>
      <c r="V1100">
        <v>6.8</v>
      </c>
      <c r="W1100">
        <v>6</v>
      </c>
      <c r="X1100" t="s">
        <v>57</v>
      </c>
    </row>
    <row r="1101" spans="2:24" x14ac:dyDescent="0.3">
      <c r="B1101" t="s">
        <v>1194</v>
      </c>
      <c r="C1101" t="s">
        <v>27</v>
      </c>
      <c r="D1101" t="s">
        <v>3</v>
      </c>
      <c r="E1101" t="s">
        <v>14</v>
      </c>
      <c r="F1101" t="s">
        <v>9</v>
      </c>
      <c r="G1101" t="s">
        <v>104</v>
      </c>
      <c r="H1101">
        <v>2025</v>
      </c>
      <c r="I1101">
        <v>2184</v>
      </c>
      <c r="J1101">
        <v>9.4</v>
      </c>
      <c r="K1101" t="s">
        <v>22</v>
      </c>
      <c r="L1101">
        <v>3</v>
      </c>
      <c r="M1101">
        <v>4.7</v>
      </c>
      <c r="N1101">
        <v>1348</v>
      </c>
      <c r="O1101" t="s">
        <v>64</v>
      </c>
      <c r="P1101">
        <v>38.200000000000003</v>
      </c>
      <c r="Q1101" t="s">
        <v>84</v>
      </c>
      <c r="R1101">
        <v>-38.4</v>
      </c>
      <c r="S1101">
        <v>-21.2</v>
      </c>
      <c r="T1101">
        <v>-9.9</v>
      </c>
      <c r="U1101">
        <v>2.8</v>
      </c>
      <c r="V1101">
        <v>7.2</v>
      </c>
      <c r="W1101">
        <v>5.4</v>
      </c>
      <c r="X1101" t="s">
        <v>57</v>
      </c>
    </row>
    <row r="1102" spans="2:24" x14ac:dyDescent="0.3">
      <c r="B1102" t="s">
        <v>1195</v>
      </c>
      <c r="C1102" t="s">
        <v>27</v>
      </c>
      <c r="D1102" t="s">
        <v>2</v>
      </c>
      <c r="E1102" t="s">
        <v>16</v>
      </c>
      <c r="F1102" t="s">
        <v>10</v>
      </c>
      <c r="G1102" t="s">
        <v>74</v>
      </c>
      <c r="H1102">
        <v>2025</v>
      </c>
      <c r="I1102">
        <v>5079</v>
      </c>
      <c r="J1102">
        <v>17.3</v>
      </c>
      <c r="K1102" t="s">
        <v>23</v>
      </c>
      <c r="L1102">
        <v>3</v>
      </c>
      <c r="M1102">
        <v>8.6</v>
      </c>
      <c r="N1102">
        <v>8737</v>
      </c>
      <c r="O1102" t="s">
        <v>55</v>
      </c>
      <c r="P1102">
        <v>30.7</v>
      </c>
      <c r="Q1102" t="s">
        <v>76</v>
      </c>
      <c r="R1102">
        <v>74</v>
      </c>
      <c r="S1102">
        <v>21.5</v>
      </c>
      <c r="T1102">
        <v>2.5</v>
      </c>
      <c r="U1102">
        <v>4.7</v>
      </c>
      <c r="V1102">
        <v>6.9</v>
      </c>
      <c r="W1102">
        <v>5.4</v>
      </c>
      <c r="X1102" t="s">
        <v>116</v>
      </c>
    </row>
    <row r="1103" spans="2:24" x14ac:dyDescent="0.3">
      <c r="B1103" t="s">
        <v>1196</v>
      </c>
      <c r="C1103" t="s">
        <v>97</v>
      </c>
      <c r="D1103" t="s">
        <v>3</v>
      </c>
      <c r="E1103" t="s">
        <v>17</v>
      </c>
      <c r="F1103" t="s">
        <v>11</v>
      </c>
      <c r="G1103" t="s">
        <v>112</v>
      </c>
      <c r="H1103">
        <v>2026</v>
      </c>
      <c r="I1103">
        <v>411</v>
      </c>
      <c r="J1103">
        <v>9.4</v>
      </c>
      <c r="K1103" t="s">
        <v>23</v>
      </c>
      <c r="L1103">
        <v>1.2</v>
      </c>
      <c r="M1103">
        <v>4.3</v>
      </c>
      <c r="N1103">
        <v>2140</v>
      </c>
      <c r="O1103" t="s">
        <v>64</v>
      </c>
      <c r="P1103">
        <v>49.3</v>
      </c>
      <c r="Q1103" t="s">
        <v>79</v>
      </c>
      <c r="R1103">
        <v>49.8</v>
      </c>
      <c r="S1103">
        <v>42.4</v>
      </c>
      <c r="T1103">
        <v>6</v>
      </c>
      <c r="U1103">
        <v>1.1000000000000001</v>
      </c>
      <c r="V1103">
        <v>9</v>
      </c>
      <c r="W1103">
        <v>7.2</v>
      </c>
      <c r="X1103" t="s">
        <v>57</v>
      </c>
    </row>
    <row r="1104" spans="2:24" x14ac:dyDescent="0.3">
      <c r="B1104" t="s">
        <v>1197</v>
      </c>
      <c r="C1104" t="s">
        <v>53</v>
      </c>
      <c r="D1104" t="s">
        <v>2</v>
      </c>
      <c r="E1104" t="s">
        <v>14</v>
      </c>
      <c r="F1104" t="s">
        <v>12</v>
      </c>
      <c r="G1104" t="s">
        <v>74</v>
      </c>
      <c r="H1104">
        <v>2026</v>
      </c>
      <c r="I1104">
        <v>6310</v>
      </c>
      <c r="J1104">
        <v>11.5</v>
      </c>
      <c r="K1104" t="s">
        <v>21</v>
      </c>
      <c r="L1104">
        <v>7.1</v>
      </c>
      <c r="M1104">
        <v>10</v>
      </c>
      <c r="N1104">
        <v>6878</v>
      </c>
      <c r="O1104" t="s">
        <v>118</v>
      </c>
      <c r="P1104">
        <v>62.7</v>
      </c>
      <c r="Q1104" t="s">
        <v>76</v>
      </c>
      <c r="R1104">
        <v>41</v>
      </c>
      <c r="S1104">
        <v>-0.6</v>
      </c>
      <c r="T1104">
        <v>-2.2999999999999998</v>
      </c>
      <c r="U1104">
        <v>9.5</v>
      </c>
      <c r="V1104">
        <v>6.3</v>
      </c>
      <c r="W1104">
        <v>5.6</v>
      </c>
      <c r="X1104" t="s">
        <v>116</v>
      </c>
    </row>
    <row r="1105" spans="2:24" x14ac:dyDescent="0.3">
      <c r="B1105" t="s">
        <v>1198</v>
      </c>
      <c r="C1105" t="s">
        <v>97</v>
      </c>
      <c r="D1105" t="s">
        <v>3</v>
      </c>
      <c r="E1105" t="s">
        <v>17</v>
      </c>
      <c r="F1105" t="s">
        <v>11</v>
      </c>
      <c r="G1105" t="s">
        <v>112</v>
      </c>
      <c r="H1105">
        <v>2025</v>
      </c>
      <c r="I1105">
        <v>384</v>
      </c>
      <c r="J1105">
        <v>2.2000000000000002</v>
      </c>
      <c r="K1105" t="s">
        <v>22</v>
      </c>
      <c r="L1105">
        <v>7.5</v>
      </c>
      <c r="M1105">
        <v>2.6</v>
      </c>
      <c r="N1105">
        <v>838</v>
      </c>
      <c r="O1105" t="s">
        <v>64</v>
      </c>
      <c r="P1105">
        <v>45.8</v>
      </c>
      <c r="Q1105" t="s">
        <v>84</v>
      </c>
      <c r="R1105">
        <v>85.4</v>
      </c>
      <c r="S1105">
        <v>44.6</v>
      </c>
      <c r="T1105">
        <v>17</v>
      </c>
      <c r="U1105">
        <v>5.0999999999999996</v>
      </c>
      <c r="V1105">
        <v>8.6</v>
      </c>
      <c r="W1105">
        <v>7.7</v>
      </c>
      <c r="X1105" t="s">
        <v>116</v>
      </c>
    </row>
    <row r="1106" spans="2:24" x14ac:dyDescent="0.3">
      <c r="B1106" t="s">
        <v>1199</v>
      </c>
      <c r="C1106" t="s">
        <v>73</v>
      </c>
      <c r="D1106" t="s">
        <v>3</v>
      </c>
      <c r="E1106" t="s">
        <v>15</v>
      </c>
      <c r="F1106" t="s">
        <v>12</v>
      </c>
      <c r="G1106" t="s">
        <v>78</v>
      </c>
      <c r="H1106">
        <v>2026</v>
      </c>
      <c r="I1106">
        <v>2287</v>
      </c>
      <c r="J1106">
        <v>16.2</v>
      </c>
      <c r="K1106" t="s">
        <v>25</v>
      </c>
      <c r="L1106">
        <v>3.5</v>
      </c>
      <c r="M1106">
        <v>5.2</v>
      </c>
      <c r="N1106">
        <v>3343</v>
      </c>
      <c r="O1106" t="s">
        <v>64</v>
      </c>
      <c r="P1106">
        <v>46.7</v>
      </c>
      <c r="Q1106" t="s">
        <v>84</v>
      </c>
      <c r="R1106">
        <v>72.900000000000006</v>
      </c>
      <c r="S1106">
        <v>-24.5</v>
      </c>
      <c r="T1106">
        <v>-13.3</v>
      </c>
      <c r="U1106">
        <v>2.9</v>
      </c>
      <c r="V1106">
        <v>5.5</v>
      </c>
      <c r="W1106">
        <v>3.9</v>
      </c>
      <c r="X1106" t="s">
        <v>116</v>
      </c>
    </row>
    <row r="1107" spans="2:24" x14ac:dyDescent="0.3">
      <c r="B1107" t="s">
        <v>1200</v>
      </c>
      <c r="C1107" t="s">
        <v>106</v>
      </c>
      <c r="D1107" t="s">
        <v>8</v>
      </c>
      <c r="E1107" t="s">
        <v>18</v>
      </c>
      <c r="F1107" t="s">
        <v>9</v>
      </c>
      <c r="G1107" t="s">
        <v>60</v>
      </c>
      <c r="H1107">
        <v>2026</v>
      </c>
      <c r="I1107">
        <v>5872</v>
      </c>
      <c r="J1107">
        <v>4.5</v>
      </c>
      <c r="K1107" t="s">
        <v>24</v>
      </c>
      <c r="L1107">
        <v>3</v>
      </c>
      <c r="M1107">
        <v>5.6</v>
      </c>
      <c r="N1107">
        <v>2090</v>
      </c>
      <c r="O1107" t="s">
        <v>64</v>
      </c>
      <c r="P1107">
        <v>61.1</v>
      </c>
      <c r="Q1107" t="s">
        <v>125</v>
      </c>
      <c r="R1107">
        <v>39.200000000000003</v>
      </c>
      <c r="S1107">
        <v>56.4</v>
      </c>
      <c r="T1107">
        <v>28.8</v>
      </c>
      <c r="U1107">
        <v>2.8</v>
      </c>
      <c r="V1107">
        <v>7.5</v>
      </c>
      <c r="W1107">
        <v>7.2</v>
      </c>
      <c r="X1107" t="s">
        <v>116</v>
      </c>
    </row>
    <row r="1108" spans="2:24" x14ac:dyDescent="0.3">
      <c r="B1108" t="s">
        <v>1201</v>
      </c>
      <c r="C1108" t="s">
        <v>71</v>
      </c>
      <c r="D1108" t="s">
        <v>6</v>
      </c>
      <c r="E1108" t="s">
        <v>18</v>
      </c>
      <c r="F1108" t="s">
        <v>9</v>
      </c>
      <c r="G1108" t="s">
        <v>74</v>
      </c>
      <c r="H1108">
        <v>2025</v>
      </c>
      <c r="I1108">
        <v>16967</v>
      </c>
      <c r="J1108">
        <v>26.6</v>
      </c>
      <c r="K1108" t="s">
        <v>21</v>
      </c>
      <c r="L1108">
        <v>2</v>
      </c>
      <c r="M1108">
        <v>5.7</v>
      </c>
      <c r="N1108">
        <v>1676</v>
      </c>
      <c r="O1108" t="s">
        <v>75</v>
      </c>
      <c r="P1108">
        <v>66.7</v>
      </c>
      <c r="Q1108" t="s">
        <v>84</v>
      </c>
      <c r="R1108">
        <v>60.2</v>
      </c>
      <c r="S1108">
        <v>4.9000000000000004</v>
      </c>
      <c r="T1108">
        <v>-4.5</v>
      </c>
      <c r="U1108">
        <v>1.2</v>
      </c>
      <c r="V1108">
        <v>5.7</v>
      </c>
      <c r="W1108">
        <v>4.3</v>
      </c>
      <c r="X1108" t="s">
        <v>66</v>
      </c>
    </row>
    <row r="1109" spans="2:24" x14ac:dyDescent="0.3">
      <c r="B1109" t="s">
        <v>1202</v>
      </c>
      <c r="C1109" t="s">
        <v>106</v>
      </c>
      <c r="D1109" t="s">
        <v>2</v>
      </c>
      <c r="E1109" t="s">
        <v>19</v>
      </c>
      <c r="F1109" t="s">
        <v>12</v>
      </c>
      <c r="G1109" t="s">
        <v>69</v>
      </c>
      <c r="H1109">
        <v>2025</v>
      </c>
      <c r="I1109">
        <v>294</v>
      </c>
      <c r="J1109">
        <v>3.5</v>
      </c>
      <c r="K1109" t="s">
        <v>21</v>
      </c>
      <c r="L1109">
        <v>4.4000000000000004</v>
      </c>
      <c r="M1109">
        <v>5.4</v>
      </c>
      <c r="N1109">
        <v>6370</v>
      </c>
      <c r="O1109" t="s">
        <v>55</v>
      </c>
      <c r="P1109">
        <v>28.6</v>
      </c>
      <c r="Q1109" t="s">
        <v>76</v>
      </c>
      <c r="R1109">
        <v>86.9</v>
      </c>
      <c r="S1109">
        <v>34.9</v>
      </c>
      <c r="T1109">
        <v>5.8</v>
      </c>
      <c r="U1109">
        <v>3.7</v>
      </c>
      <c r="V1109">
        <v>6.3</v>
      </c>
      <c r="W1109">
        <v>7.5</v>
      </c>
      <c r="X1109" t="s">
        <v>57</v>
      </c>
    </row>
    <row r="1110" spans="2:24" x14ac:dyDescent="0.3">
      <c r="B1110" t="s">
        <v>1203</v>
      </c>
      <c r="C1110" t="s">
        <v>122</v>
      </c>
      <c r="D1110" t="s">
        <v>2</v>
      </c>
      <c r="E1110" t="s">
        <v>15</v>
      </c>
      <c r="F1110" t="s">
        <v>12</v>
      </c>
      <c r="G1110" t="s">
        <v>98</v>
      </c>
      <c r="H1110">
        <v>2025</v>
      </c>
      <c r="I1110">
        <v>16451</v>
      </c>
      <c r="J1110">
        <v>37.700000000000003</v>
      </c>
      <c r="K1110" t="s">
        <v>22</v>
      </c>
      <c r="L1110">
        <v>8.1</v>
      </c>
      <c r="M1110">
        <v>10</v>
      </c>
      <c r="N1110">
        <v>4059</v>
      </c>
      <c r="O1110" t="s">
        <v>64</v>
      </c>
      <c r="P1110">
        <v>14.4</v>
      </c>
      <c r="Q1110" t="s">
        <v>56</v>
      </c>
      <c r="R1110">
        <v>-36.4</v>
      </c>
      <c r="S1110">
        <v>59.7</v>
      </c>
      <c r="T1110">
        <v>23.9</v>
      </c>
      <c r="U1110">
        <v>8.1</v>
      </c>
      <c r="V1110">
        <v>7.6</v>
      </c>
      <c r="W1110">
        <v>4.7</v>
      </c>
      <c r="X1110" t="s">
        <v>66</v>
      </c>
    </row>
    <row r="1111" spans="2:24" x14ac:dyDescent="0.3">
      <c r="B1111" t="s">
        <v>1204</v>
      </c>
      <c r="C1111" t="s">
        <v>71</v>
      </c>
      <c r="D1111" t="s">
        <v>6</v>
      </c>
      <c r="E1111" t="s">
        <v>14</v>
      </c>
      <c r="F1111" t="s">
        <v>10</v>
      </c>
      <c r="G1111" t="s">
        <v>101</v>
      </c>
      <c r="H1111">
        <v>2026</v>
      </c>
      <c r="I1111">
        <v>1746</v>
      </c>
      <c r="J1111">
        <v>9.3000000000000007</v>
      </c>
      <c r="K1111" t="s">
        <v>25</v>
      </c>
      <c r="L1111">
        <v>1.1000000000000001</v>
      </c>
      <c r="M1111">
        <v>3.9</v>
      </c>
      <c r="N1111">
        <v>3975</v>
      </c>
      <c r="O1111" t="s">
        <v>64</v>
      </c>
      <c r="P1111">
        <v>75.400000000000006</v>
      </c>
      <c r="Q1111" t="s">
        <v>56</v>
      </c>
      <c r="R1111">
        <v>16</v>
      </c>
      <c r="S1111">
        <v>45.5</v>
      </c>
      <c r="T1111">
        <v>16.600000000000001</v>
      </c>
      <c r="U1111">
        <v>1.6</v>
      </c>
      <c r="V1111">
        <v>8</v>
      </c>
      <c r="W1111">
        <v>8.3000000000000007</v>
      </c>
      <c r="X1111" t="s">
        <v>57</v>
      </c>
    </row>
    <row r="1112" spans="2:24" x14ac:dyDescent="0.3">
      <c r="B1112" t="s">
        <v>1205</v>
      </c>
      <c r="C1112" t="s">
        <v>142</v>
      </c>
      <c r="D1112" t="s">
        <v>8</v>
      </c>
      <c r="E1112" t="s">
        <v>19</v>
      </c>
      <c r="F1112" t="s">
        <v>11</v>
      </c>
      <c r="G1112" t="s">
        <v>115</v>
      </c>
      <c r="H1112">
        <v>2025</v>
      </c>
      <c r="I1112">
        <v>3107</v>
      </c>
      <c r="J1112">
        <v>11.6</v>
      </c>
      <c r="K1112" t="s">
        <v>25</v>
      </c>
      <c r="L1112">
        <v>10.9</v>
      </c>
      <c r="M1112">
        <v>9.6</v>
      </c>
      <c r="N1112">
        <v>5183</v>
      </c>
      <c r="O1112" t="s">
        <v>55</v>
      </c>
      <c r="P1112">
        <v>27.9</v>
      </c>
      <c r="Q1112" t="s">
        <v>76</v>
      </c>
      <c r="R1112">
        <v>-10.7</v>
      </c>
      <c r="S1112">
        <v>36.200000000000003</v>
      </c>
      <c r="T1112">
        <v>18.899999999999999</v>
      </c>
      <c r="U1112">
        <v>7.5</v>
      </c>
      <c r="V1112">
        <v>8.8000000000000007</v>
      </c>
      <c r="W1112">
        <v>6.4</v>
      </c>
      <c r="X1112" t="s">
        <v>116</v>
      </c>
    </row>
    <row r="1113" spans="2:24" x14ac:dyDescent="0.3">
      <c r="B1113" t="s">
        <v>1206</v>
      </c>
      <c r="C1113" t="s">
        <v>142</v>
      </c>
      <c r="D1113" t="s">
        <v>8</v>
      </c>
      <c r="E1113" t="s">
        <v>16</v>
      </c>
      <c r="F1113" t="s">
        <v>12</v>
      </c>
      <c r="G1113" t="s">
        <v>60</v>
      </c>
      <c r="H1113">
        <v>2025</v>
      </c>
      <c r="I1113">
        <v>2540</v>
      </c>
      <c r="J1113">
        <v>14.2</v>
      </c>
      <c r="K1113" t="s">
        <v>25</v>
      </c>
      <c r="L1113">
        <v>9.8000000000000007</v>
      </c>
      <c r="M1113">
        <v>10</v>
      </c>
      <c r="N1113">
        <v>3342</v>
      </c>
      <c r="O1113" t="s">
        <v>64</v>
      </c>
      <c r="P1113">
        <v>77.400000000000006</v>
      </c>
      <c r="Q1113" t="s">
        <v>125</v>
      </c>
      <c r="R1113">
        <v>81.3</v>
      </c>
      <c r="S1113">
        <v>38.299999999999997</v>
      </c>
      <c r="T1113">
        <v>14.6</v>
      </c>
      <c r="U1113">
        <v>9.6</v>
      </c>
      <c r="V1113">
        <v>6.4</v>
      </c>
      <c r="W1113">
        <v>5</v>
      </c>
      <c r="X1113" t="s">
        <v>116</v>
      </c>
    </row>
    <row r="1114" spans="2:24" x14ac:dyDescent="0.3">
      <c r="B1114" t="s">
        <v>1207</v>
      </c>
      <c r="C1114" t="s">
        <v>159</v>
      </c>
      <c r="D1114" t="s">
        <v>7</v>
      </c>
      <c r="E1114" t="s">
        <v>14</v>
      </c>
      <c r="F1114" t="s">
        <v>12</v>
      </c>
      <c r="G1114" t="s">
        <v>101</v>
      </c>
      <c r="H1114">
        <v>2025</v>
      </c>
      <c r="I1114">
        <v>4517</v>
      </c>
      <c r="J1114">
        <v>3.7</v>
      </c>
      <c r="K1114" t="s">
        <v>24</v>
      </c>
      <c r="L1114">
        <v>4.5</v>
      </c>
      <c r="M1114">
        <v>6.9</v>
      </c>
      <c r="N1114">
        <v>4063</v>
      </c>
      <c r="O1114" t="s">
        <v>64</v>
      </c>
      <c r="P1114">
        <v>19.399999999999999</v>
      </c>
      <c r="Q1114" t="s">
        <v>125</v>
      </c>
      <c r="R1114">
        <v>-38.200000000000003</v>
      </c>
      <c r="S1114">
        <v>22.6</v>
      </c>
      <c r="T1114">
        <v>4.9000000000000004</v>
      </c>
      <c r="U1114">
        <v>4.2</v>
      </c>
      <c r="V1114">
        <v>6</v>
      </c>
      <c r="W1114">
        <v>6.1</v>
      </c>
      <c r="X1114" t="s">
        <v>116</v>
      </c>
    </row>
    <row r="1115" spans="2:24" x14ac:dyDescent="0.3">
      <c r="B1115" t="s">
        <v>1208</v>
      </c>
      <c r="C1115" t="s">
        <v>90</v>
      </c>
      <c r="D1115" t="s">
        <v>2</v>
      </c>
      <c r="E1115" t="s">
        <v>16</v>
      </c>
      <c r="F1115" t="s">
        <v>12</v>
      </c>
      <c r="G1115" t="s">
        <v>101</v>
      </c>
      <c r="H1115">
        <v>2026</v>
      </c>
      <c r="I1115">
        <v>2490</v>
      </c>
      <c r="J1115">
        <v>6.3</v>
      </c>
      <c r="K1115" t="s">
        <v>21</v>
      </c>
      <c r="L1115">
        <v>4.4000000000000004</v>
      </c>
      <c r="M1115">
        <v>5.7</v>
      </c>
      <c r="N1115">
        <v>8122</v>
      </c>
      <c r="O1115" t="s">
        <v>118</v>
      </c>
      <c r="P1115">
        <v>61.6</v>
      </c>
      <c r="Q1115" t="s">
        <v>76</v>
      </c>
      <c r="R1115">
        <v>56.3</v>
      </c>
      <c r="S1115">
        <v>38.799999999999997</v>
      </c>
      <c r="T1115">
        <v>23.4</v>
      </c>
      <c r="U1115">
        <v>6.8</v>
      </c>
      <c r="V1115">
        <v>7.5</v>
      </c>
      <c r="W1115">
        <v>6.9</v>
      </c>
      <c r="X1115" t="s">
        <v>57</v>
      </c>
    </row>
    <row r="1116" spans="2:24" x14ac:dyDescent="0.3">
      <c r="B1116" t="s">
        <v>1209</v>
      </c>
      <c r="C1116" t="s">
        <v>159</v>
      </c>
      <c r="D1116" t="s">
        <v>7</v>
      </c>
      <c r="E1116" t="s">
        <v>18</v>
      </c>
      <c r="F1116" t="s">
        <v>12</v>
      </c>
      <c r="G1116" t="s">
        <v>112</v>
      </c>
      <c r="H1116">
        <v>2025</v>
      </c>
      <c r="I1116">
        <v>1132</v>
      </c>
      <c r="J1116">
        <v>17.8</v>
      </c>
      <c r="K1116" t="s">
        <v>23</v>
      </c>
      <c r="L1116">
        <v>8.3000000000000007</v>
      </c>
      <c r="M1116">
        <v>10</v>
      </c>
      <c r="N1116">
        <v>1458</v>
      </c>
      <c r="O1116" t="s">
        <v>64</v>
      </c>
      <c r="P1116">
        <v>63.2</v>
      </c>
      <c r="Q1116" t="s">
        <v>88</v>
      </c>
      <c r="R1116">
        <v>-19.5</v>
      </c>
      <c r="S1116">
        <v>-13.8</v>
      </c>
      <c r="T1116">
        <v>-14.4</v>
      </c>
      <c r="U1116">
        <v>8.3000000000000007</v>
      </c>
      <c r="V1116">
        <v>6.4</v>
      </c>
      <c r="W1116">
        <v>3.4</v>
      </c>
      <c r="X1116" t="s">
        <v>66</v>
      </c>
    </row>
    <row r="1117" spans="2:24" x14ac:dyDescent="0.3">
      <c r="B1117" t="s">
        <v>1210</v>
      </c>
      <c r="C1117" t="s">
        <v>142</v>
      </c>
      <c r="D1117" t="s">
        <v>2</v>
      </c>
      <c r="E1117" t="s">
        <v>15</v>
      </c>
      <c r="F1117" t="s">
        <v>10</v>
      </c>
      <c r="G1117" t="s">
        <v>131</v>
      </c>
      <c r="H1117">
        <v>2026</v>
      </c>
      <c r="I1117">
        <v>428</v>
      </c>
      <c r="J1117">
        <v>15.1</v>
      </c>
      <c r="K1117" t="s">
        <v>23</v>
      </c>
      <c r="L1117">
        <v>8.8000000000000007</v>
      </c>
      <c r="M1117">
        <v>10</v>
      </c>
      <c r="N1117">
        <v>6179</v>
      </c>
      <c r="O1117" t="s">
        <v>55</v>
      </c>
      <c r="P1117">
        <v>64.8</v>
      </c>
      <c r="Q1117" t="s">
        <v>56</v>
      </c>
      <c r="R1117">
        <v>-32.6</v>
      </c>
      <c r="S1117">
        <v>-20.3</v>
      </c>
      <c r="T1117">
        <v>-18.8</v>
      </c>
      <c r="U1117">
        <v>5.5</v>
      </c>
      <c r="V1117">
        <v>4.9000000000000004</v>
      </c>
      <c r="W1117">
        <v>4.8</v>
      </c>
      <c r="X1117" t="s">
        <v>116</v>
      </c>
    </row>
    <row r="1118" spans="2:24" x14ac:dyDescent="0.3">
      <c r="B1118" t="s">
        <v>1211</v>
      </c>
      <c r="C1118" t="s">
        <v>92</v>
      </c>
      <c r="D1118" t="s">
        <v>7</v>
      </c>
      <c r="E1118" t="s">
        <v>17</v>
      </c>
      <c r="F1118" t="s">
        <v>9</v>
      </c>
      <c r="G1118" t="s">
        <v>63</v>
      </c>
      <c r="H1118">
        <v>2025</v>
      </c>
      <c r="I1118">
        <v>1191</v>
      </c>
      <c r="J1118">
        <v>10.4</v>
      </c>
      <c r="K1118" t="s">
        <v>22</v>
      </c>
      <c r="L1118">
        <v>4.8</v>
      </c>
      <c r="M1118">
        <v>8.1</v>
      </c>
      <c r="N1118">
        <v>4477</v>
      </c>
      <c r="O1118" t="s">
        <v>55</v>
      </c>
      <c r="P1118">
        <v>17.600000000000001</v>
      </c>
      <c r="Q1118" t="s">
        <v>88</v>
      </c>
      <c r="R1118">
        <v>82.2</v>
      </c>
      <c r="S1118">
        <v>-10.3</v>
      </c>
      <c r="T1118">
        <v>-14.1</v>
      </c>
      <c r="U1118">
        <v>5.4</v>
      </c>
      <c r="V1118">
        <v>5.5</v>
      </c>
      <c r="W1118">
        <v>5.5</v>
      </c>
      <c r="X1118" t="s">
        <v>116</v>
      </c>
    </row>
    <row r="1119" spans="2:24" x14ac:dyDescent="0.3">
      <c r="B1119" t="s">
        <v>1212</v>
      </c>
      <c r="C1119" t="s">
        <v>100</v>
      </c>
      <c r="D1119" t="s">
        <v>3</v>
      </c>
      <c r="E1119" t="s">
        <v>18</v>
      </c>
      <c r="F1119" t="s">
        <v>11</v>
      </c>
      <c r="G1119" t="s">
        <v>54</v>
      </c>
      <c r="H1119">
        <v>2025</v>
      </c>
      <c r="I1119">
        <v>1403</v>
      </c>
      <c r="J1119">
        <v>5.7</v>
      </c>
      <c r="K1119" t="s">
        <v>23</v>
      </c>
      <c r="L1119">
        <v>14.3</v>
      </c>
      <c r="M1119">
        <v>10</v>
      </c>
      <c r="N1119">
        <v>963</v>
      </c>
      <c r="O1119" t="s">
        <v>55</v>
      </c>
      <c r="P1119">
        <v>55</v>
      </c>
      <c r="Q1119" t="s">
        <v>125</v>
      </c>
      <c r="R1119">
        <v>85.6</v>
      </c>
      <c r="S1119">
        <v>-13.1</v>
      </c>
      <c r="T1119">
        <v>-1.2</v>
      </c>
      <c r="U1119">
        <v>9.6999999999999993</v>
      </c>
      <c r="V1119">
        <v>7.4</v>
      </c>
      <c r="W1119">
        <v>4.8</v>
      </c>
      <c r="X1119" t="s">
        <v>57</v>
      </c>
    </row>
    <row r="1120" spans="2:24" x14ac:dyDescent="0.3">
      <c r="B1120" t="s">
        <v>1213</v>
      </c>
      <c r="C1120" t="s">
        <v>142</v>
      </c>
      <c r="D1120" t="s">
        <v>2</v>
      </c>
      <c r="E1120" t="s">
        <v>14</v>
      </c>
      <c r="F1120" t="s">
        <v>10</v>
      </c>
      <c r="G1120" t="s">
        <v>104</v>
      </c>
      <c r="H1120">
        <v>2025</v>
      </c>
      <c r="I1120">
        <v>3793</v>
      </c>
      <c r="J1120">
        <v>15.4</v>
      </c>
      <c r="K1120" t="s">
        <v>21</v>
      </c>
      <c r="L1120">
        <v>11.9</v>
      </c>
      <c r="M1120">
        <v>9.6999999999999993</v>
      </c>
      <c r="N1120">
        <v>3867</v>
      </c>
      <c r="O1120" t="s">
        <v>55</v>
      </c>
      <c r="P1120">
        <v>28.5</v>
      </c>
      <c r="Q1120" t="s">
        <v>76</v>
      </c>
      <c r="R1120">
        <v>31.5</v>
      </c>
      <c r="S1120">
        <v>-2.2000000000000002</v>
      </c>
      <c r="T1120">
        <v>7.2</v>
      </c>
      <c r="U1120">
        <v>7.6</v>
      </c>
      <c r="V1120">
        <v>6.8</v>
      </c>
      <c r="W1120">
        <v>4.2</v>
      </c>
      <c r="X1120" t="s">
        <v>66</v>
      </c>
    </row>
    <row r="1121" spans="2:24" x14ac:dyDescent="0.3">
      <c r="B1121" t="s">
        <v>1214</v>
      </c>
      <c r="C1121" t="s">
        <v>97</v>
      </c>
      <c r="D1121" t="s">
        <v>3</v>
      </c>
      <c r="E1121" t="s">
        <v>19</v>
      </c>
      <c r="F1121" t="s">
        <v>10</v>
      </c>
      <c r="G1121" t="s">
        <v>54</v>
      </c>
      <c r="H1121">
        <v>2024</v>
      </c>
      <c r="I1121">
        <v>542</v>
      </c>
      <c r="J1121">
        <v>1.6</v>
      </c>
      <c r="K1121" t="s">
        <v>25</v>
      </c>
      <c r="L1121">
        <v>13.3</v>
      </c>
      <c r="M1121">
        <v>7.3</v>
      </c>
      <c r="N1121">
        <v>1703</v>
      </c>
      <c r="O1121" t="s">
        <v>55</v>
      </c>
      <c r="P1121">
        <v>16.7</v>
      </c>
      <c r="Q1121" t="s">
        <v>125</v>
      </c>
      <c r="R1121">
        <v>9.8000000000000007</v>
      </c>
      <c r="S1121">
        <v>-24.8</v>
      </c>
      <c r="T1121">
        <v>0.7</v>
      </c>
      <c r="U1121">
        <v>7.9</v>
      </c>
      <c r="V1121">
        <v>6.9</v>
      </c>
      <c r="W1121">
        <v>5.5</v>
      </c>
      <c r="X1121" t="s">
        <v>57</v>
      </c>
    </row>
    <row r="1122" spans="2:24" x14ac:dyDescent="0.3">
      <c r="B1122" t="s">
        <v>1215</v>
      </c>
      <c r="C1122" t="s">
        <v>53</v>
      </c>
      <c r="D1122" t="s">
        <v>2</v>
      </c>
      <c r="E1122" t="s">
        <v>14</v>
      </c>
      <c r="F1122" t="s">
        <v>12</v>
      </c>
      <c r="G1122" t="s">
        <v>112</v>
      </c>
      <c r="H1122">
        <v>2026</v>
      </c>
      <c r="I1122">
        <v>1018</v>
      </c>
      <c r="J1122">
        <v>4.9000000000000004</v>
      </c>
      <c r="K1122" t="s">
        <v>24</v>
      </c>
      <c r="L1122">
        <v>10.3</v>
      </c>
      <c r="M1122">
        <v>10</v>
      </c>
      <c r="N1122">
        <v>1883</v>
      </c>
      <c r="O1122" t="s">
        <v>55</v>
      </c>
      <c r="P1122">
        <v>72</v>
      </c>
      <c r="Q1122" t="s">
        <v>76</v>
      </c>
      <c r="R1122">
        <v>-11.4</v>
      </c>
      <c r="S1122">
        <v>59.9</v>
      </c>
      <c r="T1122">
        <v>22.8</v>
      </c>
      <c r="U1122">
        <v>9.3000000000000007</v>
      </c>
      <c r="V1122">
        <v>9.1</v>
      </c>
      <c r="W1122">
        <v>7.3</v>
      </c>
      <c r="X1122" t="s">
        <v>57</v>
      </c>
    </row>
    <row r="1123" spans="2:24" x14ac:dyDescent="0.3">
      <c r="B1123" t="s">
        <v>1216</v>
      </c>
      <c r="C1123" t="s">
        <v>53</v>
      </c>
      <c r="D1123" t="s">
        <v>7</v>
      </c>
      <c r="E1123" t="s">
        <v>18</v>
      </c>
      <c r="F1123" t="s">
        <v>12</v>
      </c>
      <c r="G1123" t="s">
        <v>131</v>
      </c>
      <c r="H1123">
        <v>2025</v>
      </c>
      <c r="I1123">
        <v>1084</v>
      </c>
      <c r="J1123">
        <v>12.7</v>
      </c>
      <c r="K1123" t="s">
        <v>22</v>
      </c>
      <c r="L1123">
        <v>3.1</v>
      </c>
      <c r="M1123">
        <v>5.0999999999999996</v>
      </c>
      <c r="N1123">
        <v>1377</v>
      </c>
      <c r="O1123" t="s">
        <v>75</v>
      </c>
      <c r="P1123">
        <v>30.9</v>
      </c>
      <c r="Q1123" t="s">
        <v>88</v>
      </c>
      <c r="R1123">
        <v>83.5</v>
      </c>
      <c r="S1123">
        <v>24.5</v>
      </c>
      <c r="T1123">
        <v>11.4</v>
      </c>
      <c r="U1123">
        <v>2.1</v>
      </c>
      <c r="V1123">
        <v>6.6</v>
      </c>
      <c r="W1123">
        <v>5.9</v>
      </c>
      <c r="X1123" t="s">
        <v>116</v>
      </c>
    </row>
    <row r="1124" spans="2:24" x14ac:dyDescent="0.3">
      <c r="B1124" t="s">
        <v>1217</v>
      </c>
      <c r="C1124" t="s">
        <v>90</v>
      </c>
      <c r="D1124" t="s">
        <v>5</v>
      </c>
      <c r="E1124" t="s">
        <v>14</v>
      </c>
      <c r="F1124" t="s">
        <v>11</v>
      </c>
      <c r="G1124" t="s">
        <v>69</v>
      </c>
      <c r="H1124">
        <v>2024</v>
      </c>
      <c r="I1124">
        <v>19679</v>
      </c>
      <c r="J1124">
        <v>21.2</v>
      </c>
      <c r="K1124" t="s">
        <v>24</v>
      </c>
      <c r="L1124">
        <v>5.0999999999999996</v>
      </c>
      <c r="M1124">
        <v>8.6999999999999993</v>
      </c>
      <c r="N1124">
        <v>1270</v>
      </c>
      <c r="O1124" t="s">
        <v>64</v>
      </c>
      <c r="P1124">
        <v>54</v>
      </c>
      <c r="Q1124" t="s">
        <v>88</v>
      </c>
      <c r="R1124">
        <v>79.3</v>
      </c>
      <c r="S1124">
        <v>51.5</v>
      </c>
      <c r="T1124">
        <v>19</v>
      </c>
      <c r="U1124">
        <v>5.5</v>
      </c>
      <c r="V1124">
        <v>6.1</v>
      </c>
      <c r="W1124">
        <v>5.4</v>
      </c>
      <c r="X1124" t="s">
        <v>66</v>
      </c>
    </row>
    <row r="1125" spans="2:24" x14ac:dyDescent="0.3">
      <c r="B1125" t="s">
        <v>1218</v>
      </c>
      <c r="C1125" t="s">
        <v>159</v>
      </c>
      <c r="D1125" t="s">
        <v>2</v>
      </c>
      <c r="E1125" t="s">
        <v>19</v>
      </c>
      <c r="F1125" t="s">
        <v>9</v>
      </c>
      <c r="G1125" t="s">
        <v>54</v>
      </c>
      <c r="H1125">
        <v>2026</v>
      </c>
      <c r="I1125">
        <v>1732</v>
      </c>
      <c r="J1125">
        <v>6.2</v>
      </c>
      <c r="K1125" t="s">
        <v>24</v>
      </c>
      <c r="L1125">
        <v>9</v>
      </c>
      <c r="M1125">
        <v>10</v>
      </c>
      <c r="N1125">
        <v>7583</v>
      </c>
      <c r="O1125" t="s">
        <v>118</v>
      </c>
      <c r="P1125">
        <v>47.8</v>
      </c>
      <c r="Q1125" t="s">
        <v>56</v>
      </c>
      <c r="R1125">
        <v>-35.299999999999997</v>
      </c>
      <c r="S1125">
        <v>44.4</v>
      </c>
      <c r="T1125">
        <v>14.5</v>
      </c>
      <c r="U1125">
        <v>9.3000000000000007</v>
      </c>
      <c r="V1125">
        <v>8.1</v>
      </c>
      <c r="W1125">
        <v>6.5</v>
      </c>
      <c r="X1125" t="s">
        <v>116</v>
      </c>
    </row>
    <row r="1126" spans="2:24" x14ac:dyDescent="0.3">
      <c r="B1126" t="s">
        <v>1219</v>
      </c>
      <c r="C1126" t="s">
        <v>53</v>
      </c>
      <c r="D1126" t="s">
        <v>7</v>
      </c>
      <c r="E1126" t="s">
        <v>16</v>
      </c>
      <c r="F1126" t="s">
        <v>11</v>
      </c>
      <c r="G1126" t="s">
        <v>131</v>
      </c>
      <c r="H1126">
        <v>2025</v>
      </c>
      <c r="I1126">
        <v>1069</v>
      </c>
      <c r="J1126">
        <v>4.8</v>
      </c>
      <c r="K1126" t="s">
        <v>22</v>
      </c>
      <c r="L1126">
        <v>3.6</v>
      </c>
      <c r="M1126">
        <v>3.8</v>
      </c>
      <c r="N1126">
        <v>1523</v>
      </c>
      <c r="O1126" t="s">
        <v>64</v>
      </c>
      <c r="P1126">
        <v>38.9</v>
      </c>
      <c r="Q1126" t="s">
        <v>79</v>
      </c>
      <c r="R1126">
        <v>-8.3000000000000007</v>
      </c>
      <c r="S1126">
        <v>43.1</v>
      </c>
      <c r="T1126">
        <v>20.8</v>
      </c>
      <c r="U1126">
        <v>4.0999999999999996</v>
      </c>
      <c r="V1126">
        <v>8.8000000000000007</v>
      </c>
      <c r="W1126">
        <v>7.8</v>
      </c>
      <c r="X1126" t="s">
        <v>57</v>
      </c>
    </row>
    <row r="1127" spans="2:24" x14ac:dyDescent="0.3">
      <c r="B1127" t="s">
        <v>1220</v>
      </c>
      <c r="C1127" t="s">
        <v>73</v>
      </c>
      <c r="D1127" t="s">
        <v>3</v>
      </c>
      <c r="E1127" t="s">
        <v>16</v>
      </c>
      <c r="F1127" t="s">
        <v>12</v>
      </c>
      <c r="G1127" t="s">
        <v>98</v>
      </c>
      <c r="H1127">
        <v>2026</v>
      </c>
      <c r="I1127">
        <v>761</v>
      </c>
      <c r="J1127">
        <v>3.6</v>
      </c>
      <c r="K1127" t="s">
        <v>23</v>
      </c>
      <c r="L1127">
        <v>6.5</v>
      </c>
      <c r="M1127">
        <v>10</v>
      </c>
      <c r="N1127">
        <v>1263</v>
      </c>
      <c r="O1127" t="s">
        <v>64</v>
      </c>
      <c r="P1127">
        <v>46.9</v>
      </c>
      <c r="Q1127" t="s">
        <v>125</v>
      </c>
      <c r="R1127">
        <v>38.700000000000003</v>
      </c>
      <c r="S1127">
        <v>-18.5</v>
      </c>
      <c r="T1127">
        <v>-12.8</v>
      </c>
      <c r="U1127">
        <v>9.5</v>
      </c>
      <c r="V1127">
        <v>5.4</v>
      </c>
      <c r="W1127">
        <v>6</v>
      </c>
      <c r="X1127" t="s">
        <v>116</v>
      </c>
    </row>
    <row r="1128" spans="2:24" x14ac:dyDescent="0.3">
      <c r="B1128" t="s">
        <v>1221</v>
      </c>
      <c r="C1128" t="s">
        <v>71</v>
      </c>
      <c r="D1128" t="s">
        <v>6</v>
      </c>
      <c r="E1128" t="s">
        <v>14</v>
      </c>
      <c r="F1128" t="s">
        <v>10</v>
      </c>
      <c r="G1128" t="s">
        <v>60</v>
      </c>
      <c r="H1128">
        <v>2026</v>
      </c>
      <c r="I1128">
        <v>2385</v>
      </c>
      <c r="J1128">
        <v>23</v>
      </c>
      <c r="K1128" t="s">
        <v>25</v>
      </c>
      <c r="L1128">
        <v>5.6</v>
      </c>
      <c r="M1128">
        <v>8.9</v>
      </c>
      <c r="N1128">
        <v>1249</v>
      </c>
      <c r="O1128" t="s">
        <v>64</v>
      </c>
      <c r="P1128">
        <v>83.4</v>
      </c>
      <c r="Q1128" t="s">
        <v>76</v>
      </c>
      <c r="R1128">
        <v>77.900000000000006</v>
      </c>
      <c r="S1128">
        <v>1.3</v>
      </c>
      <c r="T1128">
        <v>-0.7</v>
      </c>
      <c r="U1128">
        <v>5.9</v>
      </c>
      <c r="V1128">
        <v>4.3</v>
      </c>
      <c r="W1128">
        <v>3.2</v>
      </c>
      <c r="X1128" t="s">
        <v>66</v>
      </c>
    </row>
    <row r="1129" spans="2:24" x14ac:dyDescent="0.3">
      <c r="B1129" t="s">
        <v>1222</v>
      </c>
      <c r="C1129" t="s">
        <v>81</v>
      </c>
      <c r="D1129" t="s">
        <v>5</v>
      </c>
      <c r="E1129" t="s">
        <v>14</v>
      </c>
      <c r="F1129" t="s">
        <v>12</v>
      </c>
      <c r="G1129" t="s">
        <v>112</v>
      </c>
      <c r="H1129">
        <v>2026</v>
      </c>
      <c r="I1129">
        <v>3382</v>
      </c>
      <c r="J1129">
        <v>9.1</v>
      </c>
      <c r="K1129" t="s">
        <v>24</v>
      </c>
      <c r="L1129">
        <v>9.1</v>
      </c>
      <c r="M1129">
        <v>6.3</v>
      </c>
      <c r="N1129">
        <v>2495</v>
      </c>
      <c r="O1129" t="s">
        <v>64</v>
      </c>
      <c r="P1129">
        <v>49.2</v>
      </c>
      <c r="Q1129" t="s">
        <v>88</v>
      </c>
      <c r="R1129">
        <v>-7.5</v>
      </c>
      <c r="S1129">
        <v>43.6</v>
      </c>
      <c r="T1129">
        <v>12.1</v>
      </c>
      <c r="U1129">
        <v>7</v>
      </c>
      <c r="V1129">
        <v>8.1</v>
      </c>
      <c r="W1129">
        <v>7.3</v>
      </c>
      <c r="X1129" t="s">
        <v>116</v>
      </c>
    </row>
    <row r="1130" spans="2:24" x14ac:dyDescent="0.3">
      <c r="B1130" t="s">
        <v>1223</v>
      </c>
      <c r="C1130" t="s">
        <v>81</v>
      </c>
      <c r="D1130" t="s">
        <v>5</v>
      </c>
      <c r="E1130" t="s">
        <v>14</v>
      </c>
      <c r="F1130" t="s">
        <v>11</v>
      </c>
      <c r="G1130" t="s">
        <v>74</v>
      </c>
      <c r="H1130">
        <v>2024</v>
      </c>
      <c r="I1130">
        <v>1189</v>
      </c>
      <c r="J1130">
        <v>8</v>
      </c>
      <c r="K1130" t="s">
        <v>23</v>
      </c>
      <c r="L1130">
        <v>10.3</v>
      </c>
      <c r="M1130">
        <v>10</v>
      </c>
      <c r="N1130">
        <v>3808</v>
      </c>
      <c r="O1130" t="s">
        <v>64</v>
      </c>
      <c r="P1130">
        <v>32.1</v>
      </c>
      <c r="Q1130" t="s">
        <v>79</v>
      </c>
      <c r="R1130">
        <v>64.7</v>
      </c>
      <c r="S1130">
        <v>13.3</v>
      </c>
      <c r="T1130">
        <v>4.0999999999999996</v>
      </c>
      <c r="U1130">
        <v>6.7</v>
      </c>
      <c r="V1130">
        <v>6.5</v>
      </c>
      <c r="W1130">
        <v>5.8</v>
      </c>
      <c r="X1130" t="s">
        <v>57</v>
      </c>
    </row>
    <row r="1131" spans="2:24" x14ac:dyDescent="0.3">
      <c r="B1131" t="s">
        <v>1224</v>
      </c>
      <c r="C1131" t="s">
        <v>90</v>
      </c>
      <c r="D1131" t="s">
        <v>3</v>
      </c>
      <c r="E1131" t="s">
        <v>18</v>
      </c>
      <c r="F1131" t="s">
        <v>12</v>
      </c>
      <c r="G1131" t="s">
        <v>104</v>
      </c>
      <c r="H1131">
        <v>2024</v>
      </c>
      <c r="I1131">
        <v>1723</v>
      </c>
      <c r="J1131">
        <v>6.6</v>
      </c>
      <c r="K1131" t="s">
        <v>22</v>
      </c>
      <c r="L1131">
        <v>8.1999999999999993</v>
      </c>
      <c r="M1131">
        <v>6.9</v>
      </c>
      <c r="N1131">
        <v>3874</v>
      </c>
      <c r="O1131" t="s">
        <v>55</v>
      </c>
      <c r="P1131">
        <v>32.200000000000003</v>
      </c>
      <c r="Q1131" t="s">
        <v>84</v>
      </c>
      <c r="R1131">
        <v>76</v>
      </c>
      <c r="S1131">
        <v>38.1</v>
      </c>
      <c r="T1131">
        <v>9.3000000000000007</v>
      </c>
      <c r="U1131">
        <v>7</v>
      </c>
      <c r="V1131">
        <v>8.4</v>
      </c>
      <c r="W1131">
        <v>6.6</v>
      </c>
      <c r="X1131" t="s">
        <v>116</v>
      </c>
    </row>
    <row r="1132" spans="2:24" x14ac:dyDescent="0.3">
      <c r="B1132" t="s">
        <v>1225</v>
      </c>
      <c r="C1132" t="s">
        <v>106</v>
      </c>
      <c r="D1132" t="s">
        <v>2</v>
      </c>
      <c r="E1132" t="s">
        <v>19</v>
      </c>
      <c r="F1132" t="s">
        <v>12</v>
      </c>
      <c r="G1132" t="s">
        <v>104</v>
      </c>
      <c r="H1132">
        <v>2024</v>
      </c>
      <c r="I1132">
        <v>615</v>
      </c>
      <c r="J1132">
        <v>1.4</v>
      </c>
      <c r="K1132" t="s">
        <v>25</v>
      </c>
      <c r="L1132">
        <v>13.8</v>
      </c>
      <c r="M1132">
        <v>10</v>
      </c>
      <c r="N1132">
        <v>6063</v>
      </c>
      <c r="O1132" t="s">
        <v>118</v>
      </c>
      <c r="P1132">
        <v>30</v>
      </c>
      <c r="Q1132" t="s">
        <v>56</v>
      </c>
      <c r="R1132">
        <v>15.9</v>
      </c>
      <c r="S1132">
        <v>19.600000000000001</v>
      </c>
      <c r="T1132">
        <v>16.600000000000001</v>
      </c>
      <c r="U1132">
        <v>9.3000000000000007</v>
      </c>
      <c r="V1132">
        <v>9.1</v>
      </c>
      <c r="W1132">
        <v>6.4</v>
      </c>
      <c r="X1132" t="s">
        <v>57</v>
      </c>
    </row>
    <row r="1133" spans="2:24" x14ac:dyDescent="0.3">
      <c r="B1133" t="s">
        <v>1226</v>
      </c>
      <c r="C1133" t="s">
        <v>90</v>
      </c>
      <c r="D1133" t="s">
        <v>2</v>
      </c>
      <c r="E1133" t="s">
        <v>17</v>
      </c>
      <c r="F1133" t="s">
        <v>9</v>
      </c>
      <c r="G1133" t="s">
        <v>112</v>
      </c>
      <c r="H1133">
        <v>2025</v>
      </c>
      <c r="I1133">
        <v>2264</v>
      </c>
      <c r="J1133">
        <v>6.9</v>
      </c>
      <c r="K1133" t="s">
        <v>22</v>
      </c>
      <c r="L1133">
        <v>10.199999999999999</v>
      </c>
      <c r="M1133">
        <v>9.8000000000000007</v>
      </c>
      <c r="N1133">
        <v>2927</v>
      </c>
      <c r="O1133" t="s">
        <v>64</v>
      </c>
      <c r="P1133">
        <v>26.5</v>
      </c>
      <c r="Q1133" t="s">
        <v>76</v>
      </c>
      <c r="R1133">
        <v>9.6999999999999993</v>
      </c>
      <c r="S1133">
        <v>-23.8</v>
      </c>
      <c r="T1133">
        <v>-0.1</v>
      </c>
      <c r="U1133">
        <v>7.4</v>
      </c>
      <c r="V1133">
        <v>4.8</v>
      </c>
      <c r="W1133">
        <v>3.7</v>
      </c>
      <c r="X1133" t="s">
        <v>57</v>
      </c>
    </row>
    <row r="1134" spans="2:24" x14ac:dyDescent="0.3">
      <c r="B1134" t="s">
        <v>1227</v>
      </c>
      <c r="C1134" t="s">
        <v>53</v>
      </c>
      <c r="D1134" t="s">
        <v>7</v>
      </c>
      <c r="E1134" t="s">
        <v>15</v>
      </c>
      <c r="F1134" t="s">
        <v>9</v>
      </c>
      <c r="G1134" t="s">
        <v>78</v>
      </c>
      <c r="H1134">
        <v>2025</v>
      </c>
      <c r="I1134">
        <v>1656</v>
      </c>
      <c r="J1134">
        <v>2.2999999999999998</v>
      </c>
      <c r="K1134" t="s">
        <v>21</v>
      </c>
      <c r="L1134">
        <v>2.8</v>
      </c>
      <c r="M1134">
        <v>3.3</v>
      </c>
      <c r="N1134">
        <v>4396</v>
      </c>
      <c r="O1134" t="s">
        <v>55</v>
      </c>
      <c r="P1134">
        <v>81.599999999999994</v>
      </c>
      <c r="Q1134" t="s">
        <v>56</v>
      </c>
      <c r="R1134">
        <v>0.2</v>
      </c>
      <c r="S1134">
        <v>56</v>
      </c>
      <c r="T1134">
        <v>15.2</v>
      </c>
      <c r="U1134">
        <v>4.3</v>
      </c>
      <c r="V1134">
        <v>9.6</v>
      </c>
      <c r="W1134">
        <v>9.1999999999999993</v>
      </c>
      <c r="X1134" t="s">
        <v>57</v>
      </c>
    </row>
    <row r="1135" spans="2:24" x14ac:dyDescent="0.3">
      <c r="B1135" t="s">
        <v>1228</v>
      </c>
      <c r="C1135" t="s">
        <v>94</v>
      </c>
      <c r="D1135" t="s">
        <v>6</v>
      </c>
      <c r="E1135" t="s">
        <v>16</v>
      </c>
      <c r="F1135" t="s">
        <v>11</v>
      </c>
      <c r="G1135" t="s">
        <v>112</v>
      </c>
      <c r="H1135">
        <v>2025</v>
      </c>
      <c r="I1135">
        <v>2162</v>
      </c>
      <c r="J1135">
        <v>8.3000000000000007</v>
      </c>
      <c r="K1135" t="s">
        <v>21</v>
      </c>
      <c r="L1135">
        <v>9.4</v>
      </c>
      <c r="M1135">
        <v>7.2</v>
      </c>
      <c r="N1135">
        <v>3327</v>
      </c>
      <c r="O1135" t="s">
        <v>55</v>
      </c>
      <c r="P1135">
        <v>61</v>
      </c>
      <c r="Q1135" t="s">
        <v>84</v>
      </c>
      <c r="R1135">
        <v>-28.3</v>
      </c>
      <c r="S1135">
        <v>42.8</v>
      </c>
      <c r="T1135">
        <v>23.8</v>
      </c>
      <c r="U1135">
        <v>7.9</v>
      </c>
      <c r="V1135">
        <v>6.3</v>
      </c>
      <c r="W1135">
        <v>6.5</v>
      </c>
      <c r="X1135" t="s">
        <v>116</v>
      </c>
    </row>
    <row r="1136" spans="2:24" x14ac:dyDescent="0.3">
      <c r="B1136" t="s">
        <v>1229</v>
      </c>
      <c r="C1136" t="s">
        <v>83</v>
      </c>
      <c r="D1136" t="s">
        <v>4</v>
      </c>
      <c r="E1136" t="s">
        <v>15</v>
      </c>
      <c r="F1136" t="s">
        <v>10</v>
      </c>
      <c r="G1136" t="s">
        <v>131</v>
      </c>
      <c r="H1136">
        <v>2025</v>
      </c>
      <c r="I1136">
        <v>16317</v>
      </c>
      <c r="J1136">
        <v>9.1999999999999993</v>
      </c>
      <c r="K1136" t="s">
        <v>23</v>
      </c>
      <c r="L1136">
        <v>3.7</v>
      </c>
      <c r="M1136">
        <v>3</v>
      </c>
      <c r="N1136">
        <v>1578</v>
      </c>
      <c r="O1136" t="s">
        <v>64</v>
      </c>
      <c r="P1136">
        <v>51.4</v>
      </c>
      <c r="Q1136" t="s">
        <v>125</v>
      </c>
      <c r="R1136">
        <v>2.1</v>
      </c>
      <c r="S1136">
        <v>30.2</v>
      </c>
      <c r="T1136">
        <v>14.7</v>
      </c>
      <c r="U1136">
        <v>4.4000000000000004</v>
      </c>
      <c r="V1136">
        <v>5.5</v>
      </c>
      <c r="W1136">
        <v>7.6</v>
      </c>
      <c r="X1136" t="s">
        <v>66</v>
      </c>
    </row>
    <row r="1137" spans="2:24" x14ac:dyDescent="0.3">
      <c r="B1137" t="s">
        <v>1230</v>
      </c>
      <c r="C1137" t="s">
        <v>62</v>
      </c>
      <c r="D1137" t="s">
        <v>2</v>
      </c>
      <c r="E1137" t="s">
        <v>18</v>
      </c>
      <c r="F1137" t="s">
        <v>11</v>
      </c>
      <c r="G1137" t="s">
        <v>63</v>
      </c>
      <c r="H1137">
        <v>2026</v>
      </c>
      <c r="I1137">
        <v>11586</v>
      </c>
      <c r="J1137">
        <v>15.7</v>
      </c>
      <c r="K1137" t="s">
        <v>22</v>
      </c>
      <c r="L1137">
        <v>7.7</v>
      </c>
      <c r="M1137">
        <v>8</v>
      </c>
      <c r="N1137">
        <v>1723</v>
      </c>
      <c r="O1137" t="s">
        <v>64</v>
      </c>
      <c r="P1137">
        <v>34.4</v>
      </c>
      <c r="Q1137" t="s">
        <v>56</v>
      </c>
      <c r="R1137">
        <v>25.6</v>
      </c>
      <c r="S1137">
        <v>38</v>
      </c>
      <c r="T1137">
        <v>20.7</v>
      </c>
      <c r="U1137">
        <v>5.2</v>
      </c>
      <c r="V1137">
        <v>6.7</v>
      </c>
      <c r="W1137">
        <v>5.5</v>
      </c>
      <c r="X1137" t="s">
        <v>66</v>
      </c>
    </row>
    <row r="1138" spans="2:24" x14ac:dyDescent="0.3">
      <c r="B1138" t="s">
        <v>1231</v>
      </c>
      <c r="C1138" t="s">
        <v>97</v>
      </c>
      <c r="D1138" t="s">
        <v>3</v>
      </c>
      <c r="E1138" t="s">
        <v>19</v>
      </c>
      <c r="F1138" t="s">
        <v>10</v>
      </c>
      <c r="G1138" t="s">
        <v>101</v>
      </c>
      <c r="H1138">
        <v>2026</v>
      </c>
      <c r="I1138">
        <v>380</v>
      </c>
      <c r="J1138">
        <v>5.2</v>
      </c>
      <c r="K1138" t="s">
        <v>23</v>
      </c>
      <c r="L1138">
        <v>4</v>
      </c>
      <c r="M1138">
        <v>6.2</v>
      </c>
      <c r="N1138">
        <v>4524</v>
      </c>
      <c r="O1138" t="s">
        <v>55</v>
      </c>
      <c r="P1138">
        <v>18.100000000000001</v>
      </c>
      <c r="Q1138" t="s">
        <v>125</v>
      </c>
      <c r="R1138">
        <v>-28.4</v>
      </c>
      <c r="S1138">
        <v>-21.5</v>
      </c>
      <c r="T1138">
        <v>-12</v>
      </c>
      <c r="U1138">
        <v>3</v>
      </c>
      <c r="V1138">
        <v>7.1</v>
      </c>
      <c r="W1138">
        <v>4.9000000000000004</v>
      </c>
      <c r="X1138" t="s">
        <v>57</v>
      </c>
    </row>
    <row r="1139" spans="2:24" x14ac:dyDescent="0.3">
      <c r="B1139" t="s">
        <v>1232</v>
      </c>
      <c r="C1139" t="s">
        <v>159</v>
      </c>
      <c r="D1139" t="s">
        <v>7</v>
      </c>
      <c r="E1139" t="s">
        <v>15</v>
      </c>
      <c r="F1139" t="s">
        <v>12</v>
      </c>
      <c r="G1139" t="s">
        <v>54</v>
      </c>
      <c r="H1139">
        <v>2025</v>
      </c>
      <c r="I1139">
        <v>121</v>
      </c>
      <c r="J1139">
        <v>2.1</v>
      </c>
      <c r="K1139" t="s">
        <v>24</v>
      </c>
      <c r="L1139">
        <v>2.5</v>
      </c>
      <c r="M1139">
        <v>1</v>
      </c>
      <c r="N1139">
        <v>4838</v>
      </c>
      <c r="O1139" t="s">
        <v>55</v>
      </c>
      <c r="P1139">
        <v>16.100000000000001</v>
      </c>
      <c r="Q1139" t="s">
        <v>79</v>
      </c>
      <c r="R1139">
        <v>-36.700000000000003</v>
      </c>
      <c r="S1139">
        <v>55.4</v>
      </c>
      <c r="T1139">
        <v>25.1</v>
      </c>
      <c r="U1139">
        <v>1.5</v>
      </c>
      <c r="V1139">
        <v>8.1</v>
      </c>
      <c r="W1139">
        <v>9.1</v>
      </c>
      <c r="X1139" t="s">
        <v>57</v>
      </c>
    </row>
    <row r="1140" spans="2:24" x14ac:dyDescent="0.3">
      <c r="B1140" t="s">
        <v>1233</v>
      </c>
      <c r="C1140" t="s">
        <v>94</v>
      </c>
      <c r="D1140" t="s">
        <v>6</v>
      </c>
      <c r="E1140" t="s">
        <v>19</v>
      </c>
      <c r="F1140" t="s">
        <v>12</v>
      </c>
      <c r="G1140" t="s">
        <v>54</v>
      </c>
      <c r="H1140">
        <v>2026</v>
      </c>
      <c r="I1140">
        <v>1101</v>
      </c>
      <c r="J1140">
        <v>7.8</v>
      </c>
      <c r="K1140" t="s">
        <v>23</v>
      </c>
      <c r="L1140">
        <v>4.2</v>
      </c>
      <c r="M1140">
        <v>5.5</v>
      </c>
      <c r="N1140">
        <v>5985</v>
      </c>
      <c r="O1140" t="s">
        <v>55</v>
      </c>
      <c r="P1140">
        <v>47.7</v>
      </c>
      <c r="Q1140" t="s">
        <v>88</v>
      </c>
      <c r="R1140">
        <v>84.9</v>
      </c>
      <c r="S1140">
        <v>-17.8</v>
      </c>
      <c r="T1140">
        <v>-11.5</v>
      </c>
      <c r="U1140">
        <v>6.2</v>
      </c>
      <c r="V1140">
        <v>5.6</v>
      </c>
      <c r="W1140">
        <v>5.0999999999999996</v>
      </c>
      <c r="X1140" t="s">
        <v>57</v>
      </c>
    </row>
    <row r="1141" spans="2:24" x14ac:dyDescent="0.3">
      <c r="B1141" t="s">
        <v>1234</v>
      </c>
      <c r="C1141" t="s">
        <v>159</v>
      </c>
      <c r="D1141" t="s">
        <v>7</v>
      </c>
      <c r="E1141" t="s">
        <v>14</v>
      </c>
      <c r="F1141" t="s">
        <v>9</v>
      </c>
      <c r="G1141" t="s">
        <v>115</v>
      </c>
      <c r="H1141">
        <v>2024</v>
      </c>
      <c r="I1141">
        <v>1633</v>
      </c>
      <c r="J1141">
        <v>2</v>
      </c>
      <c r="K1141" t="s">
        <v>23</v>
      </c>
      <c r="L1141">
        <v>3.1</v>
      </c>
      <c r="M1141">
        <v>2.2000000000000002</v>
      </c>
      <c r="N1141">
        <v>2579</v>
      </c>
      <c r="O1141" t="s">
        <v>55</v>
      </c>
      <c r="P1141">
        <v>22.7</v>
      </c>
      <c r="Q1141" t="s">
        <v>65</v>
      </c>
      <c r="R1141">
        <v>-28.2</v>
      </c>
      <c r="S1141">
        <v>24.1</v>
      </c>
      <c r="T1141">
        <v>9.1999999999999993</v>
      </c>
      <c r="U1141">
        <v>4.3</v>
      </c>
      <c r="V1141">
        <v>5.8</v>
      </c>
      <c r="W1141">
        <v>8.8000000000000007</v>
      </c>
      <c r="X1141" t="s">
        <v>116</v>
      </c>
    </row>
    <row r="1142" spans="2:24" x14ac:dyDescent="0.3">
      <c r="B1142" t="s">
        <v>1235</v>
      </c>
      <c r="C1142" t="s">
        <v>53</v>
      </c>
      <c r="D1142" t="s">
        <v>7</v>
      </c>
      <c r="E1142" t="s">
        <v>16</v>
      </c>
      <c r="F1142" t="s">
        <v>12</v>
      </c>
      <c r="G1142" t="s">
        <v>115</v>
      </c>
      <c r="H1142">
        <v>2025</v>
      </c>
      <c r="I1142">
        <v>78</v>
      </c>
      <c r="J1142">
        <v>6.1</v>
      </c>
      <c r="K1142" t="s">
        <v>25</v>
      </c>
      <c r="L1142">
        <v>1.7</v>
      </c>
      <c r="M1142">
        <v>4.3</v>
      </c>
      <c r="N1142">
        <v>876</v>
      </c>
      <c r="O1142" t="s">
        <v>64</v>
      </c>
      <c r="P1142">
        <v>52.5</v>
      </c>
      <c r="Q1142" t="s">
        <v>79</v>
      </c>
      <c r="R1142">
        <v>55.2</v>
      </c>
      <c r="S1142">
        <v>19.399999999999999</v>
      </c>
      <c r="T1142">
        <v>13.1</v>
      </c>
      <c r="U1142">
        <v>1.9</v>
      </c>
      <c r="V1142">
        <v>8.1</v>
      </c>
      <c r="W1142">
        <v>6.5</v>
      </c>
      <c r="X1142" t="s">
        <v>57</v>
      </c>
    </row>
    <row r="1143" spans="2:24" x14ac:dyDescent="0.3">
      <c r="B1143" t="s">
        <v>1236</v>
      </c>
      <c r="C1143" t="s">
        <v>83</v>
      </c>
      <c r="D1143" t="s">
        <v>4</v>
      </c>
      <c r="E1143" t="s">
        <v>17</v>
      </c>
      <c r="F1143" t="s">
        <v>10</v>
      </c>
      <c r="G1143" t="s">
        <v>78</v>
      </c>
      <c r="H1143">
        <v>2026</v>
      </c>
      <c r="I1143">
        <v>17025</v>
      </c>
      <c r="J1143">
        <v>11.9</v>
      </c>
      <c r="K1143" t="s">
        <v>24</v>
      </c>
      <c r="L1143">
        <v>6.2</v>
      </c>
      <c r="M1143">
        <v>7.5</v>
      </c>
      <c r="N1143">
        <v>255</v>
      </c>
      <c r="O1143" t="s">
        <v>64</v>
      </c>
      <c r="P1143">
        <v>68.599999999999994</v>
      </c>
      <c r="Q1143" t="s">
        <v>76</v>
      </c>
      <c r="R1143">
        <v>9.1999999999999993</v>
      </c>
      <c r="S1143">
        <v>26.6</v>
      </c>
      <c r="T1143">
        <v>1.3</v>
      </c>
      <c r="U1143">
        <v>4.5999999999999996</v>
      </c>
      <c r="V1143">
        <v>8.1999999999999993</v>
      </c>
      <c r="W1143">
        <v>5.8</v>
      </c>
      <c r="X1143" t="s">
        <v>66</v>
      </c>
    </row>
    <row r="1144" spans="2:24" x14ac:dyDescent="0.3">
      <c r="B1144" t="s">
        <v>1237</v>
      </c>
      <c r="C1144" t="s">
        <v>81</v>
      </c>
      <c r="D1144" t="s">
        <v>5</v>
      </c>
      <c r="E1144" t="s">
        <v>15</v>
      </c>
      <c r="F1144" t="s">
        <v>9</v>
      </c>
      <c r="G1144" t="s">
        <v>78</v>
      </c>
      <c r="H1144">
        <v>2026</v>
      </c>
      <c r="I1144">
        <v>1911</v>
      </c>
      <c r="J1144">
        <v>2</v>
      </c>
      <c r="K1144" t="s">
        <v>21</v>
      </c>
      <c r="L1144">
        <v>7.1</v>
      </c>
      <c r="M1144">
        <v>3.9</v>
      </c>
      <c r="N1144">
        <v>5080</v>
      </c>
      <c r="O1144" t="s">
        <v>55</v>
      </c>
      <c r="P1144">
        <v>71.400000000000006</v>
      </c>
      <c r="Q1144" t="s">
        <v>125</v>
      </c>
      <c r="R1144">
        <v>-21.7</v>
      </c>
      <c r="S1144">
        <v>35.700000000000003</v>
      </c>
      <c r="T1144">
        <v>13.3</v>
      </c>
      <c r="U1144">
        <v>6.9</v>
      </c>
      <c r="V1144">
        <v>8.3000000000000007</v>
      </c>
      <c r="W1144">
        <v>7.9</v>
      </c>
      <c r="X1144" t="s">
        <v>57</v>
      </c>
    </row>
    <row r="1145" spans="2:24" x14ac:dyDescent="0.3">
      <c r="B1145" t="s">
        <v>1238</v>
      </c>
      <c r="C1145" t="s">
        <v>106</v>
      </c>
      <c r="D1145" t="s">
        <v>7</v>
      </c>
      <c r="E1145" t="s">
        <v>15</v>
      </c>
      <c r="F1145" t="s">
        <v>10</v>
      </c>
      <c r="G1145" t="s">
        <v>101</v>
      </c>
      <c r="H1145">
        <v>2025</v>
      </c>
      <c r="I1145">
        <v>120</v>
      </c>
      <c r="J1145">
        <v>8.6</v>
      </c>
      <c r="K1145" t="s">
        <v>22</v>
      </c>
      <c r="L1145">
        <v>3.7</v>
      </c>
      <c r="M1145">
        <v>5.9</v>
      </c>
      <c r="N1145">
        <v>3377</v>
      </c>
      <c r="O1145" t="s">
        <v>55</v>
      </c>
      <c r="P1145">
        <v>46.2</v>
      </c>
      <c r="Q1145" t="s">
        <v>86</v>
      </c>
      <c r="R1145">
        <v>-23.9</v>
      </c>
      <c r="S1145">
        <v>11.8</v>
      </c>
      <c r="T1145">
        <v>5.3</v>
      </c>
      <c r="U1145">
        <v>3.7</v>
      </c>
      <c r="V1145">
        <v>6.7</v>
      </c>
      <c r="W1145">
        <v>6.5</v>
      </c>
      <c r="X1145" t="s">
        <v>57</v>
      </c>
    </row>
    <row r="1146" spans="2:24" x14ac:dyDescent="0.3">
      <c r="B1146" t="s">
        <v>1239</v>
      </c>
      <c r="C1146" t="s">
        <v>106</v>
      </c>
      <c r="D1146" t="s">
        <v>7</v>
      </c>
      <c r="E1146" t="s">
        <v>18</v>
      </c>
      <c r="F1146" t="s">
        <v>10</v>
      </c>
      <c r="G1146" t="s">
        <v>115</v>
      </c>
      <c r="H1146">
        <v>2024</v>
      </c>
      <c r="I1146">
        <v>13801</v>
      </c>
      <c r="J1146">
        <v>14.5</v>
      </c>
      <c r="K1146" t="s">
        <v>22</v>
      </c>
      <c r="L1146">
        <v>7.6</v>
      </c>
      <c r="M1146">
        <v>10</v>
      </c>
      <c r="N1146">
        <v>926</v>
      </c>
      <c r="O1146" t="s">
        <v>64</v>
      </c>
      <c r="P1146">
        <v>18.2</v>
      </c>
      <c r="Q1146" t="s">
        <v>56</v>
      </c>
      <c r="R1146">
        <v>72.599999999999994</v>
      </c>
      <c r="S1146">
        <v>29.4</v>
      </c>
      <c r="T1146">
        <v>14</v>
      </c>
      <c r="U1146">
        <v>7.3</v>
      </c>
      <c r="V1146">
        <v>6.3</v>
      </c>
      <c r="W1146">
        <v>5.3</v>
      </c>
      <c r="X1146" t="s">
        <v>66</v>
      </c>
    </row>
    <row r="1147" spans="2:24" x14ac:dyDescent="0.3">
      <c r="B1147" t="s">
        <v>1240</v>
      </c>
      <c r="C1147" t="s">
        <v>159</v>
      </c>
      <c r="D1147" t="s">
        <v>7</v>
      </c>
      <c r="E1147" t="s">
        <v>18</v>
      </c>
      <c r="F1147" t="s">
        <v>11</v>
      </c>
      <c r="G1147" t="s">
        <v>74</v>
      </c>
      <c r="H1147">
        <v>2025</v>
      </c>
      <c r="I1147">
        <v>17917</v>
      </c>
      <c r="J1147">
        <v>10.7</v>
      </c>
      <c r="K1147" t="s">
        <v>22</v>
      </c>
      <c r="L1147">
        <v>2.8</v>
      </c>
      <c r="M1147">
        <v>4</v>
      </c>
      <c r="N1147">
        <v>279</v>
      </c>
      <c r="O1147" t="s">
        <v>75</v>
      </c>
      <c r="P1147">
        <v>78.8</v>
      </c>
      <c r="Q1147" t="s">
        <v>76</v>
      </c>
      <c r="R1147">
        <v>-40.4</v>
      </c>
      <c r="S1147">
        <v>48.9</v>
      </c>
      <c r="T1147">
        <v>8.5</v>
      </c>
      <c r="U1147">
        <v>2.1</v>
      </c>
      <c r="V1147">
        <v>5.9</v>
      </c>
      <c r="W1147">
        <v>8.1999999999999993</v>
      </c>
      <c r="X1147" t="s">
        <v>66</v>
      </c>
    </row>
    <row r="1148" spans="2:24" x14ac:dyDescent="0.3">
      <c r="B1148" t="s">
        <v>1241</v>
      </c>
      <c r="C1148" t="s">
        <v>94</v>
      </c>
      <c r="D1148" t="s">
        <v>6</v>
      </c>
      <c r="E1148" t="s">
        <v>17</v>
      </c>
      <c r="F1148" t="s">
        <v>11</v>
      </c>
      <c r="G1148" t="s">
        <v>54</v>
      </c>
      <c r="H1148">
        <v>2026</v>
      </c>
      <c r="I1148">
        <v>1361</v>
      </c>
      <c r="J1148">
        <v>4.2</v>
      </c>
      <c r="K1148" t="s">
        <v>21</v>
      </c>
      <c r="L1148">
        <v>0.7</v>
      </c>
      <c r="M1148">
        <v>1</v>
      </c>
      <c r="N1148">
        <v>5318</v>
      </c>
      <c r="O1148" t="s">
        <v>55</v>
      </c>
      <c r="P1148">
        <v>56.1</v>
      </c>
      <c r="Q1148" t="s">
        <v>79</v>
      </c>
      <c r="R1148">
        <v>19.5</v>
      </c>
      <c r="S1148">
        <v>-9.6999999999999993</v>
      </c>
      <c r="T1148">
        <v>-1.8</v>
      </c>
      <c r="U1148">
        <v>1.2</v>
      </c>
      <c r="V1148">
        <v>5</v>
      </c>
      <c r="W1148">
        <v>8</v>
      </c>
      <c r="X1148" t="s">
        <v>57</v>
      </c>
    </row>
    <row r="1149" spans="2:24" x14ac:dyDescent="0.3">
      <c r="B1149" t="s">
        <v>1242</v>
      </c>
      <c r="C1149" t="s">
        <v>53</v>
      </c>
      <c r="D1149" t="s">
        <v>7</v>
      </c>
      <c r="E1149" t="s">
        <v>17</v>
      </c>
      <c r="F1149" t="s">
        <v>12</v>
      </c>
      <c r="G1149" t="s">
        <v>101</v>
      </c>
      <c r="H1149">
        <v>2025</v>
      </c>
      <c r="I1149">
        <v>9688</v>
      </c>
      <c r="J1149">
        <v>36.299999999999997</v>
      </c>
      <c r="K1149" t="s">
        <v>25</v>
      </c>
      <c r="L1149">
        <v>1.4</v>
      </c>
      <c r="M1149">
        <v>8.5</v>
      </c>
      <c r="N1149">
        <v>1953</v>
      </c>
      <c r="O1149" t="s">
        <v>75</v>
      </c>
      <c r="P1149">
        <v>27.5</v>
      </c>
      <c r="Q1149" t="s">
        <v>79</v>
      </c>
      <c r="R1149">
        <v>23.2</v>
      </c>
      <c r="S1149">
        <v>30.2</v>
      </c>
      <c r="T1149">
        <v>-4.5</v>
      </c>
      <c r="U1149">
        <v>1.1000000000000001</v>
      </c>
      <c r="V1149">
        <v>5.8</v>
      </c>
      <c r="W1149">
        <v>3.8</v>
      </c>
      <c r="X1149" t="s">
        <v>66</v>
      </c>
    </row>
    <row r="1150" spans="2:24" x14ac:dyDescent="0.3">
      <c r="B1150" t="s">
        <v>1243</v>
      </c>
      <c r="C1150" t="s">
        <v>97</v>
      </c>
      <c r="D1150" t="s">
        <v>3</v>
      </c>
      <c r="E1150" t="s">
        <v>14</v>
      </c>
      <c r="F1150" t="s">
        <v>11</v>
      </c>
      <c r="G1150" t="s">
        <v>98</v>
      </c>
      <c r="H1150">
        <v>2026</v>
      </c>
      <c r="I1150">
        <v>959</v>
      </c>
      <c r="J1150">
        <v>18</v>
      </c>
      <c r="K1150" t="s">
        <v>25</v>
      </c>
      <c r="L1150">
        <v>6.3</v>
      </c>
      <c r="M1150">
        <v>10</v>
      </c>
      <c r="N1150">
        <v>3119</v>
      </c>
      <c r="O1150" t="s">
        <v>55</v>
      </c>
      <c r="P1150">
        <v>85.4</v>
      </c>
      <c r="Q1150" t="s">
        <v>125</v>
      </c>
      <c r="R1150">
        <v>87.6</v>
      </c>
      <c r="S1150">
        <v>-4</v>
      </c>
      <c r="T1150">
        <v>1.1000000000000001</v>
      </c>
      <c r="U1150">
        <v>8.3000000000000007</v>
      </c>
      <c r="V1150">
        <v>3.7</v>
      </c>
      <c r="W1150">
        <v>4.7</v>
      </c>
      <c r="X1150" t="s">
        <v>116</v>
      </c>
    </row>
    <row r="1151" spans="2:24" x14ac:dyDescent="0.3">
      <c r="B1151" t="s">
        <v>1244</v>
      </c>
      <c r="C1151" t="s">
        <v>137</v>
      </c>
      <c r="D1151" t="s">
        <v>4</v>
      </c>
      <c r="E1151" t="s">
        <v>18</v>
      </c>
      <c r="F1151" t="s">
        <v>10</v>
      </c>
      <c r="G1151" t="s">
        <v>69</v>
      </c>
      <c r="H1151">
        <v>2025</v>
      </c>
      <c r="I1151">
        <v>889</v>
      </c>
      <c r="J1151">
        <v>12.2</v>
      </c>
      <c r="K1151" t="s">
        <v>22</v>
      </c>
      <c r="L1151">
        <v>6.3</v>
      </c>
      <c r="M1151">
        <v>10</v>
      </c>
      <c r="N1151">
        <v>803</v>
      </c>
      <c r="O1151" t="s">
        <v>64</v>
      </c>
      <c r="P1151">
        <v>36.9</v>
      </c>
      <c r="Q1151" t="s">
        <v>79</v>
      </c>
      <c r="R1151">
        <v>8.1999999999999993</v>
      </c>
      <c r="S1151">
        <v>19.3</v>
      </c>
      <c r="T1151">
        <v>1.4</v>
      </c>
      <c r="U1151">
        <v>6.8</v>
      </c>
      <c r="V1151">
        <v>5.3</v>
      </c>
      <c r="W1151">
        <v>5.0999999999999996</v>
      </c>
      <c r="X1151" t="s">
        <v>116</v>
      </c>
    </row>
    <row r="1152" spans="2:24" x14ac:dyDescent="0.3">
      <c r="B1152" t="s">
        <v>1245</v>
      </c>
      <c r="C1152" t="s">
        <v>62</v>
      </c>
      <c r="D1152" t="s">
        <v>2</v>
      </c>
      <c r="E1152" t="s">
        <v>19</v>
      </c>
      <c r="F1152" t="s">
        <v>11</v>
      </c>
      <c r="G1152" t="s">
        <v>115</v>
      </c>
      <c r="H1152">
        <v>2025</v>
      </c>
      <c r="I1152">
        <v>2657</v>
      </c>
      <c r="J1152">
        <v>17.3</v>
      </c>
      <c r="K1152" t="s">
        <v>25</v>
      </c>
      <c r="L1152">
        <v>8.3000000000000007</v>
      </c>
      <c r="M1152">
        <v>9</v>
      </c>
      <c r="N1152">
        <v>2822</v>
      </c>
      <c r="O1152" t="s">
        <v>55</v>
      </c>
      <c r="P1152">
        <v>26</v>
      </c>
      <c r="Q1152" t="s">
        <v>56</v>
      </c>
      <c r="R1152">
        <v>88.3</v>
      </c>
      <c r="S1152">
        <v>34.200000000000003</v>
      </c>
      <c r="T1152">
        <v>11.2</v>
      </c>
      <c r="U1152">
        <v>5.3</v>
      </c>
      <c r="V1152">
        <v>7.8</v>
      </c>
      <c r="W1152">
        <v>6.2</v>
      </c>
      <c r="X1152" t="s">
        <v>66</v>
      </c>
    </row>
    <row r="1153" spans="2:24" x14ac:dyDescent="0.3">
      <c r="B1153" t="s">
        <v>1246</v>
      </c>
      <c r="C1153" t="s">
        <v>122</v>
      </c>
      <c r="D1153" t="s">
        <v>2</v>
      </c>
      <c r="E1153" t="s">
        <v>17</v>
      </c>
      <c r="F1153" t="s">
        <v>10</v>
      </c>
      <c r="G1153" t="s">
        <v>104</v>
      </c>
      <c r="H1153">
        <v>2025</v>
      </c>
      <c r="I1153">
        <v>5343</v>
      </c>
      <c r="J1153">
        <v>16.5</v>
      </c>
      <c r="K1153" t="s">
        <v>22</v>
      </c>
      <c r="L1153">
        <v>5.3</v>
      </c>
      <c r="M1153">
        <v>9.9</v>
      </c>
      <c r="N1153">
        <v>4863</v>
      </c>
      <c r="O1153" t="s">
        <v>55</v>
      </c>
      <c r="P1153">
        <v>36.4</v>
      </c>
      <c r="Q1153" t="s">
        <v>76</v>
      </c>
      <c r="R1153">
        <v>-5.0999999999999996</v>
      </c>
      <c r="S1153">
        <v>29</v>
      </c>
      <c r="T1153">
        <v>2.6</v>
      </c>
      <c r="U1153">
        <v>6.5</v>
      </c>
      <c r="V1153">
        <v>7.2</v>
      </c>
      <c r="W1153">
        <v>4.8</v>
      </c>
      <c r="X1153" t="s">
        <v>116</v>
      </c>
    </row>
    <row r="1154" spans="2:24" x14ac:dyDescent="0.3">
      <c r="B1154" t="s">
        <v>1247</v>
      </c>
      <c r="C1154" t="s">
        <v>137</v>
      </c>
      <c r="D1154" t="s">
        <v>3</v>
      </c>
      <c r="E1154" t="s">
        <v>16</v>
      </c>
      <c r="F1154" t="s">
        <v>10</v>
      </c>
      <c r="G1154" t="s">
        <v>60</v>
      </c>
      <c r="H1154">
        <v>2024</v>
      </c>
      <c r="I1154">
        <v>3379</v>
      </c>
      <c r="J1154">
        <v>9.8000000000000007</v>
      </c>
      <c r="K1154" t="s">
        <v>25</v>
      </c>
      <c r="L1154">
        <v>3.1</v>
      </c>
      <c r="M1154">
        <v>3.6</v>
      </c>
      <c r="N1154">
        <v>1150</v>
      </c>
      <c r="O1154" t="s">
        <v>64</v>
      </c>
      <c r="P1154">
        <v>59.1</v>
      </c>
      <c r="Q1154" t="s">
        <v>86</v>
      </c>
      <c r="R1154">
        <v>-21.9</v>
      </c>
      <c r="S1154">
        <v>0.1</v>
      </c>
      <c r="T1154">
        <v>-6.8</v>
      </c>
      <c r="U1154">
        <v>3.4</v>
      </c>
      <c r="V1154">
        <v>7.4</v>
      </c>
      <c r="W1154">
        <v>6</v>
      </c>
      <c r="X1154" t="s">
        <v>116</v>
      </c>
    </row>
    <row r="1155" spans="2:24" x14ac:dyDescent="0.3">
      <c r="B1155" t="s">
        <v>1248</v>
      </c>
      <c r="C1155" t="s">
        <v>83</v>
      </c>
      <c r="D1155" t="s">
        <v>4</v>
      </c>
      <c r="E1155" t="s">
        <v>16</v>
      </c>
      <c r="F1155" t="s">
        <v>10</v>
      </c>
      <c r="G1155" t="s">
        <v>115</v>
      </c>
      <c r="H1155">
        <v>2025</v>
      </c>
      <c r="I1155">
        <v>857</v>
      </c>
      <c r="J1155">
        <v>2.4</v>
      </c>
      <c r="K1155" t="s">
        <v>23</v>
      </c>
      <c r="L1155">
        <v>6.6</v>
      </c>
      <c r="M1155">
        <v>7.5</v>
      </c>
      <c r="N1155">
        <v>2518</v>
      </c>
      <c r="O1155" t="s">
        <v>55</v>
      </c>
      <c r="P1155">
        <v>58.4</v>
      </c>
      <c r="Q1155" t="s">
        <v>56</v>
      </c>
      <c r="R1155">
        <v>-20.6</v>
      </c>
      <c r="S1155">
        <v>15.2</v>
      </c>
      <c r="T1155">
        <v>3.2</v>
      </c>
      <c r="U1155">
        <v>4.7</v>
      </c>
      <c r="V1155">
        <v>8.1999999999999993</v>
      </c>
      <c r="W1155">
        <v>7</v>
      </c>
      <c r="X1155" t="s">
        <v>57</v>
      </c>
    </row>
    <row r="1156" spans="2:24" x14ac:dyDescent="0.3">
      <c r="B1156" t="s">
        <v>1249</v>
      </c>
      <c r="C1156" t="s">
        <v>71</v>
      </c>
      <c r="D1156" t="s">
        <v>6</v>
      </c>
      <c r="E1156" t="s">
        <v>17</v>
      </c>
      <c r="F1156" t="s">
        <v>9</v>
      </c>
      <c r="G1156" t="s">
        <v>74</v>
      </c>
      <c r="H1156">
        <v>2026</v>
      </c>
      <c r="I1156">
        <v>12311</v>
      </c>
      <c r="J1156">
        <v>28.8</v>
      </c>
      <c r="K1156" t="s">
        <v>21</v>
      </c>
      <c r="L1156">
        <v>7.6</v>
      </c>
      <c r="M1156">
        <v>10</v>
      </c>
      <c r="N1156">
        <v>1391</v>
      </c>
      <c r="O1156" t="s">
        <v>75</v>
      </c>
      <c r="P1156">
        <v>87.5</v>
      </c>
      <c r="Q1156" t="s">
        <v>65</v>
      </c>
      <c r="R1156">
        <v>85.6</v>
      </c>
      <c r="S1156">
        <v>-0.3</v>
      </c>
      <c r="T1156">
        <v>1.1000000000000001</v>
      </c>
      <c r="U1156">
        <v>5.2</v>
      </c>
      <c r="V1156">
        <v>4.0999999999999996</v>
      </c>
      <c r="W1156">
        <v>3.7</v>
      </c>
      <c r="X1156" t="s">
        <v>66</v>
      </c>
    </row>
    <row r="1157" spans="2:24" x14ac:dyDescent="0.3">
      <c r="B1157" t="s">
        <v>1250</v>
      </c>
      <c r="C1157" t="s">
        <v>106</v>
      </c>
      <c r="D1157" t="s">
        <v>4</v>
      </c>
      <c r="E1157" t="s">
        <v>15</v>
      </c>
      <c r="F1157" t="s">
        <v>12</v>
      </c>
      <c r="G1157" t="s">
        <v>60</v>
      </c>
      <c r="H1157">
        <v>2025</v>
      </c>
      <c r="I1157">
        <v>4366</v>
      </c>
      <c r="J1157">
        <v>4.3</v>
      </c>
      <c r="K1157" t="s">
        <v>21</v>
      </c>
      <c r="L1157">
        <v>6.9</v>
      </c>
      <c r="M1157">
        <v>4.8</v>
      </c>
      <c r="N1157">
        <v>5337</v>
      </c>
      <c r="O1157" t="s">
        <v>55</v>
      </c>
      <c r="P1157">
        <v>47.8</v>
      </c>
      <c r="Q1157" t="s">
        <v>79</v>
      </c>
      <c r="R1157">
        <v>88.5</v>
      </c>
      <c r="S1157">
        <v>36</v>
      </c>
      <c r="T1157">
        <v>17.399999999999999</v>
      </c>
      <c r="U1157">
        <v>7.9</v>
      </c>
      <c r="V1157">
        <v>7.5</v>
      </c>
      <c r="W1157">
        <v>8.5</v>
      </c>
      <c r="X1157" t="s">
        <v>116</v>
      </c>
    </row>
    <row r="1158" spans="2:24" x14ac:dyDescent="0.3">
      <c r="B1158" t="s">
        <v>1251</v>
      </c>
      <c r="C1158" t="s">
        <v>90</v>
      </c>
      <c r="D1158" t="s">
        <v>2</v>
      </c>
      <c r="E1158" t="s">
        <v>18</v>
      </c>
      <c r="F1158" t="s">
        <v>10</v>
      </c>
      <c r="G1158" t="s">
        <v>104</v>
      </c>
      <c r="H1158">
        <v>2024</v>
      </c>
      <c r="I1158">
        <v>9131</v>
      </c>
      <c r="J1158">
        <v>36.6</v>
      </c>
      <c r="K1158" t="s">
        <v>21</v>
      </c>
      <c r="L1158">
        <v>9.1</v>
      </c>
      <c r="M1158">
        <v>10</v>
      </c>
      <c r="N1158">
        <v>9502</v>
      </c>
      <c r="O1158" t="s">
        <v>55</v>
      </c>
      <c r="P1158">
        <v>32.9</v>
      </c>
      <c r="Q1158" t="s">
        <v>56</v>
      </c>
      <c r="R1158">
        <v>8.9</v>
      </c>
      <c r="S1158">
        <v>-23.6</v>
      </c>
      <c r="T1158">
        <v>-13.3</v>
      </c>
      <c r="U1158">
        <v>7.3</v>
      </c>
      <c r="V1158">
        <v>4.3</v>
      </c>
      <c r="W1158">
        <v>1</v>
      </c>
      <c r="X1158" t="s">
        <v>66</v>
      </c>
    </row>
    <row r="1159" spans="2:24" x14ac:dyDescent="0.3">
      <c r="B1159" t="s">
        <v>1252</v>
      </c>
      <c r="C1159" t="s">
        <v>137</v>
      </c>
      <c r="D1159" t="s">
        <v>3</v>
      </c>
      <c r="E1159" t="s">
        <v>15</v>
      </c>
      <c r="F1159" t="s">
        <v>12</v>
      </c>
      <c r="G1159" t="s">
        <v>98</v>
      </c>
      <c r="H1159">
        <v>2026</v>
      </c>
      <c r="I1159">
        <v>389</v>
      </c>
      <c r="J1159">
        <v>2.2999999999999998</v>
      </c>
      <c r="K1159" t="s">
        <v>24</v>
      </c>
      <c r="L1159">
        <v>3.2</v>
      </c>
      <c r="M1159">
        <v>2.9</v>
      </c>
      <c r="N1159">
        <v>5069</v>
      </c>
      <c r="O1159" t="s">
        <v>55</v>
      </c>
      <c r="P1159">
        <v>37.799999999999997</v>
      </c>
      <c r="Q1159" t="s">
        <v>88</v>
      </c>
      <c r="R1159">
        <v>9.3000000000000007</v>
      </c>
      <c r="S1159">
        <v>2.2000000000000002</v>
      </c>
      <c r="T1159">
        <v>7.4</v>
      </c>
      <c r="U1159">
        <v>1.9</v>
      </c>
      <c r="V1159">
        <v>6.5</v>
      </c>
      <c r="W1159">
        <v>7.5</v>
      </c>
      <c r="X1159" t="s">
        <v>57</v>
      </c>
    </row>
    <row r="1160" spans="2:24" x14ac:dyDescent="0.3">
      <c r="B1160" t="s">
        <v>1253</v>
      </c>
      <c r="C1160" t="s">
        <v>59</v>
      </c>
      <c r="D1160" t="s">
        <v>4</v>
      </c>
      <c r="E1160" t="s">
        <v>17</v>
      </c>
      <c r="F1160" t="s">
        <v>9</v>
      </c>
      <c r="G1160" t="s">
        <v>98</v>
      </c>
      <c r="H1160">
        <v>2024</v>
      </c>
      <c r="I1160">
        <v>14284</v>
      </c>
      <c r="J1160">
        <v>25.3</v>
      </c>
      <c r="K1160" t="s">
        <v>22</v>
      </c>
      <c r="L1160">
        <v>9.3000000000000007</v>
      </c>
      <c r="M1160">
        <v>9.1999999999999993</v>
      </c>
      <c r="N1160">
        <v>372</v>
      </c>
      <c r="O1160" t="s">
        <v>64</v>
      </c>
      <c r="P1160">
        <v>73</v>
      </c>
      <c r="Q1160" t="s">
        <v>56</v>
      </c>
      <c r="R1160">
        <v>-4.7</v>
      </c>
      <c r="S1160">
        <v>7.3</v>
      </c>
      <c r="T1160">
        <v>1.3</v>
      </c>
      <c r="U1160">
        <v>8.5</v>
      </c>
      <c r="V1160">
        <v>6.9</v>
      </c>
      <c r="W1160">
        <v>3</v>
      </c>
      <c r="X1160" t="s">
        <v>66</v>
      </c>
    </row>
    <row r="1161" spans="2:24" x14ac:dyDescent="0.3">
      <c r="B1161" t="s">
        <v>1254</v>
      </c>
      <c r="C1161" t="s">
        <v>59</v>
      </c>
      <c r="D1161" t="s">
        <v>4</v>
      </c>
      <c r="E1161" t="s">
        <v>16</v>
      </c>
      <c r="F1161" t="s">
        <v>10</v>
      </c>
      <c r="G1161" t="s">
        <v>131</v>
      </c>
      <c r="H1161">
        <v>2024</v>
      </c>
      <c r="I1161">
        <v>1658</v>
      </c>
      <c r="J1161">
        <v>3.9</v>
      </c>
      <c r="K1161" t="s">
        <v>23</v>
      </c>
      <c r="L1161">
        <v>14.7</v>
      </c>
      <c r="M1161">
        <v>9.3000000000000007</v>
      </c>
      <c r="N1161">
        <v>1984</v>
      </c>
      <c r="O1161" t="s">
        <v>55</v>
      </c>
      <c r="P1161">
        <v>77.3</v>
      </c>
      <c r="Q1161" t="s">
        <v>86</v>
      </c>
      <c r="R1161">
        <v>81.7</v>
      </c>
      <c r="S1161">
        <v>23.8</v>
      </c>
      <c r="T1161">
        <v>6.8</v>
      </c>
      <c r="U1161">
        <v>9.3000000000000007</v>
      </c>
      <c r="V1161">
        <v>8.8000000000000007</v>
      </c>
      <c r="W1161">
        <v>6.2</v>
      </c>
      <c r="X1161" t="s">
        <v>116</v>
      </c>
    </row>
    <row r="1162" spans="2:24" x14ac:dyDescent="0.3">
      <c r="B1162" t="s">
        <v>1255</v>
      </c>
      <c r="C1162" t="s">
        <v>137</v>
      </c>
      <c r="D1162" t="s">
        <v>3</v>
      </c>
      <c r="E1162" t="s">
        <v>15</v>
      </c>
      <c r="F1162" t="s">
        <v>10</v>
      </c>
      <c r="G1162" t="s">
        <v>98</v>
      </c>
      <c r="H1162">
        <v>2026</v>
      </c>
      <c r="I1162">
        <v>13310</v>
      </c>
      <c r="J1162">
        <v>27.7</v>
      </c>
      <c r="K1162" t="s">
        <v>22</v>
      </c>
      <c r="L1162">
        <v>1.9</v>
      </c>
      <c r="M1162">
        <v>5</v>
      </c>
      <c r="N1162">
        <v>1683</v>
      </c>
      <c r="O1162" t="s">
        <v>64</v>
      </c>
      <c r="P1162">
        <v>82.4</v>
      </c>
      <c r="Q1162" t="s">
        <v>76</v>
      </c>
      <c r="R1162">
        <v>22.6</v>
      </c>
      <c r="S1162">
        <v>15.1</v>
      </c>
      <c r="T1162">
        <v>1.4</v>
      </c>
      <c r="U1162">
        <v>1.8</v>
      </c>
      <c r="V1162">
        <v>4.3</v>
      </c>
      <c r="W1162">
        <v>4.3</v>
      </c>
      <c r="X1162" t="s">
        <v>66</v>
      </c>
    </row>
    <row r="1163" spans="2:24" x14ac:dyDescent="0.3">
      <c r="B1163" t="s">
        <v>1256</v>
      </c>
      <c r="C1163" t="s">
        <v>90</v>
      </c>
      <c r="D1163" t="s">
        <v>2</v>
      </c>
      <c r="E1163" t="s">
        <v>17</v>
      </c>
      <c r="F1163" t="s">
        <v>11</v>
      </c>
      <c r="G1163" t="s">
        <v>63</v>
      </c>
      <c r="H1163">
        <v>2026</v>
      </c>
      <c r="I1163">
        <v>523</v>
      </c>
      <c r="J1163">
        <v>5.6</v>
      </c>
      <c r="K1163" t="s">
        <v>24</v>
      </c>
      <c r="L1163">
        <v>9.8000000000000007</v>
      </c>
      <c r="M1163">
        <v>10</v>
      </c>
      <c r="N1163">
        <v>7328</v>
      </c>
      <c r="O1163" t="s">
        <v>118</v>
      </c>
      <c r="P1163">
        <v>76.599999999999994</v>
      </c>
      <c r="Q1163" t="s">
        <v>56</v>
      </c>
      <c r="R1163">
        <v>2.1</v>
      </c>
      <c r="S1163">
        <v>-4.3</v>
      </c>
      <c r="T1163">
        <v>-3.6</v>
      </c>
      <c r="U1163">
        <v>8.6999999999999993</v>
      </c>
      <c r="V1163">
        <v>6.7</v>
      </c>
      <c r="W1163">
        <v>6.1</v>
      </c>
      <c r="X1163" t="s">
        <v>57</v>
      </c>
    </row>
    <row r="1164" spans="2:24" x14ac:dyDescent="0.3">
      <c r="B1164" t="s">
        <v>1257</v>
      </c>
      <c r="C1164" t="s">
        <v>71</v>
      </c>
      <c r="D1164" t="s">
        <v>6</v>
      </c>
      <c r="E1164" t="s">
        <v>18</v>
      </c>
      <c r="F1164" t="s">
        <v>11</v>
      </c>
      <c r="G1164" t="s">
        <v>112</v>
      </c>
      <c r="H1164">
        <v>2024</v>
      </c>
      <c r="I1164">
        <v>1298</v>
      </c>
      <c r="J1164">
        <v>7</v>
      </c>
      <c r="K1164" t="s">
        <v>21</v>
      </c>
      <c r="L1164">
        <v>8.9</v>
      </c>
      <c r="M1164">
        <v>4.8</v>
      </c>
      <c r="N1164">
        <v>5625</v>
      </c>
      <c r="O1164" t="s">
        <v>55</v>
      </c>
      <c r="P1164">
        <v>78.8</v>
      </c>
      <c r="Q1164" t="s">
        <v>88</v>
      </c>
      <c r="R1164">
        <v>51.1</v>
      </c>
      <c r="S1164">
        <v>46</v>
      </c>
      <c r="T1164">
        <v>12.4</v>
      </c>
      <c r="U1164">
        <v>6.8</v>
      </c>
      <c r="V1164">
        <v>8.6</v>
      </c>
      <c r="W1164">
        <v>8.3000000000000007</v>
      </c>
      <c r="X1164" t="s">
        <v>57</v>
      </c>
    </row>
    <row r="1165" spans="2:24" x14ac:dyDescent="0.3">
      <c r="B1165" t="s">
        <v>1258</v>
      </c>
      <c r="C1165" t="s">
        <v>159</v>
      </c>
      <c r="D1165" t="s">
        <v>2</v>
      </c>
      <c r="E1165" t="s">
        <v>17</v>
      </c>
      <c r="F1165" t="s">
        <v>12</v>
      </c>
      <c r="G1165" t="s">
        <v>101</v>
      </c>
      <c r="H1165">
        <v>2024</v>
      </c>
      <c r="I1165">
        <v>10784</v>
      </c>
      <c r="J1165">
        <v>17.3</v>
      </c>
      <c r="K1165" t="s">
        <v>25</v>
      </c>
      <c r="L1165">
        <v>5.6</v>
      </c>
      <c r="M1165">
        <v>6.7</v>
      </c>
      <c r="N1165">
        <v>1405</v>
      </c>
      <c r="O1165" t="s">
        <v>64</v>
      </c>
      <c r="P1165">
        <v>23.3</v>
      </c>
      <c r="Q1165" t="s">
        <v>76</v>
      </c>
      <c r="R1165">
        <v>81</v>
      </c>
      <c r="S1165">
        <v>-2.4</v>
      </c>
      <c r="T1165">
        <v>-10.9</v>
      </c>
      <c r="U1165">
        <v>4.5999999999999996</v>
      </c>
      <c r="V1165">
        <v>7.4</v>
      </c>
      <c r="W1165">
        <v>3.9</v>
      </c>
      <c r="X1165" t="s">
        <v>66</v>
      </c>
    </row>
    <row r="1166" spans="2:24" x14ac:dyDescent="0.3">
      <c r="B1166" t="s">
        <v>1259</v>
      </c>
      <c r="C1166" t="s">
        <v>106</v>
      </c>
      <c r="D1166" t="s">
        <v>8</v>
      </c>
      <c r="E1166" t="s">
        <v>16</v>
      </c>
      <c r="F1166" t="s">
        <v>10</v>
      </c>
      <c r="G1166" t="s">
        <v>60</v>
      </c>
      <c r="H1166">
        <v>2024</v>
      </c>
      <c r="I1166">
        <v>2819</v>
      </c>
      <c r="J1166">
        <v>34.700000000000003</v>
      </c>
      <c r="K1166" t="s">
        <v>25</v>
      </c>
      <c r="L1166">
        <v>3.4</v>
      </c>
      <c r="M1166">
        <v>10</v>
      </c>
      <c r="N1166">
        <v>606</v>
      </c>
      <c r="O1166" t="s">
        <v>75</v>
      </c>
      <c r="P1166">
        <v>86.2</v>
      </c>
      <c r="Q1166" t="s">
        <v>65</v>
      </c>
      <c r="R1166">
        <v>-7.4</v>
      </c>
      <c r="S1166">
        <v>50.2</v>
      </c>
      <c r="T1166">
        <v>19.899999999999999</v>
      </c>
      <c r="U1166">
        <v>5.3</v>
      </c>
      <c r="V1166">
        <v>4.7</v>
      </c>
      <c r="W1166">
        <v>4.2</v>
      </c>
      <c r="X1166" t="s">
        <v>66</v>
      </c>
    </row>
    <row r="1167" spans="2:24" x14ac:dyDescent="0.3">
      <c r="B1167" t="s">
        <v>1260</v>
      </c>
      <c r="C1167" t="s">
        <v>71</v>
      </c>
      <c r="D1167" t="s">
        <v>6</v>
      </c>
      <c r="E1167" t="s">
        <v>14</v>
      </c>
      <c r="F1167" t="s">
        <v>11</v>
      </c>
      <c r="G1167" t="s">
        <v>101</v>
      </c>
      <c r="H1167">
        <v>2026</v>
      </c>
      <c r="I1167">
        <v>772</v>
      </c>
      <c r="J1167">
        <v>2.5</v>
      </c>
      <c r="K1167" t="s">
        <v>23</v>
      </c>
      <c r="L1167">
        <v>12.4</v>
      </c>
      <c r="M1167">
        <v>10</v>
      </c>
      <c r="N1167">
        <v>2175</v>
      </c>
      <c r="O1167" t="s">
        <v>55</v>
      </c>
      <c r="P1167">
        <v>76.599999999999994</v>
      </c>
      <c r="Q1167" t="s">
        <v>84</v>
      </c>
      <c r="R1167">
        <v>63.5</v>
      </c>
      <c r="S1167">
        <v>-0.3</v>
      </c>
      <c r="T1167">
        <v>3.2</v>
      </c>
      <c r="U1167">
        <v>8.8000000000000007</v>
      </c>
      <c r="V1167">
        <v>7</v>
      </c>
      <c r="W1167">
        <v>6.3</v>
      </c>
      <c r="X1167" t="s">
        <v>57</v>
      </c>
    </row>
    <row r="1168" spans="2:24" x14ac:dyDescent="0.3">
      <c r="B1168" t="s">
        <v>1261</v>
      </c>
      <c r="C1168" t="s">
        <v>106</v>
      </c>
      <c r="D1168" t="s">
        <v>4</v>
      </c>
      <c r="E1168" t="s">
        <v>16</v>
      </c>
      <c r="F1168" t="s">
        <v>11</v>
      </c>
      <c r="G1168" t="s">
        <v>131</v>
      </c>
      <c r="H1168">
        <v>2026</v>
      </c>
      <c r="I1168">
        <v>2129</v>
      </c>
      <c r="J1168">
        <v>2.1</v>
      </c>
      <c r="K1168" t="s">
        <v>23</v>
      </c>
      <c r="L1168">
        <v>2.5</v>
      </c>
      <c r="M1168">
        <v>3.6</v>
      </c>
      <c r="N1168">
        <v>5007</v>
      </c>
      <c r="O1168" t="s">
        <v>55</v>
      </c>
      <c r="P1168">
        <v>56.2</v>
      </c>
      <c r="Q1168" t="s">
        <v>65</v>
      </c>
      <c r="R1168">
        <v>-1.5</v>
      </c>
      <c r="S1168">
        <v>-17.100000000000001</v>
      </c>
      <c r="T1168">
        <v>4</v>
      </c>
      <c r="U1168">
        <v>3.6</v>
      </c>
      <c r="V1168">
        <v>6.1</v>
      </c>
      <c r="W1168">
        <v>6.4</v>
      </c>
      <c r="X1168" t="s">
        <v>57</v>
      </c>
    </row>
    <row r="1169" spans="2:24" x14ac:dyDescent="0.3">
      <c r="B1169" t="s">
        <v>1262</v>
      </c>
      <c r="C1169" t="s">
        <v>90</v>
      </c>
      <c r="D1169" t="s">
        <v>3</v>
      </c>
      <c r="E1169" t="s">
        <v>15</v>
      </c>
      <c r="F1169" t="s">
        <v>9</v>
      </c>
      <c r="G1169" t="s">
        <v>74</v>
      </c>
      <c r="H1169">
        <v>2024</v>
      </c>
      <c r="I1169">
        <v>1310</v>
      </c>
      <c r="J1169">
        <v>2.6</v>
      </c>
      <c r="K1169" t="s">
        <v>24</v>
      </c>
      <c r="L1169">
        <v>6</v>
      </c>
      <c r="M1169">
        <v>3.8</v>
      </c>
      <c r="N1169">
        <v>1185</v>
      </c>
      <c r="O1169" t="s">
        <v>55</v>
      </c>
      <c r="P1169">
        <v>21.6</v>
      </c>
      <c r="Q1169" t="s">
        <v>125</v>
      </c>
      <c r="R1169">
        <v>-44.3</v>
      </c>
      <c r="S1169">
        <v>52.1</v>
      </c>
      <c r="T1169">
        <v>16.7</v>
      </c>
      <c r="U1169">
        <v>6</v>
      </c>
      <c r="V1169">
        <v>8.1</v>
      </c>
      <c r="W1169">
        <v>8</v>
      </c>
      <c r="X1169" t="s">
        <v>116</v>
      </c>
    </row>
    <row r="1170" spans="2:24" x14ac:dyDescent="0.3">
      <c r="B1170" t="s">
        <v>1263</v>
      </c>
      <c r="C1170" t="s">
        <v>90</v>
      </c>
      <c r="D1170" t="s">
        <v>3</v>
      </c>
      <c r="E1170" t="s">
        <v>19</v>
      </c>
      <c r="F1170" t="s">
        <v>12</v>
      </c>
      <c r="G1170" t="s">
        <v>78</v>
      </c>
      <c r="H1170">
        <v>2026</v>
      </c>
      <c r="I1170">
        <v>6055</v>
      </c>
      <c r="J1170">
        <v>14.9</v>
      </c>
      <c r="K1170" t="s">
        <v>24</v>
      </c>
      <c r="L1170">
        <v>4.5</v>
      </c>
      <c r="M1170">
        <v>8</v>
      </c>
      <c r="N1170">
        <v>3984</v>
      </c>
      <c r="O1170" t="s">
        <v>64</v>
      </c>
      <c r="P1170">
        <v>45.5</v>
      </c>
      <c r="Q1170" t="s">
        <v>86</v>
      </c>
      <c r="R1170">
        <v>-35.6</v>
      </c>
      <c r="S1170">
        <v>-12.5</v>
      </c>
      <c r="T1170">
        <v>-1.4</v>
      </c>
      <c r="U1170">
        <v>5.4</v>
      </c>
      <c r="V1170">
        <v>4.4000000000000004</v>
      </c>
      <c r="W1170">
        <v>3.7</v>
      </c>
      <c r="X1170" t="s">
        <v>116</v>
      </c>
    </row>
    <row r="1171" spans="2:24" x14ac:dyDescent="0.3">
      <c r="B1171" t="s">
        <v>1264</v>
      </c>
      <c r="C1171" t="s">
        <v>106</v>
      </c>
      <c r="D1171" t="s">
        <v>3</v>
      </c>
      <c r="E1171" t="s">
        <v>17</v>
      </c>
      <c r="F1171" t="s">
        <v>12</v>
      </c>
      <c r="G1171" t="s">
        <v>98</v>
      </c>
      <c r="H1171">
        <v>2024</v>
      </c>
      <c r="I1171">
        <v>3214</v>
      </c>
      <c r="J1171">
        <v>1.6</v>
      </c>
      <c r="K1171" t="s">
        <v>25</v>
      </c>
      <c r="L1171">
        <v>4.5999999999999996</v>
      </c>
      <c r="M1171">
        <v>3.8</v>
      </c>
      <c r="N1171">
        <v>235</v>
      </c>
      <c r="O1171" t="s">
        <v>64</v>
      </c>
      <c r="P1171">
        <v>43.3</v>
      </c>
      <c r="Q1171" t="s">
        <v>76</v>
      </c>
      <c r="R1171">
        <v>-7.2</v>
      </c>
      <c r="S1171">
        <v>55.8</v>
      </c>
      <c r="T1171">
        <v>18</v>
      </c>
      <c r="U1171">
        <v>3.6</v>
      </c>
      <c r="V1171">
        <v>9.6999999999999993</v>
      </c>
      <c r="W1171">
        <v>8.5</v>
      </c>
      <c r="X1171" t="s">
        <v>116</v>
      </c>
    </row>
    <row r="1172" spans="2:24" x14ac:dyDescent="0.3">
      <c r="B1172" t="s">
        <v>1265</v>
      </c>
      <c r="C1172" t="s">
        <v>71</v>
      </c>
      <c r="D1172" t="s">
        <v>6</v>
      </c>
      <c r="E1172" t="s">
        <v>15</v>
      </c>
      <c r="F1172" t="s">
        <v>10</v>
      </c>
      <c r="G1172" t="s">
        <v>63</v>
      </c>
      <c r="H1172">
        <v>2025</v>
      </c>
      <c r="I1172">
        <v>18601</v>
      </c>
      <c r="J1172">
        <v>18.399999999999999</v>
      </c>
      <c r="K1172" t="s">
        <v>24</v>
      </c>
      <c r="L1172">
        <v>3.4</v>
      </c>
      <c r="M1172">
        <v>8.9</v>
      </c>
      <c r="N1172">
        <v>1366</v>
      </c>
      <c r="O1172" t="s">
        <v>64</v>
      </c>
      <c r="P1172">
        <v>86.6</v>
      </c>
      <c r="Q1172" t="s">
        <v>79</v>
      </c>
      <c r="R1172">
        <v>-4.8</v>
      </c>
      <c r="S1172">
        <v>28.4</v>
      </c>
      <c r="T1172">
        <v>6.8</v>
      </c>
      <c r="U1172">
        <v>3.8</v>
      </c>
      <c r="V1172">
        <v>8.1999999999999993</v>
      </c>
      <c r="W1172">
        <v>4.9000000000000004</v>
      </c>
      <c r="X1172" t="s">
        <v>66</v>
      </c>
    </row>
    <row r="1173" spans="2:24" x14ac:dyDescent="0.3">
      <c r="B1173" t="s">
        <v>1266</v>
      </c>
      <c r="C1173" t="s">
        <v>81</v>
      </c>
      <c r="D1173" t="s">
        <v>5</v>
      </c>
      <c r="E1173" t="s">
        <v>15</v>
      </c>
      <c r="F1173" t="s">
        <v>12</v>
      </c>
      <c r="G1173" t="s">
        <v>60</v>
      </c>
      <c r="H1173">
        <v>2025</v>
      </c>
      <c r="I1173">
        <v>18649</v>
      </c>
      <c r="J1173">
        <v>28.2</v>
      </c>
      <c r="K1173" t="s">
        <v>21</v>
      </c>
      <c r="L1173">
        <v>10.1</v>
      </c>
      <c r="M1173">
        <v>10</v>
      </c>
      <c r="N1173">
        <v>1772</v>
      </c>
      <c r="O1173" t="s">
        <v>64</v>
      </c>
      <c r="P1173">
        <v>27.6</v>
      </c>
      <c r="Q1173" t="s">
        <v>56</v>
      </c>
      <c r="R1173">
        <v>-32.700000000000003</v>
      </c>
      <c r="S1173">
        <v>55</v>
      </c>
      <c r="T1173">
        <v>9.6999999999999993</v>
      </c>
      <c r="U1173">
        <v>6</v>
      </c>
      <c r="V1173">
        <v>6.2</v>
      </c>
      <c r="W1173">
        <v>5.8</v>
      </c>
      <c r="X1173" t="s">
        <v>66</v>
      </c>
    </row>
    <row r="1174" spans="2:24" x14ac:dyDescent="0.3">
      <c r="B1174" t="s">
        <v>1267</v>
      </c>
      <c r="C1174" t="s">
        <v>106</v>
      </c>
      <c r="D1174" t="s">
        <v>7</v>
      </c>
      <c r="E1174" t="s">
        <v>17</v>
      </c>
      <c r="F1174" t="s">
        <v>12</v>
      </c>
      <c r="G1174" t="s">
        <v>78</v>
      </c>
      <c r="H1174">
        <v>2025</v>
      </c>
      <c r="I1174">
        <v>203</v>
      </c>
      <c r="J1174">
        <v>2.6</v>
      </c>
      <c r="K1174" t="s">
        <v>22</v>
      </c>
      <c r="L1174">
        <v>4.3</v>
      </c>
      <c r="M1174">
        <v>7</v>
      </c>
      <c r="N1174">
        <v>2255</v>
      </c>
      <c r="O1174" t="s">
        <v>64</v>
      </c>
      <c r="P1174">
        <v>13.2</v>
      </c>
      <c r="Q1174" t="s">
        <v>125</v>
      </c>
      <c r="R1174">
        <v>40.1</v>
      </c>
      <c r="S1174">
        <v>58.3</v>
      </c>
      <c r="T1174">
        <v>34.5</v>
      </c>
      <c r="U1174">
        <v>4.3</v>
      </c>
      <c r="V1174">
        <v>8.3000000000000007</v>
      </c>
      <c r="W1174">
        <v>8.6</v>
      </c>
      <c r="X1174" t="s">
        <v>57</v>
      </c>
    </row>
    <row r="1175" spans="2:24" x14ac:dyDescent="0.3">
      <c r="B1175" t="s">
        <v>1268</v>
      </c>
      <c r="C1175" t="s">
        <v>94</v>
      </c>
      <c r="D1175" t="s">
        <v>6</v>
      </c>
      <c r="E1175" t="s">
        <v>15</v>
      </c>
      <c r="F1175" t="s">
        <v>11</v>
      </c>
      <c r="G1175" t="s">
        <v>131</v>
      </c>
      <c r="H1175">
        <v>2026</v>
      </c>
      <c r="I1175">
        <v>2192</v>
      </c>
      <c r="J1175">
        <v>8.1999999999999993</v>
      </c>
      <c r="K1175" t="s">
        <v>25</v>
      </c>
      <c r="L1175">
        <v>9</v>
      </c>
      <c r="M1175">
        <v>10</v>
      </c>
      <c r="N1175">
        <v>1513</v>
      </c>
      <c r="O1175" t="s">
        <v>55</v>
      </c>
      <c r="P1175">
        <v>72.8</v>
      </c>
      <c r="Q1175" t="s">
        <v>86</v>
      </c>
      <c r="R1175">
        <v>48.7</v>
      </c>
      <c r="S1175">
        <v>44.2</v>
      </c>
      <c r="T1175">
        <v>25</v>
      </c>
      <c r="U1175">
        <v>9.3000000000000007</v>
      </c>
      <c r="V1175">
        <v>8.1999999999999993</v>
      </c>
      <c r="W1175">
        <v>5.5</v>
      </c>
      <c r="X1175" t="s">
        <v>57</v>
      </c>
    </row>
    <row r="1176" spans="2:24" x14ac:dyDescent="0.3">
      <c r="B1176" t="s">
        <v>1269</v>
      </c>
      <c r="C1176" t="s">
        <v>137</v>
      </c>
      <c r="D1176" t="s">
        <v>3</v>
      </c>
      <c r="E1176" t="s">
        <v>17</v>
      </c>
      <c r="F1176" t="s">
        <v>11</v>
      </c>
      <c r="G1176" t="s">
        <v>104</v>
      </c>
      <c r="H1176">
        <v>2026</v>
      </c>
      <c r="I1176">
        <v>1075</v>
      </c>
      <c r="J1176">
        <v>4.9000000000000004</v>
      </c>
      <c r="K1176" t="s">
        <v>24</v>
      </c>
      <c r="L1176">
        <v>5.9</v>
      </c>
      <c r="M1176">
        <v>7.4</v>
      </c>
      <c r="N1176">
        <v>614</v>
      </c>
      <c r="O1176" t="s">
        <v>64</v>
      </c>
      <c r="P1176">
        <v>44.2</v>
      </c>
      <c r="Q1176" t="s">
        <v>76</v>
      </c>
      <c r="R1176">
        <v>-37.9</v>
      </c>
      <c r="S1176">
        <v>3</v>
      </c>
      <c r="T1176">
        <v>5.4</v>
      </c>
      <c r="U1176">
        <v>5.6</v>
      </c>
      <c r="V1176">
        <v>8.1999999999999993</v>
      </c>
      <c r="W1176">
        <v>6.7</v>
      </c>
      <c r="X1176" t="s">
        <v>116</v>
      </c>
    </row>
    <row r="1177" spans="2:24" x14ac:dyDescent="0.3">
      <c r="B1177" t="s">
        <v>1270</v>
      </c>
      <c r="C1177" t="s">
        <v>68</v>
      </c>
      <c r="D1177" t="s">
        <v>8</v>
      </c>
      <c r="E1177" t="s">
        <v>14</v>
      </c>
      <c r="F1177" t="s">
        <v>9</v>
      </c>
      <c r="G1177" t="s">
        <v>131</v>
      </c>
      <c r="H1177">
        <v>2024</v>
      </c>
      <c r="I1177">
        <v>768</v>
      </c>
      <c r="J1177">
        <v>3.3</v>
      </c>
      <c r="K1177" t="s">
        <v>21</v>
      </c>
      <c r="L1177">
        <v>3.6</v>
      </c>
      <c r="M1177">
        <v>7.1</v>
      </c>
      <c r="N1177">
        <v>5921</v>
      </c>
      <c r="O1177" t="s">
        <v>55</v>
      </c>
      <c r="P1177">
        <v>13</v>
      </c>
      <c r="Q1177" t="s">
        <v>65</v>
      </c>
      <c r="R1177">
        <v>-37.6</v>
      </c>
      <c r="S1177">
        <v>57.1</v>
      </c>
      <c r="T1177">
        <v>21.9</v>
      </c>
      <c r="U1177">
        <v>4.9000000000000004</v>
      </c>
      <c r="V1177">
        <v>8.5</v>
      </c>
      <c r="W1177">
        <v>7.2</v>
      </c>
      <c r="X1177" t="s">
        <v>57</v>
      </c>
    </row>
    <row r="1178" spans="2:24" x14ac:dyDescent="0.3">
      <c r="B1178" t="s">
        <v>1271</v>
      </c>
      <c r="C1178" t="s">
        <v>53</v>
      </c>
      <c r="D1178" t="s">
        <v>4</v>
      </c>
      <c r="E1178" t="s">
        <v>18</v>
      </c>
      <c r="F1178" t="s">
        <v>9</v>
      </c>
      <c r="G1178" t="s">
        <v>112</v>
      </c>
      <c r="H1178">
        <v>2025</v>
      </c>
      <c r="I1178">
        <v>13586</v>
      </c>
      <c r="J1178">
        <v>17.5</v>
      </c>
      <c r="K1178" t="s">
        <v>21</v>
      </c>
      <c r="L1178">
        <v>8.1</v>
      </c>
      <c r="M1178">
        <v>10</v>
      </c>
      <c r="N1178">
        <v>561</v>
      </c>
      <c r="O1178" t="s">
        <v>64</v>
      </c>
      <c r="P1178">
        <v>11.4</v>
      </c>
      <c r="Q1178" t="s">
        <v>65</v>
      </c>
      <c r="R1178">
        <v>74.599999999999994</v>
      </c>
      <c r="S1178">
        <v>15.9</v>
      </c>
      <c r="T1178">
        <v>8.1</v>
      </c>
      <c r="U1178">
        <v>10</v>
      </c>
      <c r="V1178">
        <v>7.1</v>
      </c>
      <c r="W1178">
        <v>4</v>
      </c>
      <c r="X1178" t="s">
        <v>66</v>
      </c>
    </row>
    <row r="1179" spans="2:24" x14ac:dyDescent="0.3">
      <c r="B1179" t="s">
        <v>1272</v>
      </c>
      <c r="C1179" t="s">
        <v>53</v>
      </c>
      <c r="D1179" t="s">
        <v>4</v>
      </c>
      <c r="E1179" t="s">
        <v>16</v>
      </c>
      <c r="F1179" t="s">
        <v>11</v>
      </c>
      <c r="G1179" t="s">
        <v>60</v>
      </c>
      <c r="H1179">
        <v>2024</v>
      </c>
      <c r="I1179">
        <v>694</v>
      </c>
      <c r="J1179">
        <v>9.9</v>
      </c>
      <c r="K1179" t="s">
        <v>25</v>
      </c>
      <c r="L1179">
        <v>5.4</v>
      </c>
      <c r="M1179">
        <v>3.3</v>
      </c>
      <c r="N1179">
        <v>2336</v>
      </c>
      <c r="O1179" t="s">
        <v>55</v>
      </c>
      <c r="P1179">
        <v>29.8</v>
      </c>
      <c r="Q1179" t="s">
        <v>125</v>
      </c>
      <c r="R1179">
        <v>72.400000000000006</v>
      </c>
      <c r="S1179">
        <v>26.5</v>
      </c>
      <c r="T1179">
        <v>13.9</v>
      </c>
      <c r="U1179">
        <v>4.5</v>
      </c>
      <c r="V1179">
        <v>5.4</v>
      </c>
      <c r="W1179">
        <v>6.8</v>
      </c>
      <c r="X1179" t="s">
        <v>57</v>
      </c>
    </row>
    <row r="1180" spans="2:24" x14ac:dyDescent="0.3">
      <c r="B1180" t="s">
        <v>1273</v>
      </c>
      <c r="C1180" t="s">
        <v>53</v>
      </c>
      <c r="D1180" t="s">
        <v>3</v>
      </c>
      <c r="E1180" t="s">
        <v>15</v>
      </c>
      <c r="F1180" t="s">
        <v>9</v>
      </c>
      <c r="G1180" t="s">
        <v>104</v>
      </c>
      <c r="H1180">
        <v>2025</v>
      </c>
      <c r="I1180">
        <v>1759</v>
      </c>
      <c r="J1180">
        <v>5.7</v>
      </c>
      <c r="K1180" t="s">
        <v>22</v>
      </c>
      <c r="L1180">
        <v>9.6999999999999993</v>
      </c>
      <c r="M1180">
        <v>8</v>
      </c>
      <c r="N1180">
        <v>5052</v>
      </c>
      <c r="O1180" t="s">
        <v>55</v>
      </c>
      <c r="P1180">
        <v>84.9</v>
      </c>
      <c r="Q1180" t="s">
        <v>76</v>
      </c>
      <c r="R1180">
        <v>7.4</v>
      </c>
      <c r="S1180">
        <v>-22.9</v>
      </c>
      <c r="T1180">
        <v>-8.6</v>
      </c>
      <c r="U1180">
        <v>6.7</v>
      </c>
      <c r="V1180">
        <v>6.5</v>
      </c>
      <c r="W1180">
        <v>4.7</v>
      </c>
      <c r="X1180" t="s">
        <v>57</v>
      </c>
    </row>
    <row r="1181" spans="2:24" x14ac:dyDescent="0.3">
      <c r="B1181" t="s">
        <v>1274</v>
      </c>
      <c r="C1181" t="s">
        <v>27</v>
      </c>
      <c r="D1181" t="s">
        <v>3</v>
      </c>
      <c r="E1181" t="s">
        <v>18</v>
      </c>
      <c r="F1181" t="s">
        <v>10</v>
      </c>
      <c r="G1181" t="s">
        <v>63</v>
      </c>
      <c r="H1181">
        <v>2026</v>
      </c>
      <c r="I1181">
        <v>2001</v>
      </c>
      <c r="J1181">
        <v>6.1</v>
      </c>
      <c r="K1181" t="s">
        <v>21</v>
      </c>
      <c r="L1181">
        <v>4.0999999999999996</v>
      </c>
      <c r="M1181">
        <v>5.5</v>
      </c>
      <c r="N1181">
        <v>2338</v>
      </c>
      <c r="O1181" t="s">
        <v>64</v>
      </c>
      <c r="P1181">
        <v>46.6</v>
      </c>
      <c r="Q1181" t="s">
        <v>125</v>
      </c>
      <c r="R1181">
        <v>61.7</v>
      </c>
      <c r="S1181">
        <v>-15.9</v>
      </c>
      <c r="T1181">
        <v>-5.7</v>
      </c>
      <c r="U1181">
        <v>2.9</v>
      </c>
      <c r="V1181">
        <v>4.5</v>
      </c>
      <c r="W1181">
        <v>5.7</v>
      </c>
      <c r="X1181" t="s">
        <v>57</v>
      </c>
    </row>
    <row r="1182" spans="2:24" x14ac:dyDescent="0.3">
      <c r="B1182" t="s">
        <v>1275</v>
      </c>
      <c r="C1182" t="s">
        <v>137</v>
      </c>
      <c r="D1182" t="s">
        <v>4</v>
      </c>
      <c r="E1182" t="s">
        <v>14</v>
      </c>
      <c r="F1182" t="s">
        <v>12</v>
      </c>
      <c r="G1182" t="s">
        <v>98</v>
      </c>
      <c r="H1182">
        <v>2026</v>
      </c>
      <c r="I1182">
        <v>578</v>
      </c>
      <c r="J1182">
        <v>5.4</v>
      </c>
      <c r="K1182" t="s">
        <v>24</v>
      </c>
      <c r="L1182">
        <v>10.4</v>
      </c>
      <c r="M1182">
        <v>8.6999999999999993</v>
      </c>
      <c r="N1182">
        <v>2188</v>
      </c>
      <c r="O1182" t="s">
        <v>64</v>
      </c>
      <c r="P1182">
        <v>24.8</v>
      </c>
      <c r="Q1182" t="s">
        <v>56</v>
      </c>
      <c r="R1182">
        <v>81.400000000000006</v>
      </c>
      <c r="S1182">
        <v>47.2</v>
      </c>
      <c r="T1182">
        <v>27.2</v>
      </c>
      <c r="U1182">
        <v>6.7</v>
      </c>
      <c r="V1182">
        <v>9.1</v>
      </c>
      <c r="W1182">
        <v>7.4</v>
      </c>
      <c r="X1182" t="s">
        <v>57</v>
      </c>
    </row>
    <row r="1183" spans="2:24" x14ac:dyDescent="0.3">
      <c r="B1183" t="s">
        <v>1276</v>
      </c>
      <c r="C1183" t="s">
        <v>53</v>
      </c>
      <c r="D1183" t="s">
        <v>2</v>
      </c>
      <c r="E1183" t="s">
        <v>18</v>
      </c>
      <c r="F1183" t="s">
        <v>9</v>
      </c>
      <c r="G1183" t="s">
        <v>112</v>
      </c>
      <c r="H1183">
        <v>2025</v>
      </c>
      <c r="I1183">
        <v>2295</v>
      </c>
      <c r="J1183">
        <v>7.7</v>
      </c>
      <c r="K1183" t="s">
        <v>25</v>
      </c>
      <c r="L1183">
        <v>3.5</v>
      </c>
      <c r="M1183">
        <v>3.9</v>
      </c>
      <c r="N1183">
        <v>1676</v>
      </c>
      <c r="O1183" t="s">
        <v>64</v>
      </c>
      <c r="P1183">
        <v>65.7</v>
      </c>
      <c r="Q1183" t="s">
        <v>56</v>
      </c>
      <c r="R1183">
        <v>81.2</v>
      </c>
      <c r="S1183">
        <v>-12</v>
      </c>
      <c r="T1183">
        <v>-0.5</v>
      </c>
      <c r="U1183">
        <v>2.8</v>
      </c>
      <c r="V1183">
        <v>4.5999999999999996</v>
      </c>
      <c r="W1183">
        <v>7.1</v>
      </c>
      <c r="X1183" t="s">
        <v>57</v>
      </c>
    </row>
    <row r="1184" spans="2:24" x14ac:dyDescent="0.3">
      <c r="B1184" t="s">
        <v>1277</v>
      </c>
      <c r="C1184" t="s">
        <v>159</v>
      </c>
      <c r="D1184" t="s">
        <v>2</v>
      </c>
      <c r="E1184" t="s">
        <v>17</v>
      </c>
      <c r="F1184" t="s">
        <v>12</v>
      </c>
      <c r="G1184" t="s">
        <v>98</v>
      </c>
      <c r="H1184">
        <v>2024</v>
      </c>
      <c r="I1184">
        <v>6594</v>
      </c>
      <c r="J1184">
        <v>15.5</v>
      </c>
      <c r="K1184" t="s">
        <v>23</v>
      </c>
      <c r="L1184">
        <v>4.7</v>
      </c>
      <c r="M1184">
        <v>8</v>
      </c>
      <c r="N1184">
        <v>2432</v>
      </c>
      <c r="O1184" t="s">
        <v>64</v>
      </c>
      <c r="P1184">
        <v>74.2</v>
      </c>
      <c r="Q1184" t="s">
        <v>76</v>
      </c>
      <c r="R1184">
        <v>64.099999999999994</v>
      </c>
      <c r="S1184">
        <v>11.6</v>
      </c>
      <c r="T1184">
        <v>-8</v>
      </c>
      <c r="U1184">
        <v>4</v>
      </c>
      <c r="V1184">
        <v>4.3</v>
      </c>
      <c r="W1184">
        <v>5.2</v>
      </c>
      <c r="X1184" t="s">
        <v>116</v>
      </c>
    </row>
    <row r="1185" spans="2:24" x14ac:dyDescent="0.3">
      <c r="B1185" t="s">
        <v>1278</v>
      </c>
      <c r="C1185" t="s">
        <v>53</v>
      </c>
      <c r="D1185" t="s">
        <v>7</v>
      </c>
      <c r="E1185" t="s">
        <v>16</v>
      </c>
      <c r="F1185" t="s">
        <v>10</v>
      </c>
      <c r="G1185" t="s">
        <v>74</v>
      </c>
      <c r="H1185">
        <v>2026</v>
      </c>
      <c r="I1185">
        <v>11557</v>
      </c>
      <c r="J1185">
        <v>26.2</v>
      </c>
      <c r="K1185" t="s">
        <v>24</v>
      </c>
      <c r="L1185">
        <v>1.4</v>
      </c>
      <c r="M1185">
        <v>6.8</v>
      </c>
      <c r="N1185">
        <v>1040</v>
      </c>
      <c r="O1185" t="s">
        <v>75</v>
      </c>
      <c r="P1185">
        <v>57.1</v>
      </c>
      <c r="Q1185" t="s">
        <v>84</v>
      </c>
      <c r="R1185">
        <v>20.9</v>
      </c>
      <c r="S1185">
        <v>44.8</v>
      </c>
      <c r="T1185">
        <v>10.1</v>
      </c>
      <c r="U1185">
        <v>1.4</v>
      </c>
      <c r="V1185">
        <v>6.4</v>
      </c>
      <c r="W1185">
        <v>6.3</v>
      </c>
      <c r="X1185" t="s">
        <v>66</v>
      </c>
    </row>
    <row r="1186" spans="2:24" x14ac:dyDescent="0.3">
      <c r="B1186" t="s">
        <v>1279</v>
      </c>
      <c r="C1186" t="s">
        <v>27</v>
      </c>
      <c r="D1186" t="s">
        <v>3</v>
      </c>
      <c r="E1186" t="s">
        <v>18</v>
      </c>
      <c r="F1186" t="s">
        <v>9</v>
      </c>
      <c r="G1186" t="s">
        <v>104</v>
      </c>
      <c r="H1186">
        <v>2025</v>
      </c>
      <c r="I1186">
        <v>644</v>
      </c>
      <c r="J1186">
        <v>15.3</v>
      </c>
      <c r="K1186" t="s">
        <v>25</v>
      </c>
      <c r="L1186">
        <v>8</v>
      </c>
      <c r="M1186">
        <v>10</v>
      </c>
      <c r="N1186">
        <v>2917</v>
      </c>
      <c r="O1186" t="s">
        <v>64</v>
      </c>
      <c r="P1186">
        <v>75.5</v>
      </c>
      <c r="Q1186" t="s">
        <v>88</v>
      </c>
      <c r="R1186">
        <v>-42.5</v>
      </c>
      <c r="S1186">
        <v>23.4</v>
      </c>
      <c r="T1186">
        <v>1.8</v>
      </c>
      <c r="U1186">
        <v>6.3</v>
      </c>
      <c r="V1186">
        <v>6.3</v>
      </c>
      <c r="W1186">
        <v>5.8</v>
      </c>
      <c r="X1186" t="s">
        <v>116</v>
      </c>
    </row>
    <row r="1187" spans="2:24" x14ac:dyDescent="0.3">
      <c r="B1187" t="s">
        <v>1280</v>
      </c>
      <c r="C1187" t="s">
        <v>90</v>
      </c>
      <c r="D1187" t="s">
        <v>2</v>
      </c>
      <c r="E1187" t="s">
        <v>15</v>
      </c>
      <c r="F1187" t="s">
        <v>10</v>
      </c>
      <c r="G1187" t="s">
        <v>63</v>
      </c>
      <c r="H1187">
        <v>2025</v>
      </c>
      <c r="I1187">
        <v>187</v>
      </c>
      <c r="J1187">
        <v>3.9</v>
      </c>
      <c r="K1187" t="s">
        <v>24</v>
      </c>
      <c r="L1187">
        <v>12.6</v>
      </c>
      <c r="M1187">
        <v>6</v>
      </c>
      <c r="N1187">
        <v>5553</v>
      </c>
      <c r="O1187" t="s">
        <v>118</v>
      </c>
      <c r="P1187">
        <v>88.4</v>
      </c>
      <c r="Q1187" t="s">
        <v>76</v>
      </c>
      <c r="R1187">
        <v>3.9</v>
      </c>
      <c r="S1187">
        <v>48.4</v>
      </c>
      <c r="T1187">
        <v>30.7</v>
      </c>
      <c r="U1187">
        <v>9.1</v>
      </c>
      <c r="V1187">
        <v>6.3</v>
      </c>
      <c r="W1187">
        <v>8.6</v>
      </c>
      <c r="X1187" t="s">
        <v>57</v>
      </c>
    </row>
    <row r="1188" spans="2:24" x14ac:dyDescent="0.3">
      <c r="B1188" t="s">
        <v>1281</v>
      </c>
      <c r="C1188" t="s">
        <v>90</v>
      </c>
      <c r="D1188" t="s">
        <v>6</v>
      </c>
      <c r="E1188" t="s">
        <v>17</v>
      </c>
      <c r="F1188" t="s">
        <v>12</v>
      </c>
      <c r="G1188" t="s">
        <v>101</v>
      </c>
      <c r="H1188">
        <v>2024</v>
      </c>
      <c r="I1188">
        <v>16587</v>
      </c>
      <c r="J1188">
        <v>30.6</v>
      </c>
      <c r="K1188" t="s">
        <v>24</v>
      </c>
      <c r="L1188">
        <v>4.9000000000000004</v>
      </c>
      <c r="M1188">
        <v>10</v>
      </c>
      <c r="N1188">
        <v>289</v>
      </c>
      <c r="O1188" t="s">
        <v>75</v>
      </c>
      <c r="P1188">
        <v>73.900000000000006</v>
      </c>
      <c r="Q1188" t="s">
        <v>56</v>
      </c>
      <c r="R1188">
        <v>61.1</v>
      </c>
      <c r="S1188">
        <v>40</v>
      </c>
      <c r="T1188">
        <v>17.5</v>
      </c>
      <c r="U1188">
        <v>4.9000000000000004</v>
      </c>
      <c r="V1188">
        <v>6.1</v>
      </c>
      <c r="W1188">
        <v>4</v>
      </c>
      <c r="X1188" t="s">
        <v>66</v>
      </c>
    </row>
    <row r="1189" spans="2:24" x14ac:dyDescent="0.3">
      <c r="B1189" t="s">
        <v>1282</v>
      </c>
      <c r="C1189" t="s">
        <v>106</v>
      </c>
      <c r="D1189" t="s">
        <v>3</v>
      </c>
      <c r="E1189" t="s">
        <v>14</v>
      </c>
      <c r="F1189" t="s">
        <v>10</v>
      </c>
      <c r="G1189" t="s">
        <v>69</v>
      </c>
      <c r="H1189">
        <v>2025</v>
      </c>
      <c r="I1189">
        <v>10387</v>
      </c>
      <c r="J1189">
        <v>35.200000000000003</v>
      </c>
      <c r="K1189" t="s">
        <v>25</v>
      </c>
      <c r="L1189">
        <v>10.3</v>
      </c>
      <c r="M1189">
        <v>10</v>
      </c>
      <c r="N1189">
        <v>224</v>
      </c>
      <c r="O1189" t="s">
        <v>75</v>
      </c>
      <c r="P1189">
        <v>84</v>
      </c>
      <c r="Q1189" t="s">
        <v>76</v>
      </c>
      <c r="R1189">
        <v>35.700000000000003</v>
      </c>
      <c r="S1189">
        <v>23.9</v>
      </c>
      <c r="T1189">
        <v>-7</v>
      </c>
      <c r="U1189">
        <v>6.7</v>
      </c>
      <c r="V1189">
        <v>3.5</v>
      </c>
      <c r="W1189">
        <v>3.3</v>
      </c>
      <c r="X1189" t="s">
        <v>66</v>
      </c>
    </row>
    <row r="1190" spans="2:24" x14ac:dyDescent="0.3">
      <c r="B1190" t="s">
        <v>1283</v>
      </c>
      <c r="C1190" t="s">
        <v>106</v>
      </c>
      <c r="D1190" t="s">
        <v>7</v>
      </c>
      <c r="E1190" t="s">
        <v>19</v>
      </c>
      <c r="F1190" t="s">
        <v>11</v>
      </c>
      <c r="G1190" t="s">
        <v>78</v>
      </c>
      <c r="H1190">
        <v>2026</v>
      </c>
      <c r="I1190">
        <v>16807</v>
      </c>
      <c r="J1190">
        <v>20.399999999999999</v>
      </c>
      <c r="K1190" t="s">
        <v>23</v>
      </c>
      <c r="L1190">
        <v>14.7</v>
      </c>
      <c r="M1190">
        <v>10</v>
      </c>
      <c r="N1190">
        <v>1011</v>
      </c>
      <c r="O1190" t="s">
        <v>64</v>
      </c>
      <c r="P1190">
        <v>86.8</v>
      </c>
      <c r="Q1190" t="s">
        <v>125</v>
      </c>
      <c r="R1190">
        <v>40.1</v>
      </c>
      <c r="S1190">
        <v>42.1</v>
      </c>
      <c r="T1190">
        <v>10.1</v>
      </c>
      <c r="U1190">
        <v>9</v>
      </c>
      <c r="V1190">
        <v>8.5</v>
      </c>
      <c r="W1190">
        <v>4.3</v>
      </c>
      <c r="X1190" t="s">
        <v>66</v>
      </c>
    </row>
    <row r="1191" spans="2:24" x14ac:dyDescent="0.3">
      <c r="B1191" t="s">
        <v>1284</v>
      </c>
      <c r="C1191" t="s">
        <v>106</v>
      </c>
      <c r="D1191" t="s">
        <v>2</v>
      </c>
      <c r="E1191" t="s">
        <v>16</v>
      </c>
      <c r="F1191" t="s">
        <v>12</v>
      </c>
      <c r="G1191" t="s">
        <v>112</v>
      </c>
      <c r="H1191">
        <v>2024</v>
      </c>
      <c r="I1191">
        <v>1927</v>
      </c>
      <c r="J1191">
        <v>3</v>
      </c>
      <c r="K1191" t="s">
        <v>24</v>
      </c>
      <c r="L1191">
        <v>2.4</v>
      </c>
      <c r="M1191">
        <v>2.2999999999999998</v>
      </c>
      <c r="N1191">
        <v>9021</v>
      </c>
      <c r="O1191" t="s">
        <v>118</v>
      </c>
      <c r="P1191">
        <v>18</v>
      </c>
      <c r="Q1191" t="s">
        <v>76</v>
      </c>
      <c r="R1191">
        <v>22.1</v>
      </c>
      <c r="S1191">
        <v>31.1</v>
      </c>
      <c r="T1191">
        <v>19.100000000000001</v>
      </c>
      <c r="U1191">
        <v>2.6</v>
      </c>
      <c r="V1191">
        <v>6.9</v>
      </c>
      <c r="W1191">
        <v>9.1</v>
      </c>
      <c r="X1191" t="s">
        <v>57</v>
      </c>
    </row>
    <row r="1192" spans="2:24" x14ac:dyDescent="0.3">
      <c r="B1192" t="s">
        <v>1285</v>
      </c>
      <c r="C1192" t="s">
        <v>73</v>
      </c>
      <c r="D1192" t="s">
        <v>2</v>
      </c>
      <c r="E1192" t="s">
        <v>15</v>
      </c>
      <c r="F1192" t="s">
        <v>10</v>
      </c>
      <c r="G1192" t="s">
        <v>69</v>
      </c>
      <c r="H1192">
        <v>2024</v>
      </c>
      <c r="I1192">
        <v>2935</v>
      </c>
      <c r="J1192">
        <v>5.8</v>
      </c>
      <c r="K1192" t="s">
        <v>24</v>
      </c>
      <c r="L1192">
        <v>6.6</v>
      </c>
      <c r="M1192">
        <v>5.3</v>
      </c>
      <c r="N1192">
        <v>1480</v>
      </c>
      <c r="O1192" t="s">
        <v>64</v>
      </c>
      <c r="P1192">
        <v>74.7</v>
      </c>
      <c r="Q1192" t="s">
        <v>56</v>
      </c>
      <c r="R1192">
        <v>75.2</v>
      </c>
      <c r="S1192">
        <v>10.6</v>
      </c>
      <c r="T1192">
        <v>13.7</v>
      </c>
      <c r="U1192">
        <v>6.5</v>
      </c>
      <c r="V1192">
        <v>5.0999999999999996</v>
      </c>
      <c r="W1192">
        <v>7.4</v>
      </c>
      <c r="X1192" t="s">
        <v>116</v>
      </c>
    </row>
    <row r="1193" spans="2:24" x14ac:dyDescent="0.3">
      <c r="B1193" t="s">
        <v>1286</v>
      </c>
      <c r="C1193" t="s">
        <v>53</v>
      </c>
      <c r="D1193" t="s">
        <v>4</v>
      </c>
      <c r="E1193" t="s">
        <v>17</v>
      </c>
      <c r="F1193" t="s">
        <v>12</v>
      </c>
      <c r="G1193" t="s">
        <v>63</v>
      </c>
      <c r="H1193">
        <v>2024</v>
      </c>
      <c r="I1193">
        <v>2118</v>
      </c>
      <c r="J1193">
        <v>6.9</v>
      </c>
      <c r="K1193" t="s">
        <v>22</v>
      </c>
      <c r="L1193">
        <v>8.9</v>
      </c>
      <c r="M1193">
        <v>10</v>
      </c>
      <c r="N1193">
        <v>4965</v>
      </c>
      <c r="O1193" t="s">
        <v>118</v>
      </c>
      <c r="P1193">
        <v>65.099999999999994</v>
      </c>
      <c r="Q1193" t="s">
        <v>76</v>
      </c>
      <c r="R1193">
        <v>83.3</v>
      </c>
      <c r="S1193">
        <v>7.8</v>
      </c>
      <c r="T1193">
        <v>7.3</v>
      </c>
      <c r="U1193">
        <v>7.1</v>
      </c>
      <c r="V1193">
        <v>5.5</v>
      </c>
      <c r="W1193">
        <v>5.4</v>
      </c>
      <c r="X1193" t="s">
        <v>57</v>
      </c>
    </row>
    <row r="1194" spans="2:24" x14ac:dyDescent="0.3">
      <c r="B1194" t="s">
        <v>1287</v>
      </c>
      <c r="C1194" t="s">
        <v>100</v>
      </c>
      <c r="D1194" t="s">
        <v>3</v>
      </c>
      <c r="E1194" t="s">
        <v>16</v>
      </c>
      <c r="F1194" t="s">
        <v>12</v>
      </c>
      <c r="G1194" t="s">
        <v>131</v>
      </c>
      <c r="H1194">
        <v>2024</v>
      </c>
      <c r="I1194">
        <v>363</v>
      </c>
      <c r="J1194">
        <v>17.8</v>
      </c>
      <c r="K1194" t="s">
        <v>24</v>
      </c>
      <c r="L1194">
        <v>4.5</v>
      </c>
      <c r="M1194">
        <v>6.9</v>
      </c>
      <c r="N1194">
        <v>2008</v>
      </c>
      <c r="O1194" t="s">
        <v>64</v>
      </c>
      <c r="P1194">
        <v>17.899999999999999</v>
      </c>
      <c r="Q1194" t="s">
        <v>65</v>
      </c>
      <c r="R1194">
        <v>84.4</v>
      </c>
      <c r="S1194">
        <v>43.1</v>
      </c>
      <c r="T1194">
        <v>14.3</v>
      </c>
      <c r="U1194">
        <v>3.5</v>
      </c>
      <c r="V1194">
        <v>7.6</v>
      </c>
      <c r="W1194">
        <v>6.7</v>
      </c>
      <c r="X1194" t="s">
        <v>116</v>
      </c>
    </row>
    <row r="1195" spans="2:24" x14ac:dyDescent="0.3">
      <c r="B1195" t="s">
        <v>1288</v>
      </c>
      <c r="C1195" t="s">
        <v>27</v>
      </c>
      <c r="D1195" t="s">
        <v>3</v>
      </c>
      <c r="E1195" t="s">
        <v>14</v>
      </c>
      <c r="F1195" t="s">
        <v>10</v>
      </c>
      <c r="G1195" t="s">
        <v>78</v>
      </c>
      <c r="H1195">
        <v>2024</v>
      </c>
      <c r="I1195">
        <v>12437</v>
      </c>
      <c r="J1195">
        <v>12.7</v>
      </c>
      <c r="K1195" t="s">
        <v>24</v>
      </c>
      <c r="L1195">
        <v>1.1000000000000001</v>
      </c>
      <c r="M1195">
        <v>4</v>
      </c>
      <c r="N1195">
        <v>1157</v>
      </c>
      <c r="O1195" t="s">
        <v>75</v>
      </c>
      <c r="P1195">
        <v>16.7</v>
      </c>
      <c r="Q1195" t="s">
        <v>88</v>
      </c>
      <c r="R1195">
        <v>-15.2</v>
      </c>
      <c r="S1195">
        <v>47.8</v>
      </c>
      <c r="T1195">
        <v>24.4</v>
      </c>
      <c r="U1195">
        <v>1.6</v>
      </c>
      <c r="V1195">
        <v>8.5</v>
      </c>
      <c r="W1195">
        <v>8</v>
      </c>
      <c r="X1195" t="s">
        <v>66</v>
      </c>
    </row>
    <row r="1196" spans="2:24" x14ac:dyDescent="0.3">
      <c r="B1196" t="s">
        <v>1289</v>
      </c>
      <c r="C1196" t="s">
        <v>106</v>
      </c>
      <c r="D1196" t="s">
        <v>3</v>
      </c>
      <c r="E1196" t="s">
        <v>18</v>
      </c>
      <c r="F1196" t="s">
        <v>11</v>
      </c>
      <c r="G1196" t="s">
        <v>63</v>
      </c>
      <c r="H1196">
        <v>2026</v>
      </c>
      <c r="I1196">
        <v>6944</v>
      </c>
      <c r="J1196">
        <v>16.2</v>
      </c>
      <c r="K1196" t="s">
        <v>23</v>
      </c>
      <c r="L1196">
        <v>4.8</v>
      </c>
      <c r="M1196">
        <v>10</v>
      </c>
      <c r="N1196">
        <v>3737</v>
      </c>
      <c r="O1196" t="s">
        <v>55</v>
      </c>
      <c r="P1196">
        <v>79.900000000000006</v>
      </c>
      <c r="Q1196" t="s">
        <v>56</v>
      </c>
      <c r="R1196">
        <v>46</v>
      </c>
      <c r="S1196">
        <v>-13.7</v>
      </c>
      <c r="T1196">
        <v>-7.2</v>
      </c>
      <c r="U1196">
        <v>7.4</v>
      </c>
      <c r="V1196">
        <v>4.4000000000000004</v>
      </c>
      <c r="W1196">
        <v>4.0999999999999996</v>
      </c>
      <c r="X1196" t="s">
        <v>116</v>
      </c>
    </row>
    <row r="1197" spans="2:24" x14ac:dyDescent="0.3">
      <c r="B1197" t="s">
        <v>1290</v>
      </c>
      <c r="C1197" t="s">
        <v>27</v>
      </c>
      <c r="D1197" t="s">
        <v>2</v>
      </c>
      <c r="E1197" t="s">
        <v>14</v>
      </c>
      <c r="F1197" t="s">
        <v>9</v>
      </c>
      <c r="G1197" t="s">
        <v>60</v>
      </c>
      <c r="H1197">
        <v>2024</v>
      </c>
      <c r="I1197">
        <v>6490</v>
      </c>
      <c r="J1197">
        <v>4.8</v>
      </c>
      <c r="K1197" t="s">
        <v>23</v>
      </c>
      <c r="L1197">
        <v>12.1</v>
      </c>
      <c r="M1197">
        <v>6.2</v>
      </c>
      <c r="N1197">
        <v>2068</v>
      </c>
      <c r="O1197" t="s">
        <v>55</v>
      </c>
      <c r="P1197">
        <v>13.1</v>
      </c>
      <c r="Q1197" t="s">
        <v>56</v>
      </c>
      <c r="R1197">
        <v>80.900000000000006</v>
      </c>
      <c r="S1197">
        <v>27.7</v>
      </c>
      <c r="T1197">
        <v>11.8</v>
      </c>
      <c r="U1197">
        <v>9.6</v>
      </c>
      <c r="V1197">
        <v>7.7</v>
      </c>
      <c r="W1197">
        <v>8.1</v>
      </c>
      <c r="X1197" t="s">
        <v>116</v>
      </c>
    </row>
    <row r="1198" spans="2:24" x14ac:dyDescent="0.3">
      <c r="B1198" t="s">
        <v>1291</v>
      </c>
      <c r="C1198" t="s">
        <v>100</v>
      </c>
      <c r="D1198" t="s">
        <v>3</v>
      </c>
      <c r="E1198" t="s">
        <v>18</v>
      </c>
      <c r="F1198" t="s">
        <v>12</v>
      </c>
      <c r="G1198" t="s">
        <v>63</v>
      </c>
      <c r="H1198">
        <v>2026</v>
      </c>
      <c r="I1198">
        <v>2127</v>
      </c>
      <c r="J1198">
        <v>6</v>
      </c>
      <c r="K1198" t="s">
        <v>21</v>
      </c>
      <c r="L1198">
        <v>8.1999999999999993</v>
      </c>
      <c r="M1198">
        <v>10</v>
      </c>
      <c r="N1198">
        <v>3255</v>
      </c>
      <c r="O1198" t="s">
        <v>64</v>
      </c>
      <c r="P1198">
        <v>45.6</v>
      </c>
      <c r="Q1198" t="s">
        <v>79</v>
      </c>
      <c r="R1198">
        <v>75.400000000000006</v>
      </c>
      <c r="S1198">
        <v>-24.2</v>
      </c>
      <c r="T1198">
        <v>-2.5</v>
      </c>
      <c r="U1198">
        <v>5.3</v>
      </c>
      <c r="V1198">
        <v>6.3</v>
      </c>
      <c r="W1198">
        <v>3.8</v>
      </c>
      <c r="X1198" t="s">
        <v>57</v>
      </c>
    </row>
    <row r="1199" spans="2:24" x14ac:dyDescent="0.3">
      <c r="B1199" t="s">
        <v>1292</v>
      </c>
      <c r="C1199" t="s">
        <v>59</v>
      </c>
      <c r="D1199" t="s">
        <v>4</v>
      </c>
      <c r="E1199" t="s">
        <v>17</v>
      </c>
      <c r="F1199" t="s">
        <v>11</v>
      </c>
      <c r="G1199" t="s">
        <v>115</v>
      </c>
      <c r="H1199">
        <v>2025</v>
      </c>
      <c r="I1199">
        <v>4516</v>
      </c>
      <c r="J1199">
        <v>11.4</v>
      </c>
      <c r="K1199" t="s">
        <v>24</v>
      </c>
      <c r="L1199">
        <v>3.3</v>
      </c>
      <c r="M1199">
        <v>6.4</v>
      </c>
      <c r="N1199">
        <v>96</v>
      </c>
      <c r="O1199" t="s">
        <v>64</v>
      </c>
      <c r="P1199">
        <v>61.1</v>
      </c>
      <c r="Q1199" t="s">
        <v>56</v>
      </c>
      <c r="R1199">
        <v>-18.8</v>
      </c>
      <c r="S1199">
        <v>37.299999999999997</v>
      </c>
      <c r="T1199">
        <v>10.7</v>
      </c>
      <c r="U1199">
        <v>4.5999999999999996</v>
      </c>
      <c r="V1199">
        <v>9.1999999999999993</v>
      </c>
      <c r="W1199">
        <v>7.2</v>
      </c>
      <c r="X1199" t="s">
        <v>66</v>
      </c>
    </row>
    <row r="1200" spans="2:24" x14ac:dyDescent="0.3">
      <c r="B1200" t="s">
        <v>1293</v>
      </c>
      <c r="C1200" t="s">
        <v>62</v>
      </c>
      <c r="D1200" t="s">
        <v>2</v>
      </c>
      <c r="E1200" t="s">
        <v>15</v>
      </c>
      <c r="F1200" t="s">
        <v>12</v>
      </c>
      <c r="G1200" t="s">
        <v>98</v>
      </c>
      <c r="H1200">
        <v>2024</v>
      </c>
      <c r="I1200">
        <v>3422</v>
      </c>
      <c r="J1200">
        <v>3.4</v>
      </c>
      <c r="K1200" t="s">
        <v>25</v>
      </c>
      <c r="L1200">
        <v>2.8</v>
      </c>
      <c r="M1200">
        <v>2.9</v>
      </c>
      <c r="N1200">
        <v>3286</v>
      </c>
      <c r="O1200" t="s">
        <v>55</v>
      </c>
      <c r="P1200">
        <v>42.1</v>
      </c>
      <c r="Q1200" t="s">
        <v>56</v>
      </c>
      <c r="R1200">
        <v>77.2</v>
      </c>
      <c r="S1200">
        <v>2.1</v>
      </c>
      <c r="T1200">
        <v>-0.3</v>
      </c>
      <c r="U1200">
        <v>3.4</v>
      </c>
      <c r="V1200">
        <v>8</v>
      </c>
      <c r="W1200">
        <v>7.5</v>
      </c>
      <c r="X1200" t="s">
        <v>116</v>
      </c>
    </row>
    <row r="1201" spans="2:24" x14ac:dyDescent="0.3">
      <c r="B1201" t="s">
        <v>1294</v>
      </c>
      <c r="C1201" t="s">
        <v>137</v>
      </c>
      <c r="D1201" t="s">
        <v>3</v>
      </c>
      <c r="E1201" t="s">
        <v>19</v>
      </c>
      <c r="F1201" t="s">
        <v>11</v>
      </c>
      <c r="G1201" t="s">
        <v>69</v>
      </c>
      <c r="H1201">
        <v>2026</v>
      </c>
      <c r="I1201">
        <v>14757</v>
      </c>
      <c r="J1201">
        <v>27.6</v>
      </c>
      <c r="K1201" t="s">
        <v>25</v>
      </c>
      <c r="L1201">
        <v>7.8</v>
      </c>
      <c r="M1201">
        <v>10</v>
      </c>
      <c r="N1201">
        <v>662</v>
      </c>
      <c r="O1201" t="s">
        <v>64</v>
      </c>
      <c r="P1201">
        <v>17.899999999999999</v>
      </c>
      <c r="Q1201" t="s">
        <v>88</v>
      </c>
      <c r="R1201">
        <v>-18</v>
      </c>
      <c r="S1201">
        <v>0.7</v>
      </c>
      <c r="T1201">
        <v>4.4000000000000004</v>
      </c>
      <c r="U1201">
        <v>6.5</v>
      </c>
      <c r="V1201">
        <v>3.4</v>
      </c>
      <c r="W1201">
        <v>2.8</v>
      </c>
      <c r="X1201" t="s">
        <v>66</v>
      </c>
    </row>
    <row r="1202" spans="2:24" x14ac:dyDescent="0.3">
      <c r="B1202" t="s">
        <v>1295</v>
      </c>
      <c r="C1202" t="s">
        <v>106</v>
      </c>
      <c r="D1202" t="s">
        <v>7</v>
      </c>
      <c r="E1202" t="s">
        <v>18</v>
      </c>
      <c r="F1202" t="s">
        <v>12</v>
      </c>
      <c r="G1202" t="s">
        <v>115</v>
      </c>
      <c r="H1202">
        <v>2024</v>
      </c>
      <c r="I1202">
        <v>5712</v>
      </c>
      <c r="J1202">
        <v>16.7</v>
      </c>
      <c r="K1202" t="s">
        <v>23</v>
      </c>
      <c r="L1202">
        <v>13.8</v>
      </c>
      <c r="M1202">
        <v>10</v>
      </c>
      <c r="N1202">
        <v>2706</v>
      </c>
      <c r="O1202" t="s">
        <v>64</v>
      </c>
      <c r="P1202">
        <v>34.9</v>
      </c>
      <c r="Q1202" t="s">
        <v>76</v>
      </c>
      <c r="R1202">
        <v>-35</v>
      </c>
      <c r="S1202">
        <v>23.1</v>
      </c>
      <c r="T1202">
        <v>6.8</v>
      </c>
      <c r="U1202">
        <v>9.9</v>
      </c>
      <c r="V1202">
        <v>7.9</v>
      </c>
      <c r="W1202">
        <v>4.5999999999999996</v>
      </c>
      <c r="X1202" t="s">
        <v>116</v>
      </c>
    </row>
    <row r="1203" spans="2:24" x14ac:dyDescent="0.3">
      <c r="B1203" t="s">
        <v>1296</v>
      </c>
      <c r="C1203" t="s">
        <v>53</v>
      </c>
      <c r="D1203" t="s">
        <v>3</v>
      </c>
      <c r="E1203" t="s">
        <v>14</v>
      </c>
      <c r="F1203" t="s">
        <v>12</v>
      </c>
      <c r="G1203" t="s">
        <v>131</v>
      </c>
      <c r="H1203">
        <v>2026</v>
      </c>
      <c r="I1203">
        <v>1214</v>
      </c>
      <c r="J1203">
        <v>13.2</v>
      </c>
      <c r="K1203" t="s">
        <v>22</v>
      </c>
      <c r="L1203">
        <v>4.5</v>
      </c>
      <c r="M1203">
        <v>5.9</v>
      </c>
      <c r="N1203">
        <v>2644</v>
      </c>
      <c r="O1203" t="s">
        <v>64</v>
      </c>
      <c r="P1203">
        <v>74</v>
      </c>
      <c r="Q1203" t="s">
        <v>76</v>
      </c>
      <c r="R1203">
        <v>25.6</v>
      </c>
      <c r="S1203">
        <v>8.6999999999999993</v>
      </c>
      <c r="T1203">
        <v>10.5</v>
      </c>
      <c r="U1203">
        <v>3.2</v>
      </c>
      <c r="V1203">
        <v>5.9</v>
      </c>
      <c r="W1203">
        <v>6.3</v>
      </c>
      <c r="X1203" t="s">
        <v>116</v>
      </c>
    </row>
    <row r="1204" spans="2:24" x14ac:dyDescent="0.3">
      <c r="B1204" t="s">
        <v>1297</v>
      </c>
      <c r="C1204" t="s">
        <v>90</v>
      </c>
      <c r="D1204" t="s">
        <v>2</v>
      </c>
      <c r="E1204" t="s">
        <v>18</v>
      </c>
      <c r="F1204" t="s">
        <v>11</v>
      </c>
      <c r="G1204" t="s">
        <v>101</v>
      </c>
      <c r="H1204">
        <v>2026</v>
      </c>
      <c r="I1204">
        <v>1223</v>
      </c>
      <c r="J1204">
        <v>5.3</v>
      </c>
      <c r="K1204" t="s">
        <v>22</v>
      </c>
      <c r="L1204">
        <v>14.6</v>
      </c>
      <c r="M1204">
        <v>10</v>
      </c>
      <c r="N1204">
        <v>3095</v>
      </c>
      <c r="O1204" t="s">
        <v>55</v>
      </c>
      <c r="P1204">
        <v>50.5</v>
      </c>
      <c r="Q1204" t="s">
        <v>56</v>
      </c>
      <c r="R1204">
        <v>64.7</v>
      </c>
      <c r="S1204">
        <v>-2</v>
      </c>
      <c r="T1204">
        <v>9.3000000000000007</v>
      </c>
      <c r="U1204">
        <v>9.6999999999999993</v>
      </c>
      <c r="V1204">
        <v>8.3000000000000007</v>
      </c>
      <c r="W1204">
        <v>5.5</v>
      </c>
      <c r="X1204" t="s">
        <v>57</v>
      </c>
    </row>
    <row r="1205" spans="2:24" x14ac:dyDescent="0.3">
      <c r="B1205" t="s">
        <v>1298</v>
      </c>
      <c r="C1205" t="s">
        <v>106</v>
      </c>
      <c r="D1205" t="s">
        <v>3</v>
      </c>
      <c r="E1205" t="s">
        <v>14</v>
      </c>
      <c r="F1205" t="s">
        <v>12</v>
      </c>
      <c r="G1205" t="s">
        <v>63</v>
      </c>
      <c r="H1205">
        <v>2026</v>
      </c>
      <c r="I1205">
        <v>15196</v>
      </c>
      <c r="J1205">
        <v>22.8</v>
      </c>
      <c r="K1205" t="s">
        <v>23</v>
      </c>
      <c r="L1205">
        <v>5.4</v>
      </c>
      <c r="M1205">
        <v>8.4</v>
      </c>
      <c r="N1205">
        <v>299</v>
      </c>
      <c r="O1205" t="s">
        <v>64</v>
      </c>
      <c r="P1205">
        <v>68.7</v>
      </c>
      <c r="Q1205" t="s">
        <v>88</v>
      </c>
      <c r="R1205">
        <v>80.5</v>
      </c>
      <c r="S1205">
        <v>13.2</v>
      </c>
      <c r="T1205">
        <v>5.4</v>
      </c>
      <c r="U1205">
        <v>6</v>
      </c>
      <c r="V1205">
        <v>5.2</v>
      </c>
      <c r="W1205">
        <v>5.3</v>
      </c>
      <c r="X1205" t="s">
        <v>66</v>
      </c>
    </row>
    <row r="1206" spans="2:24" x14ac:dyDescent="0.3">
      <c r="B1206" t="s">
        <v>1299</v>
      </c>
      <c r="C1206" t="s">
        <v>53</v>
      </c>
      <c r="D1206" t="s">
        <v>2</v>
      </c>
      <c r="E1206" t="s">
        <v>15</v>
      </c>
      <c r="F1206" t="s">
        <v>10</v>
      </c>
      <c r="G1206" t="s">
        <v>101</v>
      </c>
      <c r="H1206">
        <v>2025</v>
      </c>
      <c r="I1206">
        <v>1410</v>
      </c>
      <c r="J1206">
        <v>5.0999999999999996</v>
      </c>
      <c r="K1206" t="s">
        <v>23</v>
      </c>
      <c r="L1206">
        <v>1</v>
      </c>
      <c r="M1206">
        <v>4.5999999999999996</v>
      </c>
      <c r="N1206">
        <v>2915</v>
      </c>
      <c r="O1206" t="s">
        <v>64</v>
      </c>
      <c r="P1206">
        <v>20.3</v>
      </c>
      <c r="Q1206" t="s">
        <v>56</v>
      </c>
      <c r="R1206">
        <v>14.2</v>
      </c>
      <c r="S1206">
        <v>2.4</v>
      </c>
      <c r="T1206">
        <v>-8.5</v>
      </c>
      <c r="U1206">
        <v>1.4</v>
      </c>
      <c r="V1206">
        <v>4.9000000000000004</v>
      </c>
      <c r="W1206">
        <v>7.5</v>
      </c>
      <c r="X1206" t="s">
        <v>57</v>
      </c>
    </row>
    <row r="1207" spans="2:24" x14ac:dyDescent="0.3">
      <c r="B1207" t="s">
        <v>1300</v>
      </c>
      <c r="C1207" t="s">
        <v>106</v>
      </c>
      <c r="D1207" t="s">
        <v>2</v>
      </c>
      <c r="E1207" t="s">
        <v>19</v>
      </c>
      <c r="F1207" t="s">
        <v>10</v>
      </c>
      <c r="G1207" t="s">
        <v>60</v>
      </c>
      <c r="H1207">
        <v>2024</v>
      </c>
      <c r="I1207">
        <v>1206</v>
      </c>
      <c r="J1207">
        <v>6.3</v>
      </c>
      <c r="K1207" t="s">
        <v>25</v>
      </c>
      <c r="L1207">
        <v>15.6</v>
      </c>
      <c r="M1207">
        <v>10</v>
      </c>
      <c r="N1207">
        <v>7325</v>
      </c>
      <c r="O1207" t="s">
        <v>118</v>
      </c>
      <c r="P1207">
        <v>84.4</v>
      </c>
      <c r="Q1207" t="s">
        <v>56</v>
      </c>
      <c r="R1207">
        <v>24.1</v>
      </c>
      <c r="S1207">
        <v>-24.7</v>
      </c>
      <c r="T1207">
        <v>-6.2</v>
      </c>
      <c r="U1207">
        <v>9.5</v>
      </c>
      <c r="V1207">
        <v>7</v>
      </c>
      <c r="W1207">
        <v>5.2</v>
      </c>
      <c r="X1207" t="s">
        <v>57</v>
      </c>
    </row>
    <row r="1208" spans="2:24" x14ac:dyDescent="0.3">
      <c r="B1208" t="s">
        <v>1301</v>
      </c>
      <c r="C1208" t="s">
        <v>97</v>
      </c>
      <c r="D1208" t="s">
        <v>3</v>
      </c>
      <c r="E1208" t="s">
        <v>17</v>
      </c>
      <c r="F1208" t="s">
        <v>12</v>
      </c>
      <c r="G1208" t="s">
        <v>60</v>
      </c>
      <c r="H1208">
        <v>2026</v>
      </c>
      <c r="I1208">
        <v>4620</v>
      </c>
      <c r="J1208">
        <v>11.1</v>
      </c>
      <c r="K1208" t="s">
        <v>22</v>
      </c>
      <c r="L1208">
        <v>1.1000000000000001</v>
      </c>
      <c r="M1208">
        <v>2.5</v>
      </c>
      <c r="N1208">
        <v>3322</v>
      </c>
      <c r="O1208" t="s">
        <v>64</v>
      </c>
      <c r="P1208">
        <v>62.5</v>
      </c>
      <c r="Q1208" t="s">
        <v>65</v>
      </c>
      <c r="R1208">
        <v>22.5</v>
      </c>
      <c r="S1208">
        <v>-8.5</v>
      </c>
      <c r="T1208">
        <v>-6.3</v>
      </c>
      <c r="U1208">
        <v>1.8</v>
      </c>
      <c r="V1208">
        <v>5.0999999999999996</v>
      </c>
      <c r="W1208">
        <v>6.5</v>
      </c>
      <c r="X1208" t="s">
        <v>116</v>
      </c>
    </row>
    <row r="1209" spans="2:24" x14ac:dyDescent="0.3">
      <c r="B1209" t="s">
        <v>1302</v>
      </c>
      <c r="C1209" t="s">
        <v>92</v>
      </c>
      <c r="D1209" t="s">
        <v>7</v>
      </c>
      <c r="E1209" t="s">
        <v>16</v>
      </c>
      <c r="F1209" t="s">
        <v>12</v>
      </c>
      <c r="G1209" t="s">
        <v>104</v>
      </c>
      <c r="H1209">
        <v>2025</v>
      </c>
      <c r="I1209">
        <v>17620</v>
      </c>
      <c r="J1209">
        <v>9.5</v>
      </c>
      <c r="K1209" t="s">
        <v>24</v>
      </c>
      <c r="L1209">
        <v>7.3</v>
      </c>
      <c r="M1209">
        <v>9.8000000000000007</v>
      </c>
      <c r="N1209">
        <v>1137</v>
      </c>
      <c r="O1209" t="s">
        <v>64</v>
      </c>
      <c r="P1209">
        <v>17.2</v>
      </c>
      <c r="Q1209" t="s">
        <v>79</v>
      </c>
      <c r="R1209">
        <v>37.200000000000003</v>
      </c>
      <c r="S1209">
        <v>-16.3</v>
      </c>
      <c r="T1209">
        <v>-13.7</v>
      </c>
      <c r="U1209">
        <v>4.8</v>
      </c>
      <c r="V1209">
        <v>4.0999999999999996</v>
      </c>
      <c r="W1209">
        <v>3.6</v>
      </c>
      <c r="X1209" t="s">
        <v>66</v>
      </c>
    </row>
    <row r="1210" spans="2:24" x14ac:dyDescent="0.3">
      <c r="B1210" t="s">
        <v>1303</v>
      </c>
      <c r="C1210" t="s">
        <v>94</v>
      </c>
      <c r="D1210" t="s">
        <v>6</v>
      </c>
      <c r="E1210" t="s">
        <v>18</v>
      </c>
      <c r="F1210" t="s">
        <v>10</v>
      </c>
      <c r="G1210" t="s">
        <v>131</v>
      </c>
      <c r="H1210">
        <v>2024</v>
      </c>
      <c r="I1210">
        <v>10123</v>
      </c>
      <c r="J1210">
        <v>12.2</v>
      </c>
      <c r="K1210" t="s">
        <v>23</v>
      </c>
      <c r="L1210">
        <v>11.1</v>
      </c>
      <c r="M1210">
        <v>8.1999999999999993</v>
      </c>
      <c r="N1210">
        <v>1404</v>
      </c>
      <c r="O1210" t="s">
        <v>64</v>
      </c>
      <c r="P1210">
        <v>67.5</v>
      </c>
      <c r="Q1210" t="s">
        <v>65</v>
      </c>
      <c r="R1210">
        <v>-43</v>
      </c>
      <c r="S1210">
        <v>3.5</v>
      </c>
      <c r="T1210">
        <v>10</v>
      </c>
      <c r="U1210">
        <v>7</v>
      </c>
      <c r="V1210">
        <v>4.8</v>
      </c>
      <c r="W1210">
        <v>4.7</v>
      </c>
      <c r="X1210" t="s">
        <v>66</v>
      </c>
    </row>
    <row r="1211" spans="2:24" x14ac:dyDescent="0.3">
      <c r="B1211" t="s">
        <v>1304</v>
      </c>
      <c r="C1211" t="s">
        <v>73</v>
      </c>
      <c r="D1211" t="s">
        <v>3</v>
      </c>
      <c r="E1211" t="s">
        <v>14</v>
      </c>
      <c r="F1211" t="s">
        <v>12</v>
      </c>
      <c r="G1211" t="s">
        <v>63</v>
      </c>
      <c r="H1211">
        <v>2026</v>
      </c>
      <c r="I1211">
        <v>11099</v>
      </c>
      <c r="J1211">
        <v>18.3</v>
      </c>
      <c r="K1211" t="s">
        <v>23</v>
      </c>
      <c r="L1211">
        <v>7.9</v>
      </c>
      <c r="M1211">
        <v>10</v>
      </c>
      <c r="N1211">
        <v>1586</v>
      </c>
      <c r="O1211" t="s">
        <v>64</v>
      </c>
      <c r="P1211">
        <v>47.5</v>
      </c>
      <c r="Q1211" t="s">
        <v>125</v>
      </c>
      <c r="R1211">
        <v>85.8</v>
      </c>
      <c r="S1211">
        <v>34</v>
      </c>
      <c r="T1211">
        <v>6.7</v>
      </c>
      <c r="U1211">
        <v>8</v>
      </c>
      <c r="V1211">
        <v>5.8</v>
      </c>
      <c r="W1211">
        <v>4.5</v>
      </c>
      <c r="X1211" t="s">
        <v>66</v>
      </c>
    </row>
    <row r="1212" spans="2:24" x14ac:dyDescent="0.3">
      <c r="B1212" t="s">
        <v>1305</v>
      </c>
      <c r="C1212" t="s">
        <v>90</v>
      </c>
      <c r="D1212" t="s">
        <v>2</v>
      </c>
      <c r="E1212" t="s">
        <v>16</v>
      </c>
      <c r="F1212" t="s">
        <v>10</v>
      </c>
      <c r="G1212" t="s">
        <v>78</v>
      </c>
      <c r="H1212">
        <v>2025</v>
      </c>
      <c r="I1212">
        <v>5932</v>
      </c>
      <c r="J1212">
        <v>4.4000000000000004</v>
      </c>
      <c r="K1212" t="s">
        <v>25</v>
      </c>
      <c r="L1212">
        <v>2.8</v>
      </c>
      <c r="M1212">
        <v>2.9</v>
      </c>
      <c r="N1212">
        <v>4884</v>
      </c>
      <c r="O1212" t="s">
        <v>55</v>
      </c>
      <c r="P1212">
        <v>15</v>
      </c>
      <c r="Q1212" t="s">
        <v>56</v>
      </c>
      <c r="R1212">
        <v>54.7</v>
      </c>
      <c r="S1212">
        <v>33.200000000000003</v>
      </c>
      <c r="T1212">
        <v>12.1</v>
      </c>
      <c r="U1212">
        <v>3.4</v>
      </c>
      <c r="V1212">
        <v>9.1</v>
      </c>
      <c r="W1212">
        <v>7.1</v>
      </c>
      <c r="X1212" t="s">
        <v>116</v>
      </c>
    </row>
    <row r="1213" spans="2:24" x14ac:dyDescent="0.3">
      <c r="B1213" t="s">
        <v>1306</v>
      </c>
      <c r="C1213" t="s">
        <v>137</v>
      </c>
      <c r="D1213" t="s">
        <v>3</v>
      </c>
      <c r="E1213" t="s">
        <v>18</v>
      </c>
      <c r="F1213" t="s">
        <v>10</v>
      </c>
      <c r="G1213" t="s">
        <v>78</v>
      </c>
      <c r="H1213">
        <v>2025</v>
      </c>
      <c r="I1213">
        <v>5673</v>
      </c>
      <c r="J1213">
        <v>4.3</v>
      </c>
      <c r="K1213" t="s">
        <v>22</v>
      </c>
      <c r="L1213">
        <v>2.9</v>
      </c>
      <c r="M1213">
        <v>5.2</v>
      </c>
      <c r="N1213">
        <v>1393</v>
      </c>
      <c r="O1213" t="s">
        <v>64</v>
      </c>
      <c r="P1213">
        <v>58.9</v>
      </c>
      <c r="Q1213" t="s">
        <v>88</v>
      </c>
      <c r="R1213">
        <v>-8.8000000000000007</v>
      </c>
      <c r="S1213">
        <v>59.9</v>
      </c>
      <c r="T1213">
        <v>33.6</v>
      </c>
      <c r="U1213">
        <v>2.9</v>
      </c>
      <c r="V1213">
        <v>8.6</v>
      </c>
      <c r="W1213">
        <v>8.5</v>
      </c>
      <c r="X1213" t="s">
        <v>116</v>
      </c>
    </row>
    <row r="1214" spans="2:24" x14ac:dyDescent="0.3">
      <c r="B1214" t="s">
        <v>1307</v>
      </c>
      <c r="C1214" t="s">
        <v>159</v>
      </c>
      <c r="D1214" t="s">
        <v>7</v>
      </c>
      <c r="E1214" t="s">
        <v>18</v>
      </c>
      <c r="F1214" t="s">
        <v>12</v>
      </c>
      <c r="G1214" t="s">
        <v>54</v>
      </c>
      <c r="H1214">
        <v>2025</v>
      </c>
      <c r="I1214">
        <v>1921</v>
      </c>
      <c r="J1214">
        <v>21.9</v>
      </c>
      <c r="K1214" t="s">
        <v>25</v>
      </c>
      <c r="L1214">
        <v>14.4</v>
      </c>
      <c r="M1214">
        <v>10</v>
      </c>
      <c r="N1214">
        <v>1797</v>
      </c>
      <c r="O1214" t="s">
        <v>64</v>
      </c>
      <c r="P1214">
        <v>35.299999999999997</v>
      </c>
      <c r="Q1214" t="s">
        <v>76</v>
      </c>
      <c r="R1214">
        <v>-42.9</v>
      </c>
      <c r="S1214">
        <v>7</v>
      </c>
      <c r="T1214">
        <v>8.6999999999999993</v>
      </c>
      <c r="U1214">
        <v>9.1999999999999993</v>
      </c>
      <c r="V1214">
        <v>4.5</v>
      </c>
      <c r="W1214">
        <v>4.4000000000000004</v>
      </c>
      <c r="X1214" t="s">
        <v>66</v>
      </c>
    </row>
    <row r="1215" spans="2:24" x14ac:dyDescent="0.3">
      <c r="B1215" t="s">
        <v>1308</v>
      </c>
      <c r="C1215" t="s">
        <v>73</v>
      </c>
      <c r="D1215" t="s">
        <v>2</v>
      </c>
      <c r="E1215" t="s">
        <v>15</v>
      </c>
      <c r="F1215" t="s">
        <v>12</v>
      </c>
      <c r="G1215" t="s">
        <v>112</v>
      </c>
      <c r="H1215">
        <v>2024</v>
      </c>
      <c r="I1215">
        <v>467</v>
      </c>
      <c r="J1215">
        <v>7.5</v>
      </c>
      <c r="K1215" t="s">
        <v>23</v>
      </c>
      <c r="L1215">
        <v>6.7</v>
      </c>
      <c r="M1215">
        <v>3.4</v>
      </c>
      <c r="N1215">
        <v>4257</v>
      </c>
      <c r="O1215" t="s">
        <v>55</v>
      </c>
      <c r="P1215">
        <v>72.099999999999994</v>
      </c>
      <c r="Q1215" t="s">
        <v>56</v>
      </c>
      <c r="R1215">
        <v>-8.1999999999999993</v>
      </c>
      <c r="S1215">
        <v>0.6</v>
      </c>
      <c r="T1215">
        <v>-4.2</v>
      </c>
      <c r="U1215">
        <v>4.2</v>
      </c>
      <c r="V1215">
        <v>5.5</v>
      </c>
      <c r="W1215">
        <v>5.7</v>
      </c>
      <c r="X1215" t="s">
        <v>57</v>
      </c>
    </row>
    <row r="1216" spans="2:24" x14ac:dyDescent="0.3">
      <c r="B1216" t="s">
        <v>1309</v>
      </c>
      <c r="C1216" t="s">
        <v>106</v>
      </c>
      <c r="D1216" t="s">
        <v>7</v>
      </c>
      <c r="E1216" t="s">
        <v>17</v>
      </c>
      <c r="F1216" t="s">
        <v>10</v>
      </c>
      <c r="G1216" t="s">
        <v>54</v>
      </c>
      <c r="H1216">
        <v>2025</v>
      </c>
      <c r="I1216">
        <v>2105</v>
      </c>
      <c r="J1216">
        <v>0.8</v>
      </c>
      <c r="K1216" t="s">
        <v>21</v>
      </c>
      <c r="L1216">
        <v>1.1000000000000001</v>
      </c>
      <c r="M1216">
        <v>1.5</v>
      </c>
      <c r="N1216">
        <v>254</v>
      </c>
      <c r="O1216" t="s">
        <v>64</v>
      </c>
      <c r="P1216">
        <v>63.3</v>
      </c>
      <c r="Q1216" t="s">
        <v>65</v>
      </c>
      <c r="R1216">
        <v>-15.3</v>
      </c>
      <c r="S1216">
        <v>33.799999999999997</v>
      </c>
      <c r="T1216">
        <v>23.5</v>
      </c>
      <c r="U1216">
        <v>1.3</v>
      </c>
      <c r="V1216">
        <v>9.1999999999999993</v>
      </c>
      <c r="W1216">
        <v>8.5</v>
      </c>
      <c r="X1216" t="s">
        <v>57</v>
      </c>
    </row>
    <row r="1217" spans="2:24" x14ac:dyDescent="0.3">
      <c r="B1217" t="s">
        <v>1310</v>
      </c>
      <c r="C1217" t="s">
        <v>53</v>
      </c>
      <c r="D1217" t="s">
        <v>4</v>
      </c>
      <c r="E1217" t="s">
        <v>19</v>
      </c>
      <c r="F1217" t="s">
        <v>11</v>
      </c>
      <c r="G1217" t="s">
        <v>101</v>
      </c>
      <c r="H1217">
        <v>2025</v>
      </c>
      <c r="I1217">
        <v>138</v>
      </c>
      <c r="J1217">
        <v>2.7</v>
      </c>
      <c r="K1217" t="s">
        <v>21</v>
      </c>
      <c r="L1217">
        <v>12.1</v>
      </c>
      <c r="M1217">
        <v>10</v>
      </c>
      <c r="N1217">
        <v>1535</v>
      </c>
      <c r="O1217" t="s">
        <v>55</v>
      </c>
      <c r="P1217">
        <v>75</v>
      </c>
      <c r="Q1217" t="s">
        <v>65</v>
      </c>
      <c r="R1217">
        <v>53.7</v>
      </c>
      <c r="S1217">
        <v>-1.7</v>
      </c>
      <c r="T1217">
        <v>-4.9000000000000004</v>
      </c>
      <c r="U1217">
        <v>8.6</v>
      </c>
      <c r="V1217">
        <v>5.3</v>
      </c>
      <c r="W1217">
        <v>5.7</v>
      </c>
      <c r="X1217" t="s">
        <v>57</v>
      </c>
    </row>
    <row r="1218" spans="2:24" x14ac:dyDescent="0.3">
      <c r="B1218" t="s">
        <v>1311</v>
      </c>
      <c r="C1218" t="s">
        <v>53</v>
      </c>
      <c r="D1218" t="s">
        <v>7</v>
      </c>
      <c r="E1218" t="s">
        <v>15</v>
      </c>
      <c r="F1218" t="s">
        <v>12</v>
      </c>
      <c r="G1218" t="s">
        <v>98</v>
      </c>
      <c r="H1218">
        <v>2026</v>
      </c>
      <c r="I1218">
        <v>14002</v>
      </c>
      <c r="J1218">
        <v>15.2</v>
      </c>
      <c r="K1218" t="s">
        <v>22</v>
      </c>
      <c r="L1218">
        <v>7.7</v>
      </c>
      <c r="M1218">
        <v>10</v>
      </c>
      <c r="N1218">
        <v>241</v>
      </c>
      <c r="O1218" t="s">
        <v>64</v>
      </c>
      <c r="P1218">
        <v>69.3</v>
      </c>
      <c r="Q1218" t="s">
        <v>125</v>
      </c>
      <c r="R1218">
        <v>28.7</v>
      </c>
      <c r="S1218">
        <v>55.8</v>
      </c>
      <c r="T1218">
        <v>27.8</v>
      </c>
      <c r="U1218">
        <v>7.3</v>
      </c>
      <c r="V1218">
        <v>6.4</v>
      </c>
      <c r="W1218">
        <v>5.6</v>
      </c>
      <c r="X1218" t="s">
        <v>66</v>
      </c>
    </row>
    <row r="1219" spans="2:24" x14ac:dyDescent="0.3">
      <c r="B1219" t="s">
        <v>1312</v>
      </c>
      <c r="C1219" t="s">
        <v>100</v>
      </c>
      <c r="D1219" t="s">
        <v>3</v>
      </c>
      <c r="E1219" t="s">
        <v>15</v>
      </c>
      <c r="F1219" t="s">
        <v>10</v>
      </c>
      <c r="G1219" t="s">
        <v>74</v>
      </c>
      <c r="H1219">
        <v>2026</v>
      </c>
      <c r="I1219">
        <v>13835</v>
      </c>
      <c r="J1219">
        <v>25.7</v>
      </c>
      <c r="K1219" t="s">
        <v>24</v>
      </c>
      <c r="L1219">
        <v>9.5</v>
      </c>
      <c r="M1219">
        <v>10</v>
      </c>
      <c r="N1219">
        <v>1184</v>
      </c>
      <c r="O1219" t="s">
        <v>75</v>
      </c>
      <c r="P1219">
        <v>72.3</v>
      </c>
      <c r="Q1219" t="s">
        <v>56</v>
      </c>
      <c r="R1219">
        <v>73.099999999999994</v>
      </c>
      <c r="S1219">
        <v>31.4</v>
      </c>
      <c r="T1219">
        <v>-0.8</v>
      </c>
      <c r="U1219">
        <v>7.5</v>
      </c>
      <c r="V1219">
        <v>4.5</v>
      </c>
      <c r="W1219">
        <v>3.5</v>
      </c>
      <c r="X1219" t="s">
        <v>66</v>
      </c>
    </row>
    <row r="1220" spans="2:24" x14ac:dyDescent="0.3">
      <c r="B1220" t="s">
        <v>1313</v>
      </c>
      <c r="C1220" t="s">
        <v>92</v>
      </c>
      <c r="D1220" t="s">
        <v>7</v>
      </c>
      <c r="E1220" t="s">
        <v>17</v>
      </c>
      <c r="F1220" t="s">
        <v>10</v>
      </c>
      <c r="G1220" t="s">
        <v>115</v>
      </c>
      <c r="H1220">
        <v>2026</v>
      </c>
      <c r="I1220">
        <v>3503</v>
      </c>
      <c r="J1220">
        <v>3.4</v>
      </c>
      <c r="K1220" t="s">
        <v>24</v>
      </c>
      <c r="L1220">
        <v>8.1999999999999993</v>
      </c>
      <c r="M1220">
        <v>10</v>
      </c>
      <c r="N1220">
        <v>5599</v>
      </c>
      <c r="O1220" t="s">
        <v>55</v>
      </c>
      <c r="P1220">
        <v>47.8</v>
      </c>
      <c r="Q1220" t="s">
        <v>88</v>
      </c>
      <c r="R1220">
        <v>27.9</v>
      </c>
      <c r="S1220">
        <v>-1.9</v>
      </c>
      <c r="T1220">
        <v>6.6</v>
      </c>
      <c r="U1220">
        <v>8.9</v>
      </c>
      <c r="V1220">
        <v>5.9</v>
      </c>
      <c r="W1220">
        <v>5.7</v>
      </c>
      <c r="X1220" t="s">
        <v>116</v>
      </c>
    </row>
    <row r="1221" spans="2:24" x14ac:dyDescent="0.3">
      <c r="B1221" t="s">
        <v>1314</v>
      </c>
      <c r="C1221" t="s">
        <v>159</v>
      </c>
      <c r="D1221" t="s">
        <v>7</v>
      </c>
      <c r="E1221" t="s">
        <v>19</v>
      </c>
      <c r="F1221" t="s">
        <v>11</v>
      </c>
      <c r="G1221" t="s">
        <v>101</v>
      </c>
      <c r="H1221">
        <v>2026</v>
      </c>
      <c r="I1221">
        <v>309</v>
      </c>
      <c r="J1221">
        <v>4.5999999999999996</v>
      </c>
      <c r="K1221" t="s">
        <v>24</v>
      </c>
      <c r="L1221">
        <v>7.2</v>
      </c>
      <c r="M1221">
        <v>9.1999999999999993</v>
      </c>
      <c r="N1221">
        <v>662</v>
      </c>
      <c r="O1221" t="s">
        <v>64</v>
      </c>
      <c r="P1221">
        <v>46.6</v>
      </c>
      <c r="Q1221" t="s">
        <v>125</v>
      </c>
      <c r="R1221">
        <v>13.6</v>
      </c>
      <c r="S1221">
        <v>43.5</v>
      </c>
      <c r="T1221">
        <v>23.9</v>
      </c>
      <c r="U1221">
        <v>5.8</v>
      </c>
      <c r="V1221">
        <v>7.2</v>
      </c>
      <c r="W1221">
        <v>7.6</v>
      </c>
      <c r="X1221" t="s">
        <v>57</v>
      </c>
    </row>
    <row r="1222" spans="2:24" x14ac:dyDescent="0.3">
      <c r="B1222" t="s">
        <v>1315</v>
      </c>
      <c r="C1222" t="s">
        <v>94</v>
      </c>
      <c r="D1222" t="s">
        <v>6</v>
      </c>
      <c r="E1222" t="s">
        <v>16</v>
      </c>
      <c r="F1222" t="s">
        <v>10</v>
      </c>
      <c r="G1222" t="s">
        <v>115</v>
      </c>
      <c r="H1222">
        <v>2026</v>
      </c>
      <c r="I1222">
        <v>1301</v>
      </c>
      <c r="J1222">
        <v>15.7</v>
      </c>
      <c r="K1222" t="s">
        <v>22</v>
      </c>
      <c r="L1222">
        <v>6.4</v>
      </c>
      <c r="M1222">
        <v>10</v>
      </c>
      <c r="N1222">
        <v>2279</v>
      </c>
      <c r="O1222" t="s">
        <v>64</v>
      </c>
      <c r="P1222">
        <v>46.5</v>
      </c>
      <c r="Q1222" t="s">
        <v>56</v>
      </c>
      <c r="R1222">
        <v>73.7</v>
      </c>
      <c r="S1222">
        <v>-22</v>
      </c>
      <c r="T1222">
        <v>-12.5</v>
      </c>
      <c r="U1222">
        <v>5.7</v>
      </c>
      <c r="V1222">
        <v>5.0999999999999996</v>
      </c>
      <c r="W1222">
        <v>4.7</v>
      </c>
      <c r="X1222" t="s">
        <v>116</v>
      </c>
    </row>
    <row r="1223" spans="2:24" x14ac:dyDescent="0.3">
      <c r="B1223" t="s">
        <v>1316</v>
      </c>
      <c r="C1223" t="s">
        <v>94</v>
      </c>
      <c r="D1223" t="s">
        <v>6</v>
      </c>
      <c r="E1223" t="s">
        <v>16</v>
      </c>
      <c r="F1223" t="s">
        <v>11</v>
      </c>
      <c r="G1223" t="s">
        <v>115</v>
      </c>
      <c r="H1223">
        <v>2025</v>
      </c>
      <c r="I1223">
        <v>2623</v>
      </c>
      <c r="J1223">
        <v>15.7</v>
      </c>
      <c r="K1223" t="s">
        <v>25</v>
      </c>
      <c r="L1223">
        <v>9.1999999999999993</v>
      </c>
      <c r="M1223">
        <v>10</v>
      </c>
      <c r="N1223">
        <v>3941</v>
      </c>
      <c r="O1223" t="s">
        <v>55</v>
      </c>
      <c r="P1223">
        <v>57.6</v>
      </c>
      <c r="Q1223" t="s">
        <v>65</v>
      </c>
      <c r="R1223">
        <v>64.3</v>
      </c>
      <c r="S1223">
        <v>54.9</v>
      </c>
      <c r="T1223">
        <v>17.5</v>
      </c>
      <c r="U1223">
        <v>9.1999999999999993</v>
      </c>
      <c r="V1223">
        <v>7.5</v>
      </c>
      <c r="W1223">
        <v>6.8</v>
      </c>
      <c r="X1223" t="s">
        <v>116</v>
      </c>
    </row>
    <row r="1224" spans="2:24" x14ac:dyDescent="0.3">
      <c r="B1224" t="s">
        <v>1317</v>
      </c>
      <c r="C1224" t="s">
        <v>106</v>
      </c>
      <c r="D1224" t="s">
        <v>4</v>
      </c>
      <c r="E1224" t="s">
        <v>17</v>
      </c>
      <c r="F1224" t="s">
        <v>9</v>
      </c>
      <c r="G1224" t="s">
        <v>60</v>
      </c>
      <c r="H1224">
        <v>2026</v>
      </c>
      <c r="I1224">
        <v>173</v>
      </c>
      <c r="J1224">
        <v>2.6</v>
      </c>
      <c r="K1224" t="s">
        <v>22</v>
      </c>
      <c r="L1224">
        <v>8.1999999999999993</v>
      </c>
      <c r="M1224">
        <v>5.6</v>
      </c>
      <c r="N1224">
        <v>1071</v>
      </c>
      <c r="O1224" t="s">
        <v>64</v>
      </c>
      <c r="P1224">
        <v>62.3</v>
      </c>
      <c r="Q1224" t="s">
        <v>56</v>
      </c>
      <c r="R1224">
        <v>49.6</v>
      </c>
      <c r="S1224">
        <v>51</v>
      </c>
      <c r="T1224">
        <v>13.5</v>
      </c>
      <c r="U1224">
        <v>6.6</v>
      </c>
      <c r="V1224">
        <v>7.3</v>
      </c>
      <c r="W1224">
        <v>7.5</v>
      </c>
      <c r="X1224" t="s">
        <v>57</v>
      </c>
    </row>
    <row r="1225" spans="2:24" x14ac:dyDescent="0.3">
      <c r="B1225" t="s">
        <v>1318</v>
      </c>
      <c r="C1225" t="s">
        <v>106</v>
      </c>
      <c r="D1225" t="s">
        <v>3</v>
      </c>
      <c r="E1225" t="s">
        <v>17</v>
      </c>
      <c r="F1225" t="s">
        <v>10</v>
      </c>
      <c r="G1225" t="s">
        <v>101</v>
      </c>
      <c r="H1225">
        <v>2024</v>
      </c>
      <c r="I1225">
        <v>2127</v>
      </c>
      <c r="J1225">
        <v>0.2</v>
      </c>
      <c r="K1225" t="s">
        <v>23</v>
      </c>
      <c r="L1225">
        <v>6.9</v>
      </c>
      <c r="M1225">
        <v>7.2</v>
      </c>
      <c r="N1225">
        <v>366</v>
      </c>
      <c r="O1225" t="s">
        <v>55</v>
      </c>
      <c r="P1225">
        <v>69.2</v>
      </c>
      <c r="Q1225" t="s">
        <v>79</v>
      </c>
      <c r="R1225">
        <v>44.8</v>
      </c>
      <c r="S1225">
        <v>13</v>
      </c>
      <c r="T1225">
        <v>7.4</v>
      </c>
      <c r="U1225">
        <v>6.1</v>
      </c>
      <c r="V1225">
        <v>8.6999999999999993</v>
      </c>
      <c r="W1225">
        <v>6.2</v>
      </c>
      <c r="X1225" t="s">
        <v>57</v>
      </c>
    </row>
    <row r="1226" spans="2:24" x14ac:dyDescent="0.3">
      <c r="B1226" t="s">
        <v>1319</v>
      </c>
      <c r="C1226" t="s">
        <v>53</v>
      </c>
      <c r="D1226" t="s">
        <v>4</v>
      </c>
      <c r="E1226" t="s">
        <v>19</v>
      </c>
      <c r="F1226" t="s">
        <v>10</v>
      </c>
      <c r="G1226" t="s">
        <v>101</v>
      </c>
      <c r="H1226">
        <v>2025</v>
      </c>
      <c r="I1226">
        <v>9660</v>
      </c>
      <c r="J1226">
        <v>37.4</v>
      </c>
      <c r="K1226" t="s">
        <v>24</v>
      </c>
      <c r="L1226">
        <v>1.2</v>
      </c>
      <c r="M1226">
        <v>9.6999999999999993</v>
      </c>
      <c r="N1226">
        <v>703</v>
      </c>
      <c r="O1226" t="s">
        <v>75</v>
      </c>
      <c r="P1226">
        <v>68.2</v>
      </c>
      <c r="Q1226" t="s">
        <v>56</v>
      </c>
      <c r="R1226">
        <v>-21.9</v>
      </c>
      <c r="S1226">
        <v>-21</v>
      </c>
      <c r="T1226">
        <v>-14.1</v>
      </c>
      <c r="U1226">
        <v>1.3</v>
      </c>
      <c r="V1226">
        <v>1.9</v>
      </c>
      <c r="W1226">
        <v>2</v>
      </c>
      <c r="X1226" t="s">
        <v>66</v>
      </c>
    </row>
    <row r="1227" spans="2:24" x14ac:dyDescent="0.3">
      <c r="B1227" t="s">
        <v>1320</v>
      </c>
      <c r="C1227" t="s">
        <v>92</v>
      </c>
      <c r="D1227" t="s">
        <v>7</v>
      </c>
      <c r="E1227" t="s">
        <v>19</v>
      </c>
      <c r="F1227" t="s">
        <v>11</v>
      </c>
      <c r="G1227" t="s">
        <v>115</v>
      </c>
      <c r="H1227">
        <v>2024</v>
      </c>
      <c r="I1227">
        <v>17728</v>
      </c>
      <c r="J1227">
        <v>18.2</v>
      </c>
      <c r="K1227" t="s">
        <v>25</v>
      </c>
      <c r="L1227">
        <v>6.1</v>
      </c>
      <c r="M1227">
        <v>10</v>
      </c>
      <c r="N1227">
        <v>1340</v>
      </c>
      <c r="O1227" t="s">
        <v>64</v>
      </c>
      <c r="P1227">
        <v>61.9</v>
      </c>
      <c r="Q1227" t="s">
        <v>56</v>
      </c>
      <c r="R1227">
        <v>76.3</v>
      </c>
      <c r="S1227">
        <v>-17.8</v>
      </c>
      <c r="T1227">
        <v>-18</v>
      </c>
      <c r="U1227">
        <v>7</v>
      </c>
      <c r="V1227">
        <v>6.9</v>
      </c>
      <c r="W1227">
        <v>3</v>
      </c>
      <c r="X1227" t="s">
        <v>66</v>
      </c>
    </row>
    <row r="1228" spans="2:24" x14ac:dyDescent="0.3">
      <c r="B1228" t="s">
        <v>1321</v>
      </c>
      <c r="C1228" t="s">
        <v>122</v>
      </c>
      <c r="D1228" t="s">
        <v>2</v>
      </c>
      <c r="E1228" t="s">
        <v>16</v>
      </c>
      <c r="F1228" t="s">
        <v>10</v>
      </c>
      <c r="G1228" t="s">
        <v>54</v>
      </c>
      <c r="H1228">
        <v>2024</v>
      </c>
      <c r="I1228">
        <v>3821</v>
      </c>
      <c r="J1228">
        <v>8</v>
      </c>
      <c r="K1228" t="s">
        <v>24</v>
      </c>
      <c r="L1228">
        <v>4.8</v>
      </c>
      <c r="M1228">
        <v>10</v>
      </c>
      <c r="N1228">
        <v>4620</v>
      </c>
      <c r="O1228" t="s">
        <v>55</v>
      </c>
      <c r="P1228">
        <v>22.5</v>
      </c>
      <c r="Q1228" t="s">
        <v>76</v>
      </c>
      <c r="R1228">
        <v>-38.799999999999997</v>
      </c>
      <c r="S1228">
        <v>-8.4</v>
      </c>
      <c r="T1228">
        <v>-10</v>
      </c>
      <c r="U1228">
        <v>6</v>
      </c>
      <c r="V1228">
        <v>4.3</v>
      </c>
      <c r="W1228">
        <v>5.9</v>
      </c>
      <c r="X1228" t="s">
        <v>116</v>
      </c>
    </row>
    <row r="1229" spans="2:24" x14ac:dyDescent="0.3">
      <c r="B1229" t="s">
        <v>1322</v>
      </c>
      <c r="C1229" t="s">
        <v>106</v>
      </c>
      <c r="D1229" t="s">
        <v>4</v>
      </c>
      <c r="E1229" t="s">
        <v>14</v>
      </c>
      <c r="F1229" t="s">
        <v>12</v>
      </c>
      <c r="G1229" t="s">
        <v>131</v>
      </c>
      <c r="H1229">
        <v>2024</v>
      </c>
      <c r="I1229">
        <v>5591</v>
      </c>
      <c r="J1229">
        <v>12.6</v>
      </c>
      <c r="K1229" t="s">
        <v>23</v>
      </c>
      <c r="L1229">
        <v>1.1000000000000001</v>
      </c>
      <c r="M1229">
        <v>6</v>
      </c>
      <c r="N1229">
        <v>545</v>
      </c>
      <c r="O1229" t="s">
        <v>75</v>
      </c>
      <c r="P1229">
        <v>88.1</v>
      </c>
      <c r="Q1229" t="s">
        <v>86</v>
      </c>
      <c r="R1229">
        <v>50.7</v>
      </c>
      <c r="S1229">
        <v>19.600000000000001</v>
      </c>
      <c r="T1229">
        <v>-2.2999999999999998</v>
      </c>
      <c r="U1229">
        <v>1.5</v>
      </c>
      <c r="V1229">
        <v>7.2</v>
      </c>
      <c r="W1229">
        <v>6.7</v>
      </c>
      <c r="X1229" t="s">
        <v>116</v>
      </c>
    </row>
    <row r="1230" spans="2:24" x14ac:dyDescent="0.3">
      <c r="B1230" t="s">
        <v>1323</v>
      </c>
      <c r="C1230" t="s">
        <v>73</v>
      </c>
      <c r="D1230" t="s">
        <v>2</v>
      </c>
      <c r="E1230" t="s">
        <v>17</v>
      </c>
      <c r="F1230" t="s">
        <v>11</v>
      </c>
      <c r="G1230" t="s">
        <v>112</v>
      </c>
      <c r="H1230">
        <v>2024</v>
      </c>
      <c r="I1230">
        <v>1308</v>
      </c>
      <c r="J1230">
        <v>3.6</v>
      </c>
      <c r="K1230" t="s">
        <v>24</v>
      </c>
      <c r="L1230">
        <v>3.6</v>
      </c>
      <c r="M1230">
        <v>4.4000000000000004</v>
      </c>
      <c r="N1230">
        <v>5956</v>
      </c>
      <c r="O1230" t="s">
        <v>55</v>
      </c>
      <c r="P1230">
        <v>42.1</v>
      </c>
      <c r="Q1230" t="s">
        <v>56</v>
      </c>
      <c r="R1230">
        <v>54.6</v>
      </c>
      <c r="S1230">
        <v>42.8</v>
      </c>
      <c r="T1230">
        <v>26.8</v>
      </c>
      <c r="U1230">
        <v>2.5</v>
      </c>
      <c r="V1230">
        <v>6.8</v>
      </c>
      <c r="W1230">
        <v>8.1</v>
      </c>
      <c r="X1230" t="s">
        <v>57</v>
      </c>
    </row>
    <row r="1231" spans="2:24" x14ac:dyDescent="0.3">
      <c r="B1231" t="s">
        <v>1324</v>
      </c>
      <c r="C1231" t="s">
        <v>59</v>
      </c>
      <c r="D1231" t="s">
        <v>4</v>
      </c>
      <c r="E1231" t="s">
        <v>16</v>
      </c>
      <c r="F1231" t="s">
        <v>12</v>
      </c>
      <c r="G1231" t="s">
        <v>98</v>
      </c>
      <c r="H1231">
        <v>2026</v>
      </c>
      <c r="I1231">
        <v>1519</v>
      </c>
      <c r="J1231">
        <v>7.9</v>
      </c>
      <c r="K1231" t="s">
        <v>25</v>
      </c>
      <c r="L1231">
        <v>10</v>
      </c>
      <c r="M1231">
        <v>8.6</v>
      </c>
      <c r="N1231">
        <v>5074</v>
      </c>
      <c r="O1231" t="s">
        <v>64</v>
      </c>
      <c r="P1231">
        <v>33.4</v>
      </c>
      <c r="Q1231" t="s">
        <v>65</v>
      </c>
      <c r="R1231">
        <v>24</v>
      </c>
      <c r="S1231">
        <v>15.2</v>
      </c>
      <c r="T1231">
        <v>3.9</v>
      </c>
      <c r="U1231">
        <v>6.2</v>
      </c>
      <c r="V1231">
        <v>7</v>
      </c>
      <c r="W1231">
        <v>5.7</v>
      </c>
      <c r="X1231" t="s">
        <v>57</v>
      </c>
    </row>
    <row r="1232" spans="2:24" x14ac:dyDescent="0.3">
      <c r="B1232" t="s">
        <v>1325</v>
      </c>
      <c r="C1232" t="s">
        <v>53</v>
      </c>
      <c r="D1232" t="s">
        <v>2</v>
      </c>
      <c r="E1232" t="s">
        <v>14</v>
      </c>
      <c r="F1232" t="s">
        <v>10</v>
      </c>
      <c r="G1232" t="s">
        <v>74</v>
      </c>
      <c r="H1232">
        <v>2025</v>
      </c>
      <c r="I1232">
        <v>9656</v>
      </c>
      <c r="J1232">
        <v>25.5</v>
      </c>
      <c r="K1232" t="s">
        <v>25</v>
      </c>
      <c r="L1232">
        <v>7.9</v>
      </c>
      <c r="M1232">
        <v>10</v>
      </c>
      <c r="N1232">
        <v>2915</v>
      </c>
      <c r="O1232" t="s">
        <v>64</v>
      </c>
      <c r="P1232">
        <v>49.3</v>
      </c>
      <c r="Q1232" t="s">
        <v>56</v>
      </c>
      <c r="R1232">
        <v>-36</v>
      </c>
      <c r="S1232">
        <v>-20.8</v>
      </c>
      <c r="T1232">
        <v>-11.9</v>
      </c>
      <c r="U1232">
        <v>9.6</v>
      </c>
      <c r="V1232">
        <v>2.2999999999999998</v>
      </c>
      <c r="W1232">
        <v>1.9</v>
      </c>
      <c r="X1232" t="s">
        <v>66</v>
      </c>
    </row>
    <row r="1233" spans="2:24" x14ac:dyDescent="0.3">
      <c r="B1233" t="s">
        <v>1326</v>
      </c>
      <c r="C1233" t="s">
        <v>137</v>
      </c>
      <c r="D1233" t="s">
        <v>4</v>
      </c>
      <c r="E1233" t="s">
        <v>15</v>
      </c>
      <c r="F1233" t="s">
        <v>10</v>
      </c>
      <c r="G1233" t="s">
        <v>78</v>
      </c>
      <c r="H1233">
        <v>2026</v>
      </c>
      <c r="I1233">
        <v>5051</v>
      </c>
      <c r="J1233">
        <v>13.4</v>
      </c>
      <c r="K1233" t="s">
        <v>24</v>
      </c>
      <c r="L1233">
        <v>1.7</v>
      </c>
      <c r="M1233">
        <v>5.2</v>
      </c>
      <c r="N1233">
        <v>3996</v>
      </c>
      <c r="O1233" t="s">
        <v>64</v>
      </c>
      <c r="P1233">
        <v>57.6</v>
      </c>
      <c r="Q1233" t="s">
        <v>86</v>
      </c>
      <c r="R1233">
        <v>84.6</v>
      </c>
      <c r="S1233">
        <v>27.4</v>
      </c>
      <c r="T1233">
        <v>8.8000000000000007</v>
      </c>
      <c r="U1233">
        <v>1.3</v>
      </c>
      <c r="V1233">
        <v>8.4</v>
      </c>
      <c r="W1233">
        <v>5.9</v>
      </c>
      <c r="X1233" t="s">
        <v>116</v>
      </c>
    </row>
    <row r="1234" spans="2:24" x14ac:dyDescent="0.3">
      <c r="B1234" t="s">
        <v>1327</v>
      </c>
      <c r="C1234" t="s">
        <v>97</v>
      </c>
      <c r="D1234" t="s">
        <v>3</v>
      </c>
      <c r="E1234" t="s">
        <v>15</v>
      </c>
      <c r="F1234" t="s">
        <v>9</v>
      </c>
      <c r="G1234" t="s">
        <v>60</v>
      </c>
      <c r="H1234">
        <v>2024</v>
      </c>
      <c r="I1234">
        <v>5942</v>
      </c>
      <c r="J1234">
        <v>10.5</v>
      </c>
      <c r="K1234" t="s">
        <v>24</v>
      </c>
      <c r="L1234">
        <v>2.2000000000000002</v>
      </c>
      <c r="M1234">
        <v>5.8</v>
      </c>
      <c r="N1234">
        <v>610</v>
      </c>
      <c r="O1234" t="s">
        <v>64</v>
      </c>
      <c r="P1234">
        <v>47.5</v>
      </c>
      <c r="Q1234" t="s">
        <v>88</v>
      </c>
      <c r="R1234">
        <v>59.9</v>
      </c>
      <c r="S1234">
        <v>20.8</v>
      </c>
      <c r="T1234">
        <v>15.1</v>
      </c>
      <c r="U1234">
        <v>2.7</v>
      </c>
      <c r="V1234">
        <v>5</v>
      </c>
      <c r="W1234">
        <v>6.1</v>
      </c>
      <c r="X1234" t="s">
        <v>66</v>
      </c>
    </row>
    <row r="1235" spans="2:24" x14ac:dyDescent="0.3">
      <c r="B1235" t="s">
        <v>1328</v>
      </c>
      <c r="C1235" t="s">
        <v>106</v>
      </c>
      <c r="D1235" t="s">
        <v>3</v>
      </c>
      <c r="E1235" t="s">
        <v>14</v>
      </c>
      <c r="F1235" t="s">
        <v>9</v>
      </c>
      <c r="G1235" t="s">
        <v>54</v>
      </c>
      <c r="H1235">
        <v>2024</v>
      </c>
      <c r="I1235">
        <v>670</v>
      </c>
      <c r="J1235">
        <v>4.0999999999999996</v>
      </c>
      <c r="K1235" t="s">
        <v>25</v>
      </c>
      <c r="L1235">
        <v>11.7</v>
      </c>
      <c r="M1235">
        <v>9.8000000000000007</v>
      </c>
      <c r="N1235">
        <v>452</v>
      </c>
      <c r="O1235" t="s">
        <v>55</v>
      </c>
      <c r="P1235">
        <v>88.2</v>
      </c>
      <c r="Q1235" t="s">
        <v>76</v>
      </c>
      <c r="R1235">
        <v>-16.8</v>
      </c>
      <c r="S1235">
        <v>-4.7</v>
      </c>
      <c r="T1235">
        <v>1.2</v>
      </c>
      <c r="U1235">
        <v>7.7</v>
      </c>
      <c r="V1235">
        <v>7.6</v>
      </c>
      <c r="W1235">
        <v>4.5999999999999996</v>
      </c>
      <c r="X1235" t="s">
        <v>57</v>
      </c>
    </row>
    <row r="1236" spans="2:24" x14ac:dyDescent="0.3">
      <c r="B1236" t="s">
        <v>1329</v>
      </c>
      <c r="C1236" t="s">
        <v>137</v>
      </c>
      <c r="D1236" t="s">
        <v>3</v>
      </c>
      <c r="E1236" t="s">
        <v>17</v>
      </c>
      <c r="F1236" t="s">
        <v>11</v>
      </c>
      <c r="G1236" t="s">
        <v>98</v>
      </c>
      <c r="H1236">
        <v>2025</v>
      </c>
      <c r="I1236">
        <v>12794</v>
      </c>
      <c r="J1236">
        <v>34</v>
      </c>
      <c r="K1236" t="s">
        <v>21</v>
      </c>
      <c r="L1236">
        <v>2.2999999999999998</v>
      </c>
      <c r="M1236">
        <v>10</v>
      </c>
      <c r="N1236">
        <v>761</v>
      </c>
      <c r="O1236" t="s">
        <v>75</v>
      </c>
      <c r="P1236">
        <v>89.1</v>
      </c>
      <c r="Q1236" t="s">
        <v>79</v>
      </c>
      <c r="R1236">
        <v>65.8</v>
      </c>
      <c r="S1236">
        <v>-16.8</v>
      </c>
      <c r="T1236">
        <v>-20.6</v>
      </c>
      <c r="U1236">
        <v>1.9</v>
      </c>
      <c r="V1236">
        <v>3.8</v>
      </c>
      <c r="W1236">
        <v>1.2</v>
      </c>
      <c r="X1236" t="s">
        <v>66</v>
      </c>
    </row>
    <row r="1237" spans="2:24" x14ac:dyDescent="0.3">
      <c r="B1237" t="s">
        <v>1330</v>
      </c>
      <c r="C1237" t="s">
        <v>106</v>
      </c>
      <c r="D1237" t="s">
        <v>7</v>
      </c>
      <c r="E1237" t="s">
        <v>17</v>
      </c>
      <c r="F1237" t="s">
        <v>11</v>
      </c>
      <c r="G1237" t="s">
        <v>54</v>
      </c>
      <c r="H1237">
        <v>2026</v>
      </c>
      <c r="I1237">
        <v>15600</v>
      </c>
      <c r="J1237">
        <v>18.399999999999999</v>
      </c>
      <c r="K1237" t="s">
        <v>21</v>
      </c>
      <c r="L1237">
        <v>15</v>
      </c>
      <c r="M1237">
        <v>10</v>
      </c>
      <c r="N1237">
        <v>469</v>
      </c>
      <c r="O1237" t="s">
        <v>64</v>
      </c>
      <c r="P1237">
        <v>76.900000000000006</v>
      </c>
      <c r="Q1237" t="s">
        <v>79</v>
      </c>
      <c r="R1237">
        <v>57</v>
      </c>
      <c r="S1237">
        <v>-21.6</v>
      </c>
      <c r="T1237">
        <v>-16.2</v>
      </c>
      <c r="U1237">
        <v>9.9</v>
      </c>
      <c r="V1237">
        <v>5.8</v>
      </c>
      <c r="W1237">
        <v>3.7</v>
      </c>
      <c r="X1237" t="s">
        <v>66</v>
      </c>
    </row>
    <row r="1238" spans="2:24" x14ac:dyDescent="0.3">
      <c r="B1238" t="s">
        <v>1331</v>
      </c>
      <c r="C1238" t="s">
        <v>81</v>
      </c>
      <c r="D1238" t="s">
        <v>5</v>
      </c>
      <c r="E1238" t="s">
        <v>15</v>
      </c>
      <c r="F1238" t="s">
        <v>10</v>
      </c>
      <c r="G1238" t="s">
        <v>115</v>
      </c>
      <c r="H1238">
        <v>2025</v>
      </c>
      <c r="I1238">
        <v>2076</v>
      </c>
      <c r="J1238">
        <v>4.8</v>
      </c>
      <c r="K1238" t="s">
        <v>21</v>
      </c>
      <c r="L1238">
        <v>4</v>
      </c>
      <c r="M1238">
        <v>3</v>
      </c>
      <c r="N1238">
        <v>3922</v>
      </c>
      <c r="O1238" t="s">
        <v>64</v>
      </c>
      <c r="P1238">
        <v>22.3</v>
      </c>
      <c r="Q1238" t="s">
        <v>84</v>
      </c>
      <c r="R1238">
        <v>-35.9</v>
      </c>
      <c r="S1238">
        <v>15.3</v>
      </c>
      <c r="T1238">
        <v>2.5</v>
      </c>
      <c r="U1238">
        <v>2.7</v>
      </c>
      <c r="V1238">
        <v>6.8</v>
      </c>
      <c r="W1238">
        <v>6.4</v>
      </c>
      <c r="X1238" t="s">
        <v>116</v>
      </c>
    </row>
    <row r="1239" spans="2:24" x14ac:dyDescent="0.3">
      <c r="B1239" t="s">
        <v>1332</v>
      </c>
      <c r="C1239" t="s">
        <v>97</v>
      </c>
      <c r="D1239" t="s">
        <v>3</v>
      </c>
      <c r="E1239" t="s">
        <v>15</v>
      </c>
      <c r="F1239" t="s">
        <v>10</v>
      </c>
      <c r="G1239" t="s">
        <v>69</v>
      </c>
      <c r="H1239">
        <v>2025</v>
      </c>
      <c r="I1239">
        <v>2762</v>
      </c>
      <c r="J1239">
        <v>17.899999999999999</v>
      </c>
      <c r="K1239" t="s">
        <v>25</v>
      </c>
      <c r="L1239">
        <v>10.3</v>
      </c>
      <c r="M1239">
        <v>10</v>
      </c>
      <c r="N1239">
        <v>3241</v>
      </c>
      <c r="O1239" t="s">
        <v>55</v>
      </c>
      <c r="P1239">
        <v>82</v>
      </c>
      <c r="Q1239" t="s">
        <v>79</v>
      </c>
      <c r="R1239">
        <v>-41.7</v>
      </c>
      <c r="S1239">
        <v>-22.5</v>
      </c>
      <c r="T1239">
        <v>-8.6999999999999993</v>
      </c>
      <c r="U1239">
        <v>7.5</v>
      </c>
      <c r="V1239">
        <v>3.7</v>
      </c>
      <c r="W1239">
        <v>4.3</v>
      </c>
      <c r="X1239" t="s">
        <v>116</v>
      </c>
    </row>
    <row r="1240" spans="2:24" x14ac:dyDescent="0.3">
      <c r="B1240" t="s">
        <v>1333</v>
      </c>
      <c r="C1240" t="s">
        <v>142</v>
      </c>
      <c r="D1240" t="s">
        <v>8</v>
      </c>
      <c r="E1240" t="s">
        <v>19</v>
      </c>
      <c r="F1240" t="s">
        <v>11</v>
      </c>
      <c r="G1240" t="s">
        <v>98</v>
      </c>
      <c r="H1240">
        <v>2024</v>
      </c>
      <c r="I1240">
        <v>5677</v>
      </c>
      <c r="J1240">
        <v>6.7</v>
      </c>
      <c r="K1240" t="s">
        <v>22</v>
      </c>
      <c r="L1240">
        <v>15.2</v>
      </c>
      <c r="M1240">
        <v>7.3</v>
      </c>
      <c r="N1240">
        <v>5205</v>
      </c>
      <c r="O1240" t="s">
        <v>55</v>
      </c>
      <c r="P1240">
        <v>83</v>
      </c>
      <c r="Q1240" t="s">
        <v>79</v>
      </c>
      <c r="R1240">
        <v>59.9</v>
      </c>
      <c r="S1240">
        <v>39.799999999999997</v>
      </c>
      <c r="T1240">
        <v>21.5</v>
      </c>
      <c r="U1240">
        <v>9.1999999999999993</v>
      </c>
      <c r="V1240">
        <v>6.1</v>
      </c>
      <c r="W1240">
        <v>8</v>
      </c>
      <c r="X1240" t="s">
        <v>116</v>
      </c>
    </row>
    <row r="1241" spans="2:24" x14ac:dyDescent="0.3">
      <c r="B1241" t="s">
        <v>1334</v>
      </c>
      <c r="C1241" t="s">
        <v>73</v>
      </c>
      <c r="D1241" t="s">
        <v>3</v>
      </c>
      <c r="E1241" t="s">
        <v>14</v>
      </c>
      <c r="F1241" t="s">
        <v>10</v>
      </c>
      <c r="G1241" t="s">
        <v>98</v>
      </c>
      <c r="H1241">
        <v>2024</v>
      </c>
      <c r="I1241">
        <v>4771</v>
      </c>
      <c r="J1241">
        <v>13.4</v>
      </c>
      <c r="K1241" t="s">
        <v>25</v>
      </c>
      <c r="L1241">
        <v>1.6</v>
      </c>
      <c r="M1241">
        <v>6.8</v>
      </c>
      <c r="N1241">
        <v>3633</v>
      </c>
      <c r="O1241" t="s">
        <v>55</v>
      </c>
      <c r="P1241">
        <v>50.8</v>
      </c>
      <c r="Q1241" t="s">
        <v>86</v>
      </c>
      <c r="R1241">
        <v>83.1</v>
      </c>
      <c r="S1241">
        <v>53.4</v>
      </c>
      <c r="T1241">
        <v>13.8</v>
      </c>
      <c r="U1241">
        <v>2.7</v>
      </c>
      <c r="V1241">
        <v>7.4</v>
      </c>
      <c r="W1241">
        <v>7</v>
      </c>
      <c r="X1241" t="s">
        <v>116</v>
      </c>
    </row>
    <row r="1242" spans="2:24" x14ac:dyDescent="0.3">
      <c r="B1242" t="s">
        <v>1335</v>
      </c>
      <c r="C1242" t="s">
        <v>137</v>
      </c>
      <c r="D1242" t="s">
        <v>4</v>
      </c>
      <c r="E1242" t="s">
        <v>19</v>
      </c>
      <c r="F1242" t="s">
        <v>10</v>
      </c>
      <c r="G1242" t="s">
        <v>78</v>
      </c>
      <c r="H1242">
        <v>2026</v>
      </c>
      <c r="I1242">
        <v>1882</v>
      </c>
      <c r="J1242">
        <v>3.4</v>
      </c>
      <c r="K1242" t="s">
        <v>21</v>
      </c>
      <c r="L1242">
        <v>14.3</v>
      </c>
      <c r="M1242">
        <v>8.9</v>
      </c>
      <c r="N1242">
        <v>2787</v>
      </c>
      <c r="O1242" t="s">
        <v>55</v>
      </c>
      <c r="P1242">
        <v>15.7</v>
      </c>
      <c r="Q1242" t="s">
        <v>56</v>
      </c>
      <c r="R1242">
        <v>33</v>
      </c>
      <c r="S1242">
        <v>49.2</v>
      </c>
      <c r="T1242">
        <v>20.3</v>
      </c>
      <c r="U1242">
        <v>9.1999999999999993</v>
      </c>
      <c r="V1242">
        <v>7.2</v>
      </c>
      <c r="W1242">
        <v>7.3</v>
      </c>
      <c r="X1242" t="s">
        <v>57</v>
      </c>
    </row>
    <row r="1243" spans="2:24" x14ac:dyDescent="0.3">
      <c r="B1243" t="s">
        <v>1336</v>
      </c>
      <c r="C1243" t="s">
        <v>142</v>
      </c>
      <c r="D1243" t="s">
        <v>8</v>
      </c>
      <c r="E1243" t="s">
        <v>15</v>
      </c>
      <c r="F1243" t="s">
        <v>11</v>
      </c>
      <c r="G1243" t="s">
        <v>69</v>
      </c>
      <c r="H1243">
        <v>2026</v>
      </c>
      <c r="I1243">
        <v>9223</v>
      </c>
      <c r="J1243">
        <v>22</v>
      </c>
      <c r="K1243" t="s">
        <v>23</v>
      </c>
      <c r="L1243">
        <v>1.6</v>
      </c>
      <c r="M1243">
        <v>7</v>
      </c>
      <c r="N1243">
        <v>676</v>
      </c>
      <c r="O1243" t="s">
        <v>75</v>
      </c>
      <c r="P1243">
        <v>59.5</v>
      </c>
      <c r="Q1243" t="s">
        <v>56</v>
      </c>
      <c r="R1243">
        <v>43.2</v>
      </c>
      <c r="S1243">
        <v>14.3</v>
      </c>
      <c r="T1243">
        <v>-6.8</v>
      </c>
      <c r="U1243">
        <v>1.4</v>
      </c>
      <c r="V1243">
        <v>4.3</v>
      </c>
      <c r="W1243">
        <v>5.2</v>
      </c>
      <c r="X1243" t="s">
        <v>66</v>
      </c>
    </row>
    <row r="1244" spans="2:24" x14ac:dyDescent="0.3">
      <c r="B1244" t="s">
        <v>1337</v>
      </c>
      <c r="C1244" t="s">
        <v>53</v>
      </c>
      <c r="D1244" t="s">
        <v>7</v>
      </c>
      <c r="E1244" t="s">
        <v>17</v>
      </c>
      <c r="F1244" t="s">
        <v>9</v>
      </c>
      <c r="G1244" t="s">
        <v>69</v>
      </c>
      <c r="H1244">
        <v>2026</v>
      </c>
      <c r="I1244">
        <v>6705</v>
      </c>
      <c r="J1244">
        <v>8.3000000000000007</v>
      </c>
      <c r="K1244" t="s">
        <v>22</v>
      </c>
      <c r="L1244">
        <v>3.9</v>
      </c>
      <c r="M1244">
        <v>4.5999999999999996</v>
      </c>
      <c r="N1244">
        <v>5136</v>
      </c>
      <c r="O1244" t="s">
        <v>55</v>
      </c>
      <c r="P1244">
        <v>81.900000000000006</v>
      </c>
      <c r="Q1244" t="s">
        <v>65</v>
      </c>
      <c r="R1244">
        <v>2.2000000000000002</v>
      </c>
      <c r="S1244">
        <v>3.5</v>
      </c>
      <c r="T1244">
        <v>-6.4</v>
      </c>
      <c r="U1244">
        <v>4.4000000000000004</v>
      </c>
      <c r="V1244">
        <v>7.4</v>
      </c>
      <c r="W1244">
        <v>6.1</v>
      </c>
      <c r="X1244" t="s">
        <v>116</v>
      </c>
    </row>
    <row r="1245" spans="2:24" x14ac:dyDescent="0.3">
      <c r="B1245" t="s">
        <v>1338</v>
      </c>
      <c r="C1245" t="s">
        <v>83</v>
      </c>
      <c r="D1245" t="s">
        <v>4</v>
      </c>
      <c r="E1245" t="s">
        <v>15</v>
      </c>
      <c r="F1245" t="s">
        <v>10</v>
      </c>
      <c r="G1245" t="s">
        <v>101</v>
      </c>
      <c r="H1245">
        <v>2026</v>
      </c>
      <c r="I1245">
        <v>914</v>
      </c>
      <c r="J1245">
        <v>17.8</v>
      </c>
      <c r="K1245" t="s">
        <v>24</v>
      </c>
      <c r="L1245">
        <v>14.4</v>
      </c>
      <c r="M1245">
        <v>8.9</v>
      </c>
      <c r="N1245">
        <v>1794</v>
      </c>
      <c r="O1245" t="s">
        <v>64</v>
      </c>
      <c r="P1245">
        <v>12.2</v>
      </c>
      <c r="Q1245" t="s">
        <v>88</v>
      </c>
      <c r="R1245">
        <v>26.7</v>
      </c>
      <c r="S1245">
        <v>5.6</v>
      </c>
      <c r="T1245">
        <v>7.7</v>
      </c>
      <c r="U1245">
        <v>8.5</v>
      </c>
      <c r="V1245">
        <v>6</v>
      </c>
      <c r="W1245">
        <v>3.8</v>
      </c>
      <c r="X1245" t="s">
        <v>116</v>
      </c>
    </row>
    <row r="1246" spans="2:24" x14ac:dyDescent="0.3">
      <c r="B1246" t="s">
        <v>1339</v>
      </c>
      <c r="C1246" t="s">
        <v>81</v>
      </c>
      <c r="D1246" t="s">
        <v>5</v>
      </c>
      <c r="E1246" t="s">
        <v>17</v>
      </c>
      <c r="F1246" t="s">
        <v>10</v>
      </c>
      <c r="G1246" t="s">
        <v>104</v>
      </c>
      <c r="H1246">
        <v>2025</v>
      </c>
      <c r="I1246">
        <v>1194</v>
      </c>
      <c r="J1246">
        <v>8.6</v>
      </c>
      <c r="K1246" t="s">
        <v>25</v>
      </c>
      <c r="L1246">
        <v>4.0999999999999996</v>
      </c>
      <c r="M1246">
        <v>4.4000000000000004</v>
      </c>
      <c r="N1246">
        <v>1223</v>
      </c>
      <c r="O1246" t="s">
        <v>64</v>
      </c>
      <c r="P1246">
        <v>68.099999999999994</v>
      </c>
      <c r="Q1246" t="s">
        <v>56</v>
      </c>
      <c r="R1246">
        <v>-18.2</v>
      </c>
      <c r="S1246">
        <v>-16.3</v>
      </c>
      <c r="T1246">
        <v>2.1</v>
      </c>
      <c r="U1246">
        <v>5.3</v>
      </c>
      <c r="V1246">
        <v>4</v>
      </c>
      <c r="W1246">
        <v>5</v>
      </c>
      <c r="X1246" t="s">
        <v>57</v>
      </c>
    </row>
    <row r="1247" spans="2:24" x14ac:dyDescent="0.3">
      <c r="B1247" t="s">
        <v>1340</v>
      </c>
      <c r="C1247" t="s">
        <v>71</v>
      </c>
      <c r="D1247" t="s">
        <v>5</v>
      </c>
      <c r="E1247" t="s">
        <v>17</v>
      </c>
      <c r="F1247" t="s">
        <v>11</v>
      </c>
      <c r="G1247" t="s">
        <v>74</v>
      </c>
      <c r="H1247">
        <v>2025</v>
      </c>
      <c r="I1247">
        <v>337</v>
      </c>
      <c r="J1247">
        <v>7.2</v>
      </c>
      <c r="K1247" t="s">
        <v>21</v>
      </c>
      <c r="L1247">
        <v>4.4000000000000004</v>
      </c>
      <c r="M1247">
        <v>9.6999999999999993</v>
      </c>
      <c r="N1247">
        <v>788</v>
      </c>
      <c r="O1247" t="s">
        <v>64</v>
      </c>
      <c r="P1247">
        <v>25.5</v>
      </c>
      <c r="Q1247" t="s">
        <v>86</v>
      </c>
      <c r="R1247">
        <v>70.2</v>
      </c>
      <c r="S1247">
        <v>20</v>
      </c>
      <c r="T1247">
        <v>7.9</v>
      </c>
      <c r="U1247">
        <v>5.6</v>
      </c>
      <c r="V1247">
        <v>8.9</v>
      </c>
      <c r="W1247">
        <v>6</v>
      </c>
      <c r="X1247" t="s">
        <v>57</v>
      </c>
    </row>
    <row r="1248" spans="2:24" x14ac:dyDescent="0.3">
      <c r="B1248" t="s">
        <v>1341</v>
      </c>
      <c r="C1248" t="s">
        <v>142</v>
      </c>
      <c r="D1248" t="s">
        <v>2</v>
      </c>
      <c r="E1248" t="s">
        <v>17</v>
      </c>
      <c r="F1248" t="s">
        <v>10</v>
      </c>
      <c r="G1248" t="s">
        <v>54</v>
      </c>
      <c r="H1248">
        <v>2026</v>
      </c>
      <c r="I1248">
        <v>17114</v>
      </c>
      <c r="J1248">
        <v>20.8</v>
      </c>
      <c r="K1248" t="s">
        <v>25</v>
      </c>
      <c r="L1248">
        <v>8.6</v>
      </c>
      <c r="M1248">
        <v>10</v>
      </c>
      <c r="N1248">
        <v>7340</v>
      </c>
      <c r="O1248" t="s">
        <v>55</v>
      </c>
      <c r="P1248">
        <v>31.6</v>
      </c>
      <c r="Q1248" t="s">
        <v>76</v>
      </c>
      <c r="R1248">
        <v>77.7</v>
      </c>
      <c r="S1248">
        <v>-13.5</v>
      </c>
      <c r="T1248">
        <v>-7.2</v>
      </c>
      <c r="U1248">
        <v>9.9</v>
      </c>
      <c r="V1248">
        <v>4.0999999999999996</v>
      </c>
      <c r="W1248">
        <v>3.6</v>
      </c>
      <c r="X1248" t="s">
        <v>66</v>
      </c>
    </row>
    <row r="1249" spans="2:24" x14ac:dyDescent="0.3">
      <c r="B1249" t="s">
        <v>1342</v>
      </c>
      <c r="C1249" t="s">
        <v>106</v>
      </c>
      <c r="D1249" t="s">
        <v>2</v>
      </c>
      <c r="E1249" t="s">
        <v>15</v>
      </c>
      <c r="F1249" t="s">
        <v>11</v>
      </c>
      <c r="G1249" t="s">
        <v>74</v>
      </c>
      <c r="H1249">
        <v>2025</v>
      </c>
      <c r="I1249">
        <v>3336</v>
      </c>
      <c r="J1249">
        <v>13.3</v>
      </c>
      <c r="K1249" t="s">
        <v>23</v>
      </c>
      <c r="L1249">
        <v>8.3000000000000007</v>
      </c>
      <c r="M1249">
        <v>10</v>
      </c>
      <c r="N1249">
        <v>3460</v>
      </c>
      <c r="O1249" t="s">
        <v>64</v>
      </c>
      <c r="P1249">
        <v>18</v>
      </c>
      <c r="Q1249" t="s">
        <v>76</v>
      </c>
      <c r="R1249">
        <v>-27.7</v>
      </c>
      <c r="S1249">
        <v>12.4</v>
      </c>
      <c r="T1249">
        <v>10.5</v>
      </c>
      <c r="U1249">
        <v>8</v>
      </c>
      <c r="V1249">
        <v>4.5999999999999996</v>
      </c>
      <c r="W1249">
        <v>5.2</v>
      </c>
      <c r="X1249" t="s">
        <v>116</v>
      </c>
    </row>
    <row r="1250" spans="2:24" x14ac:dyDescent="0.3">
      <c r="B1250" t="s">
        <v>1343</v>
      </c>
      <c r="C1250" t="s">
        <v>68</v>
      </c>
      <c r="D1250" t="s">
        <v>8</v>
      </c>
      <c r="E1250" t="s">
        <v>18</v>
      </c>
      <c r="F1250" t="s">
        <v>9</v>
      </c>
      <c r="G1250" t="s">
        <v>60</v>
      </c>
      <c r="H1250">
        <v>2024</v>
      </c>
      <c r="I1250">
        <v>2711</v>
      </c>
      <c r="J1250">
        <v>4.7</v>
      </c>
      <c r="K1250" t="s">
        <v>25</v>
      </c>
      <c r="L1250">
        <v>6.5</v>
      </c>
      <c r="M1250">
        <v>5.8</v>
      </c>
      <c r="N1250">
        <v>1604</v>
      </c>
      <c r="O1250" t="s">
        <v>55</v>
      </c>
      <c r="P1250">
        <v>12.8</v>
      </c>
      <c r="Q1250" t="s">
        <v>65</v>
      </c>
      <c r="R1250">
        <v>25.2</v>
      </c>
      <c r="S1250">
        <v>52.8</v>
      </c>
      <c r="T1250">
        <v>15</v>
      </c>
      <c r="U1250">
        <v>5.9</v>
      </c>
      <c r="V1250">
        <v>6.8</v>
      </c>
      <c r="W1250">
        <v>7.4</v>
      </c>
      <c r="X1250" t="s">
        <v>116</v>
      </c>
    </row>
    <row r="1251" spans="2:24" x14ac:dyDescent="0.3">
      <c r="B1251" t="s">
        <v>1344</v>
      </c>
      <c r="C1251" t="s">
        <v>59</v>
      </c>
      <c r="D1251" t="s">
        <v>4</v>
      </c>
      <c r="E1251" t="s">
        <v>15</v>
      </c>
      <c r="F1251" t="s">
        <v>9</v>
      </c>
      <c r="G1251" t="s">
        <v>60</v>
      </c>
      <c r="H1251">
        <v>2024</v>
      </c>
      <c r="I1251">
        <v>1189</v>
      </c>
      <c r="J1251">
        <v>3.7</v>
      </c>
      <c r="K1251" t="s">
        <v>22</v>
      </c>
      <c r="L1251">
        <v>8.1999999999999993</v>
      </c>
      <c r="M1251">
        <v>4.9000000000000004</v>
      </c>
      <c r="N1251">
        <v>2609</v>
      </c>
      <c r="O1251" t="s">
        <v>55</v>
      </c>
      <c r="P1251">
        <v>73</v>
      </c>
      <c r="Q1251" t="s">
        <v>88</v>
      </c>
      <c r="R1251">
        <v>-24.6</v>
      </c>
      <c r="S1251">
        <v>36.700000000000003</v>
      </c>
      <c r="T1251">
        <v>18.7</v>
      </c>
      <c r="U1251">
        <v>6.6</v>
      </c>
      <c r="V1251">
        <v>5.9</v>
      </c>
      <c r="W1251">
        <v>8.3000000000000007</v>
      </c>
      <c r="X1251" t="s">
        <v>57</v>
      </c>
    </row>
    <row r="1252" spans="2:24" x14ac:dyDescent="0.3">
      <c r="B1252" t="s">
        <v>1345</v>
      </c>
      <c r="C1252" t="s">
        <v>83</v>
      </c>
      <c r="D1252" t="s">
        <v>4</v>
      </c>
      <c r="E1252" t="s">
        <v>19</v>
      </c>
      <c r="F1252" t="s">
        <v>11</v>
      </c>
      <c r="G1252" t="s">
        <v>115</v>
      </c>
      <c r="H1252">
        <v>2026</v>
      </c>
      <c r="I1252">
        <v>794</v>
      </c>
      <c r="J1252">
        <v>1.8</v>
      </c>
      <c r="K1252" t="s">
        <v>25</v>
      </c>
      <c r="L1252">
        <v>9.8000000000000007</v>
      </c>
      <c r="M1252">
        <v>10</v>
      </c>
      <c r="N1252">
        <v>260</v>
      </c>
      <c r="O1252" t="s">
        <v>55</v>
      </c>
      <c r="P1252">
        <v>26.8</v>
      </c>
      <c r="Q1252" t="s">
        <v>86</v>
      </c>
      <c r="R1252">
        <v>-42</v>
      </c>
      <c r="S1252">
        <v>23.2</v>
      </c>
      <c r="T1252">
        <v>9.4</v>
      </c>
      <c r="U1252">
        <v>8.5</v>
      </c>
      <c r="V1252">
        <v>9.1</v>
      </c>
      <c r="W1252">
        <v>6.5</v>
      </c>
      <c r="X1252" t="s">
        <v>57</v>
      </c>
    </row>
    <row r="1253" spans="2:24" x14ac:dyDescent="0.3">
      <c r="B1253" t="s">
        <v>1346</v>
      </c>
      <c r="C1253" t="s">
        <v>90</v>
      </c>
      <c r="D1253" t="s">
        <v>5</v>
      </c>
      <c r="E1253" t="s">
        <v>15</v>
      </c>
      <c r="F1253" t="s">
        <v>10</v>
      </c>
      <c r="G1253" t="s">
        <v>112</v>
      </c>
      <c r="H1253">
        <v>2025</v>
      </c>
      <c r="I1253">
        <v>2405</v>
      </c>
      <c r="J1253">
        <v>9.3000000000000007</v>
      </c>
      <c r="K1253" t="s">
        <v>22</v>
      </c>
      <c r="L1253">
        <v>13.7</v>
      </c>
      <c r="M1253">
        <v>9.5</v>
      </c>
      <c r="N1253">
        <v>1211</v>
      </c>
      <c r="O1253" t="s">
        <v>55</v>
      </c>
      <c r="P1253">
        <v>23.4</v>
      </c>
      <c r="Q1253" t="s">
        <v>56</v>
      </c>
      <c r="R1253">
        <v>-2.9</v>
      </c>
      <c r="S1253">
        <v>27.8</v>
      </c>
      <c r="T1253">
        <v>10.1</v>
      </c>
      <c r="U1253">
        <v>9.1</v>
      </c>
      <c r="V1253">
        <v>5.4</v>
      </c>
      <c r="W1253">
        <v>6.1</v>
      </c>
      <c r="X1253" t="s">
        <v>57</v>
      </c>
    </row>
    <row r="1254" spans="2:24" x14ac:dyDescent="0.3">
      <c r="B1254" t="s">
        <v>1347</v>
      </c>
      <c r="C1254" t="s">
        <v>53</v>
      </c>
      <c r="D1254" t="s">
        <v>3</v>
      </c>
      <c r="E1254" t="s">
        <v>16</v>
      </c>
      <c r="F1254" t="s">
        <v>11</v>
      </c>
      <c r="G1254" t="s">
        <v>98</v>
      </c>
      <c r="H1254">
        <v>2026</v>
      </c>
      <c r="I1254">
        <v>667</v>
      </c>
      <c r="J1254">
        <v>1.4</v>
      </c>
      <c r="K1254" t="s">
        <v>21</v>
      </c>
      <c r="L1254">
        <v>3.3</v>
      </c>
      <c r="M1254">
        <v>2.6</v>
      </c>
      <c r="N1254">
        <v>4013</v>
      </c>
      <c r="O1254" t="s">
        <v>64</v>
      </c>
      <c r="P1254">
        <v>39.4</v>
      </c>
      <c r="Q1254" t="s">
        <v>65</v>
      </c>
      <c r="R1254">
        <v>79.099999999999994</v>
      </c>
      <c r="S1254">
        <v>-4.5999999999999996</v>
      </c>
      <c r="T1254">
        <v>3</v>
      </c>
      <c r="U1254">
        <v>2.1</v>
      </c>
      <c r="V1254">
        <v>6.5</v>
      </c>
      <c r="W1254">
        <v>7.9</v>
      </c>
      <c r="X1254" t="s">
        <v>57</v>
      </c>
    </row>
    <row r="1255" spans="2:24" x14ac:dyDescent="0.3">
      <c r="B1255" t="s">
        <v>1348</v>
      </c>
      <c r="C1255" t="s">
        <v>106</v>
      </c>
      <c r="D1255" t="s">
        <v>2</v>
      </c>
      <c r="E1255" t="s">
        <v>17</v>
      </c>
      <c r="F1255" t="s">
        <v>12</v>
      </c>
      <c r="G1255" t="s">
        <v>131</v>
      </c>
      <c r="H1255">
        <v>2024</v>
      </c>
      <c r="I1255">
        <v>5680</v>
      </c>
      <c r="J1255">
        <v>8.3000000000000007</v>
      </c>
      <c r="K1255" t="s">
        <v>21</v>
      </c>
      <c r="L1255">
        <v>13.5</v>
      </c>
      <c r="M1255">
        <v>10</v>
      </c>
      <c r="N1255">
        <v>6108</v>
      </c>
      <c r="O1255" t="s">
        <v>118</v>
      </c>
      <c r="P1255">
        <v>85.2</v>
      </c>
      <c r="Q1255" t="s">
        <v>76</v>
      </c>
      <c r="R1255">
        <v>57.4</v>
      </c>
      <c r="S1255">
        <v>21.9</v>
      </c>
      <c r="T1255">
        <v>2.9</v>
      </c>
      <c r="U1255">
        <v>9.3000000000000007</v>
      </c>
      <c r="V1255">
        <v>5.9</v>
      </c>
      <c r="W1255">
        <v>5.3</v>
      </c>
      <c r="X1255" t="s">
        <v>116</v>
      </c>
    </row>
    <row r="1256" spans="2:24" x14ac:dyDescent="0.3">
      <c r="B1256" t="s">
        <v>1349</v>
      </c>
      <c r="C1256" t="s">
        <v>97</v>
      </c>
      <c r="D1256" t="s">
        <v>3</v>
      </c>
      <c r="E1256" t="s">
        <v>19</v>
      </c>
      <c r="F1256" t="s">
        <v>11</v>
      </c>
      <c r="G1256" t="s">
        <v>104</v>
      </c>
      <c r="H1256">
        <v>2026</v>
      </c>
      <c r="I1256">
        <v>614</v>
      </c>
      <c r="J1256">
        <v>4.9000000000000004</v>
      </c>
      <c r="K1256" t="s">
        <v>25</v>
      </c>
      <c r="L1256">
        <v>4.4000000000000004</v>
      </c>
      <c r="M1256">
        <v>2.2000000000000002</v>
      </c>
      <c r="N1256">
        <v>1693</v>
      </c>
      <c r="O1256" t="s">
        <v>55</v>
      </c>
      <c r="P1256">
        <v>78.5</v>
      </c>
      <c r="Q1256" t="s">
        <v>88</v>
      </c>
      <c r="R1256">
        <v>62.4</v>
      </c>
      <c r="S1256">
        <v>21.1</v>
      </c>
      <c r="T1256">
        <v>7.2</v>
      </c>
      <c r="U1256">
        <v>2.8</v>
      </c>
      <c r="V1256">
        <v>6.3</v>
      </c>
      <c r="W1256">
        <v>7.8</v>
      </c>
      <c r="X1256" t="s">
        <v>57</v>
      </c>
    </row>
    <row r="1257" spans="2:24" x14ac:dyDescent="0.3">
      <c r="B1257" t="s">
        <v>1350</v>
      </c>
      <c r="C1257" t="s">
        <v>90</v>
      </c>
      <c r="D1257" t="s">
        <v>5</v>
      </c>
      <c r="E1257" t="s">
        <v>17</v>
      </c>
      <c r="F1257" t="s">
        <v>10</v>
      </c>
      <c r="G1257" t="s">
        <v>112</v>
      </c>
      <c r="H1257">
        <v>2026</v>
      </c>
      <c r="I1257">
        <v>2333</v>
      </c>
      <c r="J1257">
        <v>2.2999999999999998</v>
      </c>
      <c r="K1257" t="s">
        <v>21</v>
      </c>
      <c r="L1257">
        <v>11.3</v>
      </c>
      <c r="M1257">
        <v>8.3000000000000007</v>
      </c>
      <c r="N1257">
        <v>3814</v>
      </c>
      <c r="O1257" t="s">
        <v>55</v>
      </c>
      <c r="P1257">
        <v>11.9</v>
      </c>
      <c r="Q1257" t="s">
        <v>88</v>
      </c>
      <c r="R1257">
        <v>27.3</v>
      </c>
      <c r="S1257">
        <v>37.700000000000003</v>
      </c>
      <c r="T1257">
        <v>16.399999999999999</v>
      </c>
      <c r="U1257">
        <v>7.1</v>
      </c>
      <c r="V1257">
        <v>6.7</v>
      </c>
      <c r="W1257">
        <v>7.2</v>
      </c>
      <c r="X1257" t="s">
        <v>57</v>
      </c>
    </row>
    <row r="1258" spans="2:24" x14ac:dyDescent="0.3">
      <c r="B1258" t="s">
        <v>1351</v>
      </c>
      <c r="C1258" t="s">
        <v>106</v>
      </c>
      <c r="D1258" t="s">
        <v>8</v>
      </c>
      <c r="E1258" t="s">
        <v>15</v>
      </c>
      <c r="F1258" t="s">
        <v>9</v>
      </c>
      <c r="G1258" t="s">
        <v>101</v>
      </c>
      <c r="H1258">
        <v>2025</v>
      </c>
      <c r="I1258">
        <v>4328</v>
      </c>
      <c r="J1258">
        <v>2.9</v>
      </c>
      <c r="K1258" t="s">
        <v>22</v>
      </c>
      <c r="L1258">
        <v>11</v>
      </c>
      <c r="M1258">
        <v>10</v>
      </c>
      <c r="N1258">
        <v>3128</v>
      </c>
      <c r="O1258" t="s">
        <v>55</v>
      </c>
      <c r="P1258">
        <v>36.200000000000003</v>
      </c>
      <c r="Q1258" t="s">
        <v>84</v>
      </c>
      <c r="R1258">
        <v>-44.6</v>
      </c>
      <c r="S1258">
        <v>53.1</v>
      </c>
      <c r="T1258">
        <v>30.2</v>
      </c>
      <c r="U1258">
        <v>8.1999999999999993</v>
      </c>
      <c r="V1258">
        <v>7</v>
      </c>
      <c r="W1258">
        <v>7.5</v>
      </c>
      <c r="X1258" t="s">
        <v>116</v>
      </c>
    </row>
    <row r="1259" spans="2:24" x14ac:dyDescent="0.3">
      <c r="B1259" t="s">
        <v>1352</v>
      </c>
      <c r="C1259" t="s">
        <v>106</v>
      </c>
      <c r="D1259" t="s">
        <v>2</v>
      </c>
      <c r="E1259" t="s">
        <v>17</v>
      </c>
      <c r="F1259" t="s">
        <v>11</v>
      </c>
      <c r="G1259" t="s">
        <v>69</v>
      </c>
      <c r="H1259">
        <v>2024</v>
      </c>
      <c r="I1259">
        <v>1174</v>
      </c>
      <c r="J1259">
        <v>6.2</v>
      </c>
      <c r="K1259" t="s">
        <v>21</v>
      </c>
      <c r="L1259">
        <v>12.1</v>
      </c>
      <c r="M1259">
        <v>10</v>
      </c>
      <c r="N1259">
        <v>1827</v>
      </c>
      <c r="O1259" t="s">
        <v>55</v>
      </c>
      <c r="P1259">
        <v>33</v>
      </c>
      <c r="Q1259" t="s">
        <v>56</v>
      </c>
      <c r="R1259">
        <v>-40.1</v>
      </c>
      <c r="S1259">
        <v>22.3</v>
      </c>
      <c r="T1259">
        <v>6.5</v>
      </c>
      <c r="U1259">
        <v>9.6</v>
      </c>
      <c r="V1259">
        <v>5.7</v>
      </c>
      <c r="W1259">
        <v>6.6</v>
      </c>
      <c r="X1259" t="s">
        <v>57</v>
      </c>
    </row>
    <row r="1260" spans="2:24" x14ac:dyDescent="0.3">
      <c r="B1260" t="s">
        <v>1353</v>
      </c>
      <c r="C1260" t="s">
        <v>106</v>
      </c>
      <c r="D1260" t="s">
        <v>2</v>
      </c>
      <c r="E1260" t="s">
        <v>14</v>
      </c>
      <c r="F1260" t="s">
        <v>12</v>
      </c>
      <c r="G1260" t="s">
        <v>54</v>
      </c>
      <c r="H1260">
        <v>2025</v>
      </c>
      <c r="I1260">
        <v>1795</v>
      </c>
      <c r="J1260">
        <v>7.4</v>
      </c>
      <c r="K1260" t="s">
        <v>21</v>
      </c>
      <c r="L1260">
        <v>5.2</v>
      </c>
      <c r="M1260">
        <v>4.4000000000000004</v>
      </c>
      <c r="N1260">
        <v>4380</v>
      </c>
      <c r="O1260" t="s">
        <v>55</v>
      </c>
      <c r="P1260">
        <v>71.5</v>
      </c>
      <c r="Q1260" t="s">
        <v>56</v>
      </c>
      <c r="R1260">
        <v>14.4</v>
      </c>
      <c r="S1260">
        <v>9.8000000000000007</v>
      </c>
      <c r="T1260">
        <v>-2</v>
      </c>
      <c r="U1260">
        <v>6</v>
      </c>
      <c r="V1260">
        <v>7.4</v>
      </c>
      <c r="W1260">
        <v>6.8</v>
      </c>
      <c r="X1260" t="s">
        <v>116</v>
      </c>
    </row>
    <row r="1261" spans="2:24" x14ac:dyDescent="0.3">
      <c r="B1261" t="s">
        <v>1354</v>
      </c>
      <c r="C1261" t="s">
        <v>53</v>
      </c>
      <c r="D1261" t="s">
        <v>7</v>
      </c>
      <c r="E1261" t="s">
        <v>18</v>
      </c>
      <c r="F1261" t="s">
        <v>10</v>
      </c>
      <c r="G1261" t="s">
        <v>115</v>
      </c>
      <c r="H1261">
        <v>2026</v>
      </c>
      <c r="I1261">
        <v>2215</v>
      </c>
      <c r="J1261">
        <v>28.2</v>
      </c>
      <c r="K1261" t="s">
        <v>23</v>
      </c>
      <c r="L1261">
        <v>3.5</v>
      </c>
      <c r="M1261">
        <v>9.1999999999999993</v>
      </c>
      <c r="N1261">
        <v>1065</v>
      </c>
      <c r="O1261" t="s">
        <v>75</v>
      </c>
      <c r="P1261">
        <v>56.4</v>
      </c>
      <c r="Q1261" t="s">
        <v>65</v>
      </c>
      <c r="R1261">
        <v>65.400000000000006</v>
      </c>
      <c r="S1261">
        <v>-16.7</v>
      </c>
      <c r="T1261">
        <v>-10.4</v>
      </c>
      <c r="U1261">
        <v>2.6</v>
      </c>
      <c r="V1261">
        <v>4.7</v>
      </c>
      <c r="W1261">
        <v>3.6</v>
      </c>
      <c r="X1261" t="s">
        <v>66</v>
      </c>
    </row>
    <row r="1262" spans="2:24" x14ac:dyDescent="0.3">
      <c r="B1262" t="s">
        <v>1355</v>
      </c>
      <c r="C1262" t="s">
        <v>139</v>
      </c>
      <c r="D1262" t="s">
        <v>8</v>
      </c>
      <c r="E1262" t="s">
        <v>18</v>
      </c>
      <c r="F1262" t="s">
        <v>12</v>
      </c>
      <c r="G1262" t="s">
        <v>104</v>
      </c>
      <c r="H1262">
        <v>2026</v>
      </c>
      <c r="I1262">
        <v>2204</v>
      </c>
      <c r="J1262">
        <v>32.700000000000003</v>
      </c>
      <c r="K1262" t="s">
        <v>23</v>
      </c>
      <c r="L1262">
        <v>4.5999999999999996</v>
      </c>
      <c r="M1262">
        <v>10</v>
      </c>
      <c r="N1262">
        <v>249</v>
      </c>
      <c r="O1262" t="s">
        <v>75</v>
      </c>
      <c r="P1262">
        <v>16.3</v>
      </c>
      <c r="Q1262" t="s">
        <v>79</v>
      </c>
      <c r="R1262">
        <v>6.4</v>
      </c>
      <c r="S1262">
        <v>6.9</v>
      </c>
      <c r="T1262">
        <v>-6.2</v>
      </c>
      <c r="U1262">
        <v>5.0999999999999996</v>
      </c>
      <c r="V1262">
        <v>5.0999999999999996</v>
      </c>
      <c r="W1262">
        <v>2.2999999999999998</v>
      </c>
      <c r="X1262" t="s">
        <v>66</v>
      </c>
    </row>
    <row r="1263" spans="2:24" x14ac:dyDescent="0.3">
      <c r="B1263" t="s">
        <v>1356</v>
      </c>
      <c r="C1263" t="s">
        <v>137</v>
      </c>
      <c r="D1263" t="s">
        <v>3</v>
      </c>
      <c r="E1263" t="s">
        <v>17</v>
      </c>
      <c r="F1263" t="s">
        <v>10</v>
      </c>
      <c r="G1263" t="s">
        <v>131</v>
      </c>
      <c r="H1263">
        <v>2025</v>
      </c>
      <c r="I1263">
        <v>6789</v>
      </c>
      <c r="J1263">
        <v>2.7</v>
      </c>
      <c r="K1263" t="s">
        <v>25</v>
      </c>
      <c r="L1263">
        <v>1.9</v>
      </c>
      <c r="M1263">
        <v>4</v>
      </c>
      <c r="N1263">
        <v>1944</v>
      </c>
      <c r="O1263" t="s">
        <v>64</v>
      </c>
      <c r="P1263">
        <v>47.2</v>
      </c>
      <c r="Q1263" t="s">
        <v>84</v>
      </c>
      <c r="R1263">
        <v>65.099999999999994</v>
      </c>
      <c r="S1263">
        <v>56.9</v>
      </c>
      <c r="T1263">
        <v>32.9</v>
      </c>
      <c r="U1263">
        <v>3.1</v>
      </c>
      <c r="V1263">
        <v>10</v>
      </c>
      <c r="W1263">
        <v>9.3000000000000007</v>
      </c>
      <c r="X1263" t="s">
        <v>116</v>
      </c>
    </row>
    <row r="1264" spans="2:24" x14ac:dyDescent="0.3">
      <c r="B1264" t="s">
        <v>1357</v>
      </c>
      <c r="C1264" t="s">
        <v>106</v>
      </c>
      <c r="D1264" t="s">
        <v>8</v>
      </c>
      <c r="E1264" t="s">
        <v>14</v>
      </c>
      <c r="F1264" t="s">
        <v>12</v>
      </c>
      <c r="G1264" t="s">
        <v>74</v>
      </c>
      <c r="H1264">
        <v>2025</v>
      </c>
      <c r="I1264">
        <v>1642</v>
      </c>
      <c r="J1264">
        <v>7.9</v>
      </c>
      <c r="K1264" t="s">
        <v>24</v>
      </c>
      <c r="L1264">
        <v>6.9</v>
      </c>
      <c r="M1264">
        <v>9.1999999999999993</v>
      </c>
      <c r="N1264">
        <v>1283</v>
      </c>
      <c r="O1264" t="s">
        <v>55</v>
      </c>
      <c r="P1264">
        <v>53.1</v>
      </c>
      <c r="Q1264" t="s">
        <v>84</v>
      </c>
      <c r="R1264">
        <v>56.9</v>
      </c>
      <c r="S1264">
        <v>11.8</v>
      </c>
      <c r="T1264">
        <v>1.2</v>
      </c>
      <c r="U1264">
        <v>5.4</v>
      </c>
      <c r="V1264">
        <v>6.8</v>
      </c>
      <c r="W1264">
        <v>5</v>
      </c>
      <c r="X1264" t="s">
        <v>57</v>
      </c>
    </row>
    <row r="1265" spans="2:24" x14ac:dyDescent="0.3">
      <c r="B1265" t="s">
        <v>1358</v>
      </c>
      <c r="C1265" t="s">
        <v>90</v>
      </c>
      <c r="D1265" t="s">
        <v>6</v>
      </c>
      <c r="E1265" t="s">
        <v>17</v>
      </c>
      <c r="F1265" t="s">
        <v>9</v>
      </c>
      <c r="G1265" t="s">
        <v>74</v>
      </c>
      <c r="H1265">
        <v>2026</v>
      </c>
      <c r="I1265">
        <v>590</v>
      </c>
      <c r="J1265">
        <v>7.7</v>
      </c>
      <c r="K1265" t="s">
        <v>22</v>
      </c>
      <c r="L1265">
        <v>8.1</v>
      </c>
      <c r="M1265">
        <v>10</v>
      </c>
      <c r="N1265">
        <v>5133</v>
      </c>
      <c r="O1265" t="s">
        <v>55</v>
      </c>
      <c r="P1265">
        <v>30.8</v>
      </c>
      <c r="Q1265" t="s">
        <v>65</v>
      </c>
      <c r="R1265">
        <v>-0.2</v>
      </c>
      <c r="S1265">
        <v>-10.199999999999999</v>
      </c>
      <c r="T1265">
        <v>-8.6999999999999993</v>
      </c>
      <c r="U1265">
        <v>9.9</v>
      </c>
      <c r="V1265">
        <v>8.1</v>
      </c>
      <c r="W1265">
        <v>4.5999999999999996</v>
      </c>
      <c r="X1265" t="s">
        <v>57</v>
      </c>
    </row>
    <row r="1266" spans="2:24" x14ac:dyDescent="0.3">
      <c r="B1266" t="s">
        <v>1359</v>
      </c>
      <c r="C1266" t="s">
        <v>159</v>
      </c>
      <c r="D1266" t="s">
        <v>2</v>
      </c>
      <c r="E1266" t="s">
        <v>17</v>
      </c>
      <c r="F1266" t="s">
        <v>12</v>
      </c>
      <c r="G1266" t="s">
        <v>63</v>
      </c>
      <c r="H1266">
        <v>2026</v>
      </c>
      <c r="I1266">
        <v>1021</v>
      </c>
      <c r="J1266">
        <v>15.6</v>
      </c>
      <c r="K1266" t="s">
        <v>23</v>
      </c>
      <c r="L1266">
        <v>12.9</v>
      </c>
      <c r="M1266">
        <v>8.6</v>
      </c>
      <c r="N1266">
        <v>7782</v>
      </c>
      <c r="O1266" t="s">
        <v>118</v>
      </c>
      <c r="P1266">
        <v>25.4</v>
      </c>
      <c r="Q1266" t="s">
        <v>76</v>
      </c>
      <c r="R1266">
        <v>18.600000000000001</v>
      </c>
      <c r="S1266">
        <v>25.9</v>
      </c>
      <c r="T1266">
        <v>0.3</v>
      </c>
      <c r="U1266">
        <v>8.1999999999999993</v>
      </c>
      <c r="V1266">
        <v>6.5</v>
      </c>
      <c r="W1266">
        <v>5.4</v>
      </c>
      <c r="X1266" t="s">
        <v>116</v>
      </c>
    </row>
    <row r="1267" spans="2:24" x14ac:dyDescent="0.3">
      <c r="B1267" t="s">
        <v>1360</v>
      </c>
      <c r="C1267" t="s">
        <v>90</v>
      </c>
      <c r="D1267" t="s">
        <v>5</v>
      </c>
      <c r="E1267" t="s">
        <v>19</v>
      </c>
      <c r="F1267" t="s">
        <v>12</v>
      </c>
      <c r="G1267" t="s">
        <v>54</v>
      </c>
      <c r="H1267">
        <v>2025</v>
      </c>
      <c r="I1267">
        <v>3814</v>
      </c>
      <c r="J1267">
        <v>15.2</v>
      </c>
      <c r="K1267" t="s">
        <v>24</v>
      </c>
      <c r="L1267">
        <v>5.7</v>
      </c>
      <c r="M1267">
        <v>8.6</v>
      </c>
      <c r="N1267">
        <v>1711</v>
      </c>
      <c r="O1267" t="s">
        <v>64</v>
      </c>
      <c r="P1267">
        <v>19</v>
      </c>
      <c r="Q1267" t="s">
        <v>88</v>
      </c>
      <c r="R1267">
        <v>20</v>
      </c>
      <c r="S1267">
        <v>25.3</v>
      </c>
      <c r="T1267">
        <v>11.8</v>
      </c>
      <c r="U1267">
        <v>4.7</v>
      </c>
      <c r="V1267">
        <v>6.5</v>
      </c>
      <c r="W1267">
        <v>5.8</v>
      </c>
      <c r="X1267" t="s">
        <v>116</v>
      </c>
    </row>
    <row r="1268" spans="2:24" x14ac:dyDescent="0.3">
      <c r="B1268" t="s">
        <v>1361</v>
      </c>
      <c r="C1268" t="s">
        <v>90</v>
      </c>
      <c r="D1268" t="s">
        <v>6</v>
      </c>
      <c r="E1268" t="s">
        <v>19</v>
      </c>
      <c r="F1268" t="s">
        <v>10</v>
      </c>
      <c r="G1268" t="s">
        <v>112</v>
      </c>
      <c r="H1268">
        <v>2025</v>
      </c>
      <c r="I1268">
        <v>3530</v>
      </c>
      <c r="J1268">
        <v>2.2000000000000002</v>
      </c>
      <c r="K1268" t="s">
        <v>21</v>
      </c>
      <c r="L1268">
        <v>2.8</v>
      </c>
      <c r="M1268">
        <v>3.3</v>
      </c>
      <c r="N1268">
        <v>2073</v>
      </c>
      <c r="O1268" t="s">
        <v>55</v>
      </c>
      <c r="P1268">
        <v>49</v>
      </c>
      <c r="Q1268" t="s">
        <v>56</v>
      </c>
      <c r="R1268">
        <v>54.3</v>
      </c>
      <c r="S1268">
        <v>17.399999999999999</v>
      </c>
      <c r="T1268">
        <v>3.4</v>
      </c>
      <c r="U1268">
        <v>1.9</v>
      </c>
      <c r="V1268">
        <v>8.6999999999999993</v>
      </c>
      <c r="W1268">
        <v>6.8</v>
      </c>
      <c r="X1268" t="s">
        <v>116</v>
      </c>
    </row>
    <row r="1269" spans="2:24" x14ac:dyDescent="0.3">
      <c r="B1269" t="s">
        <v>1362</v>
      </c>
      <c r="C1269" t="s">
        <v>94</v>
      </c>
      <c r="D1269" t="s">
        <v>6</v>
      </c>
      <c r="E1269" t="s">
        <v>16</v>
      </c>
      <c r="F1269" t="s">
        <v>10</v>
      </c>
      <c r="G1269" t="s">
        <v>115</v>
      </c>
      <c r="H1269">
        <v>2025</v>
      </c>
      <c r="I1269">
        <v>17484</v>
      </c>
      <c r="J1269">
        <v>20.100000000000001</v>
      </c>
      <c r="K1269" t="s">
        <v>23</v>
      </c>
      <c r="L1269">
        <v>14.4</v>
      </c>
      <c r="M1269">
        <v>10</v>
      </c>
      <c r="N1269">
        <v>1629</v>
      </c>
      <c r="O1269" t="s">
        <v>64</v>
      </c>
      <c r="P1269">
        <v>19.899999999999999</v>
      </c>
      <c r="Q1269" t="s">
        <v>84</v>
      </c>
      <c r="R1269">
        <v>33.4</v>
      </c>
      <c r="S1269">
        <v>31.2</v>
      </c>
      <c r="T1269">
        <v>11.8</v>
      </c>
      <c r="U1269">
        <v>8.6</v>
      </c>
      <c r="V1269">
        <v>7.6</v>
      </c>
      <c r="W1269">
        <v>5.2</v>
      </c>
      <c r="X1269" t="s">
        <v>66</v>
      </c>
    </row>
    <row r="1270" spans="2:24" x14ac:dyDescent="0.3">
      <c r="B1270" t="s">
        <v>1363</v>
      </c>
      <c r="C1270" t="s">
        <v>137</v>
      </c>
      <c r="D1270" t="s">
        <v>3</v>
      </c>
      <c r="E1270" t="s">
        <v>15</v>
      </c>
      <c r="F1270" t="s">
        <v>11</v>
      </c>
      <c r="G1270" t="s">
        <v>101</v>
      </c>
      <c r="H1270">
        <v>2025</v>
      </c>
      <c r="I1270">
        <v>18162</v>
      </c>
      <c r="J1270">
        <v>14.2</v>
      </c>
      <c r="K1270" t="s">
        <v>25</v>
      </c>
      <c r="L1270">
        <v>10.3</v>
      </c>
      <c r="M1270">
        <v>10</v>
      </c>
      <c r="N1270">
        <v>764</v>
      </c>
      <c r="O1270" t="s">
        <v>64</v>
      </c>
      <c r="P1270">
        <v>25.2</v>
      </c>
      <c r="Q1270" t="s">
        <v>79</v>
      </c>
      <c r="R1270">
        <v>55.2</v>
      </c>
      <c r="S1270">
        <v>7.8</v>
      </c>
      <c r="T1270">
        <v>0</v>
      </c>
      <c r="U1270">
        <v>9.3000000000000007</v>
      </c>
      <c r="V1270">
        <v>4.3</v>
      </c>
      <c r="W1270">
        <v>4.9000000000000004</v>
      </c>
      <c r="X1270" t="s">
        <v>66</v>
      </c>
    </row>
    <row r="1271" spans="2:24" x14ac:dyDescent="0.3">
      <c r="B1271" t="s">
        <v>1364</v>
      </c>
      <c r="C1271" t="s">
        <v>68</v>
      </c>
      <c r="D1271" t="s">
        <v>8</v>
      </c>
      <c r="E1271" t="s">
        <v>17</v>
      </c>
      <c r="F1271" t="s">
        <v>12</v>
      </c>
      <c r="G1271" t="s">
        <v>112</v>
      </c>
      <c r="H1271">
        <v>2024</v>
      </c>
      <c r="I1271">
        <v>5557</v>
      </c>
      <c r="J1271">
        <v>12.1</v>
      </c>
      <c r="K1271" t="s">
        <v>22</v>
      </c>
      <c r="L1271">
        <v>5.9</v>
      </c>
      <c r="M1271">
        <v>5.3</v>
      </c>
      <c r="N1271">
        <v>3292</v>
      </c>
      <c r="O1271" t="s">
        <v>55</v>
      </c>
      <c r="P1271">
        <v>61</v>
      </c>
      <c r="Q1271" t="s">
        <v>88</v>
      </c>
      <c r="R1271">
        <v>75.400000000000006</v>
      </c>
      <c r="S1271">
        <v>5.5</v>
      </c>
      <c r="T1271">
        <v>7.1</v>
      </c>
      <c r="U1271">
        <v>3.8</v>
      </c>
      <c r="V1271">
        <v>6.2</v>
      </c>
      <c r="W1271">
        <v>5.8</v>
      </c>
      <c r="X1271" t="s">
        <v>116</v>
      </c>
    </row>
    <row r="1272" spans="2:24" x14ac:dyDescent="0.3">
      <c r="B1272" t="s">
        <v>1365</v>
      </c>
      <c r="C1272" t="s">
        <v>94</v>
      </c>
      <c r="D1272" t="s">
        <v>6</v>
      </c>
      <c r="E1272" t="s">
        <v>19</v>
      </c>
      <c r="F1272" t="s">
        <v>10</v>
      </c>
      <c r="G1272" t="s">
        <v>69</v>
      </c>
      <c r="H1272">
        <v>2025</v>
      </c>
      <c r="I1272">
        <v>4052</v>
      </c>
      <c r="J1272">
        <v>25.8</v>
      </c>
      <c r="K1272" t="s">
        <v>25</v>
      </c>
      <c r="L1272">
        <v>2.5</v>
      </c>
      <c r="M1272">
        <v>8.6999999999999993</v>
      </c>
      <c r="N1272">
        <v>595</v>
      </c>
      <c r="O1272" t="s">
        <v>75</v>
      </c>
      <c r="P1272">
        <v>37</v>
      </c>
      <c r="Q1272" t="s">
        <v>79</v>
      </c>
      <c r="R1272">
        <v>43.3</v>
      </c>
      <c r="S1272">
        <v>-19.2</v>
      </c>
      <c r="T1272">
        <v>-13.3</v>
      </c>
      <c r="U1272">
        <v>2.5</v>
      </c>
      <c r="V1272">
        <v>3.7</v>
      </c>
      <c r="W1272">
        <v>4</v>
      </c>
      <c r="X1272" t="s">
        <v>66</v>
      </c>
    </row>
    <row r="1273" spans="2:24" x14ac:dyDescent="0.3">
      <c r="B1273" t="s">
        <v>1366</v>
      </c>
      <c r="C1273" t="s">
        <v>97</v>
      </c>
      <c r="D1273" t="s">
        <v>3</v>
      </c>
      <c r="E1273" t="s">
        <v>14</v>
      </c>
      <c r="F1273" t="s">
        <v>11</v>
      </c>
      <c r="G1273" t="s">
        <v>69</v>
      </c>
      <c r="H1273">
        <v>2026</v>
      </c>
      <c r="I1273">
        <v>19691</v>
      </c>
      <c r="J1273">
        <v>23.2</v>
      </c>
      <c r="K1273" t="s">
        <v>24</v>
      </c>
      <c r="L1273">
        <v>14.2</v>
      </c>
      <c r="M1273">
        <v>9.4</v>
      </c>
      <c r="N1273">
        <v>690</v>
      </c>
      <c r="O1273" t="s">
        <v>64</v>
      </c>
      <c r="P1273">
        <v>60.3</v>
      </c>
      <c r="Q1273" t="s">
        <v>65</v>
      </c>
      <c r="R1273">
        <v>82.8</v>
      </c>
      <c r="S1273">
        <v>-9.3000000000000007</v>
      </c>
      <c r="T1273">
        <v>-0.3</v>
      </c>
      <c r="U1273">
        <v>9.8000000000000007</v>
      </c>
      <c r="V1273">
        <v>4.2</v>
      </c>
      <c r="W1273">
        <v>3</v>
      </c>
      <c r="X1273" t="s">
        <v>66</v>
      </c>
    </row>
    <row r="1274" spans="2:24" x14ac:dyDescent="0.3">
      <c r="B1274" t="s">
        <v>1367</v>
      </c>
      <c r="C1274" t="s">
        <v>122</v>
      </c>
      <c r="D1274" t="s">
        <v>2</v>
      </c>
      <c r="E1274" t="s">
        <v>15</v>
      </c>
      <c r="F1274" t="s">
        <v>12</v>
      </c>
      <c r="G1274" t="s">
        <v>78</v>
      </c>
      <c r="H1274">
        <v>2026</v>
      </c>
      <c r="I1274">
        <v>1088</v>
      </c>
      <c r="J1274">
        <v>0.6</v>
      </c>
      <c r="K1274" t="s">
        <v>24</v>
      </c>
      <c r="L1274">
        <v>6.3</v>
      </c>
      <c r="M1274">
        <v>10</v>
      </c>
      <c r="N1274">
        <v>1166</v>
      </c>
      <c r="O1274" t="s">
        <v>55</v>
      </c>
      <c r="P1274">
        <v>35</v>
      </c>
      <c r="Q1274" t="s">
        <v>56</v>
      </c>
      <c r="R1274">
        <v>72.599999999999994</v>
      </c>
      <c r="S1274">
        <v>39.1</v>
      </c>
      <c r="T1274">
        <v>18.100000000000001</v>
      </c>
      <c r="U1274">
        <v>7.3</v>
      </c>
      <c r="V1274">
        <v>9</v>
      </c>
      <c r="W1274">
        <v>7.2</v>
      </c>
      <c r="X1274" t="s">
        <v>57</v>
      </c>
    </row>
    <row r="1275" spans="2:24" x14ac:dyDescent="0.3">
      <c r="B1275" t="s">
        <v>1368</v>
      </c>
      <c r="C1275" t="s">
        <v>81</v>
      </c>
      <c r="D1275" t="s">
        <v>5</v>
      </c>
      <c r="E1275" t="s">
        <v>17</v>
      </c>
      <c r="F1275" t="s">
        <v>9</v>
      </c>
      <c r="G1275" t="s">
        <v>98</v>
      </c>
      <c r="H1275">
        <v>2024</v>
      </c>
      <c r="I1275">
        <v>207</v>
      </c>
      <c r="J1275">
        <v>8.8000000000000007</v>
      </c>
      <c r="K1275" t="s">
        <v>22</v>
      </c>
      <c r="L1275">
        <v>5.9</v>
      </c>
      <c r="M1275">
        <v>4.7</v>
      </c>
      <c r="N1275">
        <v>5430</v>
      </c>
      <c r="O1275" t="s">
        <v>64</v>
      </c>
      <c r="P1275">
        <v>22.8</v>
      </c>
      <c r="Q1275" t="s">
        <v>56</v>
      </c>
      <c r="R1275">
        <v>84.8</v>
      </c>
      <c r="S1275">
        <v>49.5</v>
      </c>
      <c r="T1275">
        <v>13.3</v>
      </c>
      <c r="U1275">
        <v>3.7</v>
      </c>
      <c r="V1275">
        <v>8.1</v>
      </c>
      <c r="W1275">
        <v>7.1</v>
      </c>
      <c r="X1275" t="s">
        <v>57</v>
      </c>
    </row>
    <row r="1276" spans="2:24" x14ac:dyDescent="0.3">
      <c r="B1276" t="s">
        <v>1369</v>
      </c>
      <c r="C1276" t="s">
        <v>97</v>
      </c>
      <c r="D1276" t="s">
        <v>3</v>
      </c>
      <c r="E1276" t="s">
        <v>15</v>
      </c>
      <c r="F1276" t="s">
        <v>10</v>
      </c>
      <c r="G1276" t="s">
        <v>112</v>
      </c>
      <c r="H1276">
        <v>2025</v>
      </c>
      <c r="I1276">
        <v>473</v>
      </c>
      <c r="J1276">
        <v>10.9</v>
      </c>
      <c r="K1276" t="s">
        <v>25</v>
      </c>
      <c r="L1276">
        <v>14.4</v>
      </c>
      <c r="M1276">
        <v>7.6</v>
      </c>
      <c r="N1276">
        <v>598</v>
      </c>
      <c r="O1276" t="s">
        <v>64</v>
      </c>
      <c r="P1276">
        <v>15.4</v>
      </c>
      <c r="Q1276" t="s">
        <v>65</v>
      </c>
      <c r="R1276">
        <v>61.9</v>
      </c>
      <c r="S1276">
        <v>10.199999999999999</v>
      </c>
      <c r="T1276">
        <v>13.7</v>
      </c>
      <c r="U1276">
        <v>9.1</v>
      </c>
      <c r="V1276">
        <v>5.6</v>
      </c>
      <c r="W1276">
        <v>5.3</v>
      </c>
      <c r="X1276" t="s">
        <v>116</v>
      </c>
    </row>
    <row r="1277" spans="2:24" x14ac:dyDescent="0.3">
      <c r="B1277" t="s">
        <v>1370</v>
      </c>
      <c r="C1277" t="s">
        <v>53</v>
      </c>
      <c r="D1277" t="s">
        <v>2</v>
      </c>
      <c r="E1277" t="s">
        <v>16</v>
      </c>
      <c r="F1277" t="s">
        <v>9</v>
      </c>
      <c r="G1277" t="s">
        <v>104</v>
      </c>
      <c r="H1277">
        <v>2025</v>
      </c>
      <c r="I1277">
        <v>11635</v>
      </c>
      <c r="J1277">
        <v>8</v>
      </c>
      <c r="K1277" t="s">
        <v>25</v>
      </c>
      <c r="L1277">
        <v>5</v>
      </c>
      <c r="M1277">
        <v>5.7</v>
      </c>
      <c r="N1277">
        <v>1151</v>
      </c>
      <c r="O1277" t="s">
        <v>64</v>
      </c>
      <c r="P1277">
        <v>40.299999999999997</v>
      </c>
      <c r="Q1277" t="s">
        <v>56</v>
      </c>
      <c r="R1277">
        <v>39.4</v>
      </c>
      <c r="S1277">
        <v>51.4</v>
      </c>
      <c r="T1277">
        <v>16.7</v>
      </c>
      <c r="U1277">
        <v>3.2</v>
      </c>
      <c r="V1277">
        <v>8.9</v>
      </c>
      <c r="W1277">
        <v>6.6</v>
      </c>
      <c r="X1277" t="s">
        <v>66</v>
      </c>
    </row>
    <row r="1278" spans="2:24" x14ac:dyDescent="0.3">
      <c r="B1278" t="s">
        <v>1371</v>
      </c>
      <c r="C1278" t="s">
        <v>71</v>
      </c>
      <c r="D1278" t="s">
        <v>6</v>
      </c>
      <c r="E1278" t="s">
        <v>17</v>
      </c>
      <c r="F1278" t="s">
        <v>12</v>
      </c>
      <c r="G1278" t="s">
        <v>69</v>
      </c>
      <c r="H1278">
        <v>2026</v>
      </c>
      <c r="I1278">
        <v>289</v>
      </c>
      <c r="J1278">
        <v>10.199999999999999</v>
      </c>
      <c r="K1278" t="s">
        <v>21</v>
      </c>
      <c r="L1278">
        <v>2.7</v>
      </c>
      <c r="M1278">
        <v>4.9000000000000004</v>
      </c>
      <c r="N1278">
        <v>5573</v>
      </c>
      <c r="O1278" t="s">
        <v>64</v>
      </c>
      <c r="P1278">
        <v>32.200000000000003</v>
      </c>
      <c r="Q1278" t="s">
        <v>125</v>
      </c>
      <c r="R1278">
        <v>49.9</v>
      </c>
      <c r="S1278">
        <v>7.7</v>
      </c>
      <c r="T1278">
        <v>2.7</v>
      </c>
      <c r="U1278">
        <v>2.8</v>
      </c>
      <c r="V1278">
        <v>8.1999999999999993</v>
      </c>
      <c r="W1278">
        <v>6.2</v>
      </c>
      <c r="X1278" t="s">
        <v>116</v>
      </c>
    </row>
    <row r="1279" spans="2:24" x14ac:dyDescent="0.3">
      <c r="B1279" t="s">
        <v>1372</v>
      </c>
      <c r="C1279" t="s">
        <v>97</v>
      </c>
      <c r="D1279" t="s">
        <v>3</v>
      </c>
      <c r="E1279" t="s">
        <v>19</v>
      </c>
      <c r="F1279" t="s">
        <v>11</v>
      </c>
      <c r="G1279" t="s">
        <v>101</v>
      </c>
      <c r="H1279">
        <v>2025</v>
      </c>
      <c r="I1279">
        <v>17059</v>
      </c>
      <c r="J1279">
        <v>37.4</v>
      </c>
      <c r="K1279" t="s">
        <v>22</v>
      </c>
      <c r="L1279">
        <v>8.5</v>
      </c>
      <c r="M1279">
        <v>10</v>
      </c>
      <c r="N1279">
        <v>1819</v>
      </c>
      <c r="O1279" t="s">
        <v>75</v>
      </c>
      <c r="P1279">
        <v>31.1</v>
      </c>
      <c r="Q1279" t="s">
        <v>84</v>
      </c>
      <c r="R1279">
        <v>85.5</v>
      </c>
      <c r="S1279">
        <v>21</v>
      </c>
      <c r="T1279">
        <v>-0.8</v>
      </c>
      <c r="U1279">
        <v>6.7</v>
      </c>
      <c r="V1279">
        <v>3.4</v>
      </c>
      <c r="W1279">
        <v>2.7</v>
      </c>
      <c r="X1279" t="s">
        <v>66</v>
      </c>
    </row>
    <row r="1280" spans="2:24" x14ac:dyDescent="0.3">
      <c r="B1280" t="s">
        <v>1373</v>
      </c>
      <c r="C1280" t="s">
        <v>142</v>
      </c>
      <c r="D1280" t="s">
        <v>2</v>
      </c>
      <c r="E1280" t="s">
        <v>17</v>
      </c>
      <c r="F1280" t="s">
        <v>10</v>
      </c>
      <c r="G1280" t="s">
        <v>101</v>
      </c>
      <c r="H1280">
        <v>2026</v>
      </c>
      <c r="I1280">
        <v>5386</v>
      </c>
      <c r="J1280">
        <v>3.3</v>
      </c>
      <c r="K1280" t="s">
        <v>22</v>
      </c>
      <c r="L1280">
        <v>12.3</v>
      </c>
      <c r="M1280">
        <v>6.8</v>
      </c>
      <c r="N1280">
        <v>1443</v>
      </c>
      <c r="O1280" t="s">
        <v>64</v>
      </c>
      <c r="P1280">
        <v>85</v>
      </c>
      <c r="Q1280" t="s">
        <v>76</v>
      </c>
      <c r="R1280">
        <v>-12.6</v>
      </c>
      <c r="S1280">
        <v>5.0999999999999996</v>
      </c>
      <c r="T1280">
        <v>5.7</v>
      </c>
      <c r="U1280">
        <v>7.6</v>
      </c>
      <c r="V1280">
        <v>6.5</v>
      </c>
      <c r="W1280">
        <v>7.2</v>
      </c>
      <c r="X1280" t="s">
        <v>116</v>
      </c>
    </row>
    <row r="1281" spans="2:24" x14ac:dyDescent="0.3">
      <c r="B1281" t="s">
        <v>1374</v>
      </c>
      <c r="C1281" t="s">
        <v>81</v>
      </c>
      <c r="D1281" t="s">
        <v>5</v>
      </c>
      <c r="E1281" t="s">
        <v>15</v>
      </c>
      <c r="F1281" t="s">
        <v>11</v>
      </c>
      <c r="G1281" t="s">
        <v>101</v>
      </c>
      <c r="H1281">
        <v>2026</v>
      </c>
      <c r="I1281">
        <v>12485</v>
      </c>
      <c r="J1281">
        <v>8.8000000000000007</v>
      </c>
      <c r="K1281" t="s">
        <v>24</v>
      </c>
      <c r="L1281">
        <v>14.1</v>
      </c>
      <c r="M1281">
        <v>9</v>
      </c>
      <c r="N1281">
        <v>1476</v>
      </c>
      <c r="O1281" t="s">
        <v>55</v>
      </c>
      <c r="P1281">
        <v>89.3</v>
      </c>
      <c r="Q1281" t="s">
        <v>125</v>
      </c>
      <c r="R1281">
        <v>6.6</v>
      </c>
      <c r="S1281">
        <v>24.8</v>
      </c>
      <c r="T1281">
        <v>10</v>
      </c>
      <c r="U1281">
        <v>9.6</v>
      </c>
      <c r="V1281">
        <v>6</v>
      </c>
      <c r="W1281">
        <v>6.3</v>
      </c>
      <c r="X1281" t="s">
        <v>66</v>
      </c>
    </row>
    <row r="1282" spans="2:24" x14ac:dyDescent="0.3">
      <c r="B1282" t="s">
        <v>1375</v>
      </c>
      <c r="C1282" t="s">
        <v>92</v>
      </c>
      <c r="D1282" t="s">
        <v>7</v>
      </c>
      <c r="E1282" t="s">
        <v>14</v>
      </c>
      <c r="F1282" t="s">
        <v>9</v>
      </c>
      <c r="G1282" t="s">
        <v>60</v>
      </c>
      <c r="H1282">
        <v>2025</v>
      </c>
      <c r="I1282">
        <v>5960</v>
      </c>
      <c r="J1282">
        <v>12.2</v>
      </c>
      <c r="K1282" t="s">
        <v>21</v>
      </c>
      <c r="L1282">
        <v>3.2</v>
      </c>
      <c r="M1282">
        <v>3.5</v>
      </c>
      <c r="N1282">
        <v>4850</v>
      </c>
      <c r="O1282" t="s">
        <v>64</v>
      </c>
      <c r="P1282">
        <v>29.8</v>
      </c>
      <c r="Q1282" t="s">
        <v>125</v>
      </c>
      <c r="R1282">
        <v>-14.7</v>
      </c>
      <c r="S1282">
        <v>21.4</v>
      </c>
      <c r="T1282">
        <v>-3</v>
      </c>
      <c r="U1282">
        <v>2</v>
      </c>
      <c r="V1282">
        <v>7.6</v>
      </c>
      <c r="W1282">
        <v>6.9</v>
      </c>
      <c r="X1282" t="s">
        <v>116</v>
      </c>
    </row>
    <row r="1283" spans="2:24" x14ac:dyDescent="0.3">
      <c r="B1283" t="s">
        <v>1376</v>
      </c>
      <c r="C1283" t="s">
        <v>27</v>
      </c>
      <c r="D1283" t="s">
        <v>2</v>
      </c>
      <c r="E1283" t="s">
        <v>14</v>
      </c>
      <c r="F1283" t="s">
        <v>11</v>
      </c>
      <c r="G1283" t="s">
        <v>74</v>
      </c>
      <c r="H1283">
        <v>2025</v>
      </c>
      <c r="I1283">
        <v>4193</v>
      </c>
      <c r="J1283">
        <v>9.8000000000000007</v>
      </c>
      <c r="K1283" t="s">
        <v>23</v>
      </c>
      <c r="L1283">
        <v>4.9000000000000004</v>
      </c>
      <c r="M1283">
        <v>6.8</v>
      </c>
      <c r="N1283">
        <v>9638</v>
      </c>
      <c r="O1283" t="s">
        <v>118</v>
      </c>
      <c r="P1283">
        <v>74.8</v>
      </c>
      <c r="Q1283" t="s">
        <v>56</v>
      </c>
      <c r="R1283">
        <v>-33.799999999999997</v>
      </c>
      <c r="S1283">
        <v>15.8</v>
      </c>
      <c r="T1283">
        <v>-1.3</v>
      </c>
      <c r="U1283">
        <v>3</v>
      </c>
      <c r="V1283">
        <v>6.6</v>
      </c>
      <c r="W1283">
        <v>6.1</v>
      </c>
      <c r="X1283" t="s">
        <v>116</v>
      </c>
    </row>
    <row r="1284" spans="2:24" x14ac:dyDescent="0.3">
      <c r="B1284" t="s">
        <v>1377</v>
      </c>
      <c r="C1284" t="s">
        <v>90</v>
      </c>
      <c r="D1284" t="s">
        <v>3</v>
      </c>
      <c r="E1284" t="s">
        <v>16</v>
      </c>
      <c r="F1284" t="s">
        <v>10</v>
      </c>
      <c r="G1284" t="s">
        <v>54</v>
      </c>
      <c r="H1284">
        <v>2024</v>
      </c>
      <c r="I1284">
        <v>6683</v>
      </c>
      <c r="J1284">
        <v>7.5</v>
      </c>
      <c r="K1284" t="s">
        <v>25</v>
      </c>
      <c r="L1284">
        <v>9.8000000000000007</v>
      </c>
      <c r="M1284">
        <v>10</v>
      </c>
      <c r="N1284">
        <v>3934</v>
      </c>
      <c r="O1284" t="s">
        <v>55</v>
      </c>
      <c r="P1284">
        <v>51.7</v>
      </c>
      <c r="Q1284" t="s">
        <v>79</v>
      </c>
      <c r="R1284">
        <v>-34.4</v>
      </c>
      <c r="S1284">
        <v>-0.3</v>
      </c>
      <c r="T1284">
        <v>1</v>
      </c>
      <c r="U1284">
        <v>9.9</v>
      </c>
      <c r="V1284">
        <v>7.7</v>
      </c>
      <c r="W1284">
        <v>5.7</v>
      </c>
      <c r="X1284" t="s">
        <v>116</v>
      </c>
    </row>
    <row r="1285" spans="2:24" x14ac:dyDescent="0.3">
      <c r="B1285" t="s">
        <v>1378</v>
      </c>
      <c r="C1285" t="s">
        <v>81</v>
      </c>
      <c r="D1285" t="s">
        <v>5</v>
      </c>
      <c r="E1285" t="s">
        <v>17</v>
      </c>
      <c r="F1285" t="s">
        <v>12</v>
      </c>
      <c r="G1285" t="s">
        <v>98</v>
      </c>
      <c r="H1285">
        <v>2025</v>
      </c>
      <c r="I1285">
        <v>6878</v>
      </c>
      <c r="J1285">
        <v>26.3</v>
      </c>
      <c r="K1285" t="s">
        <v>24</v>
      </c>
      <c r="L1285">
        <v>9.4</v>
      </c>
      <c r="M1285">
        <v>10</v>
      </c>
      <c r="N1285">
        <v>1751</v>
      </c>
      <c r="O1285" t="s">
        <v>75</v>
      </c>
      <c r="P1285">
        <v>30.2</v>
      </c>
      <c r="Q1285" t="s">
        <v>125</v>
      </c>
      <c r="R1285">
        <v>-32.1</v>
      </c>
      <c r="S1285">
        <v>17.399999999999999</v>
      </c>
      <c r="T1285">
        <v>-1.4</v>
      </c>
      <c r="U1285">
        <v>6</v>
      </c>
      <c r="V1285">
        <v>5.5</v>
      </c>
      <c r="W1285">
        <v>3.8</v>
      </c>
      <c r="X1285" t="s">
        <v>66</v>
      </c>
    </row>
    <row r="1286" spans="2:24" x14ac:dyDescent="0.3">
      <c r="B1286" t="s">
        <v>1379</v>
      </c>
      <c r="C1286" t="s">
        <v>159</v>
      </c>
      <c r="D1286" t="s">
        <v>2</v>
      </c>
      <c r="E1286" t="s">
        <v>15</v>
      </c>
      <c r="F1286" t="s">
        <v>11</v>
      </c>
      <c r="G1286" t="s">
        <v>101</v>
      </c>
      <c r="H1286">
        <v>2025</v>
      </c>
      <c r="I1286">
        <v>652</v>
      </c>
      <c r="J1286">
        <v>6.2</v>
      </c>
      <c r="K1286" t="s">
        <v>24</v>
      </c>
      <c r="L1286">
        <v>6.8</v>
      </c>
      <c r="M1286">
        <v>10</v>
      </c>
      <c r="N1286">
        <v>6934</v>
      </c>
      <c r="O1286" t="s">
        <v>118</v>
      </c>
      <c r="P1286">
        <v>18.8</v>
      </c>
      <c r="Q1286" t="s">
        <v>56</v>
      </c>
      <c r="R1286">
        <v>46.6</v>
      </c>
      <c r="S1286">
        <v>-18.8</v>
      </c>
      <c r="T1286">
        <v>1.5</v>
      </c>
      <c r="U1286">
        <v>5.7</v>
      </c>
      <c r="V1286">
        <v>5.2</v>
      </c>
      <c r="W1286">
        <v>5.3</v>
      </c>
      <c r="X1286" t="s">
        <v>57</v>
      </c>
    </row>
    <row r="1287" spans="2:24" x14ac:dyDescent="0.3">
      <c r="B1287" t="s">
        <v>1380</v>
      </c>
      <c r="C1287" t="s">
        <v>106</v>
      </c>
      <c r="D1287" t="s">
        <v>7</v>
      </c>
      <c r="E1287" t="s">
        <v>17</v>
      </c>
      <c r="F1287" t="s">
        <v>12</v>
      </c>
      <c r="G1287" t="s">
        <v>115</v>
      </c>
      <c r="H1287">
        <v>2024</v>
      </c>
      <c r="I1287">
        <v>1110</v>
      </c>
      <c r="J1287">
        <v>4.5999999999999996</v>
      </c>
      <c r="K1287" t="s">
        <v>21</v>
      </c>
      <c r="L1287">
        <v>10.5</v>
      </c>
      <c r="M1287">
        <v>8.8000000000000007</v>
      </c>
      <c r="N1287">
        <v>2482</v>
      </c>
      <c r="O1287" t="s">
        <v>55</v>
      </c>
      <c r="P1287">
        <v>61.6</v>
      </c>
      <c r="Q1287" t="s">
        <v>56</v>
      </c>
      <c r="R1287">
        <v>-0.2</v>
      </c>
      <c r="S1287">
        <v>3.9</v>
      </c>
      <c r="T1287">
        <v>3.3</v>
      </c>
      <c r="U1287">
        <v>8.1999999999999993</v>
      </c>
      <c r="V1287">
        <v>5.4</v>
      </c>
      <c r="W1287">
        <v>6.8</v>
      </c>
      <c r="X1287" t="s">
        <v>57</v>
      </c>
    </row>
    <row r="1288" spans="2:24" x14ac:dyDescent="0.3">
      <c r="B1288" t="s">
        <v>1381</v>
      </c>
      <c r="C1288" t="s">
        <v>53</v>
      </c>
      <c r="D1288" t="s">
        <v>4</v>
      </c>
      <c r="E1288" t="s">
        <v>14</v>
      </c>
      <c r="F1288" t="s">
        <v>11</v>
      </c>
      <c r="G1288" t="s">
        <v>131</v>
      </c>
      <c r="H1288">
        <v>2024</v>
      </c>
      <c r="I1288">
        <v>114</v>
      </c>
      <c r="J1288">
        <v>2.6</v>
      </c>
      <c r="K1288" t="s">
        <v>23</v>
      </c>
      <c r="L1288">
        <v>5.2</v>
      </c>
      <c r="M1288">
        <v>5</v>
      </c>
      <c r="N1288">
        <v>5011</v>
      </c>
      <c r="O1288" t="s">
        <v>55</v>
      </c>
      <c r="P1288">
        <v>20.5</v>
      </c>
      <c r="Q1288" t="s">
        <v>79</v>
      </c>
      <c r="R1288">
        <v>85</v>
      </c>
      <c r="S1288">
        <v>55.2</v>
      </c>
      <c r="T1288">
        <v>17</v>
      </c>
      <c r="U1288">
        <v>5.0999999999999996</v>
      </c>
      <c r="V1288">
        <v>7.4</v>
      </c>
      <c r="W1288">
        <v>9.1999999999999993</v>
      </c>
      <c r="X1288" t="s">
        <v>57</v>
      </c>
    </row>
    <row r="1289" spans="2:24" x14ac:dyDescent="0.3">
      <c r="B1289" t="s">
        <v>1382</v>
      </c>
      <c r="C1289" t="s">
        <v>94</v>
      </c>
      <c r="D1289" t="s">
        <v>6</v>
      </c>
      <c r="E1289" t="s">
        <v>14</v>
      </c>
      <c r="F1289" t="s">
        <v>9</v>
      </c>
      <c r="G1289" t="s">
        <v>131</v>
      </c>
      <c r="H1289">
        <v>2025</v>
      </c>
      <c r="I1289">
        <v>1832</v>
      </c>
      <c r="J1289">
        <v>3.7</v>
      </c>
      <c r="K1289" t="s">
        <v>24</v>
      </c>
      <c r="L1289">
        <v>7.4</v>
      </c>
      <c r="M1289">
        <v>5.4</v>
      </c>
      <c r="N1289">
        <v>1959</v>
      </c>
      <c r="O1289" t="s">
        <v>55</v>
      </c>
      <c r="P1289">
        <v>51.8</v>
      </c>
      <c r="Q1289" t="s">
        <v>76</v>
      </c>
      <c r="R1289">
        <v>42.6</v>
      </c>
      <c r="S1289">
        <v>1.1000000000000001</v>
      </c>
      <c r="T1289">
        <v>4.5999999999999996</v>
      </c>
      <c r="U1289">
        <v>4.9000000000000004</v>
      </c>
      <c r="V1289">
        <v>5.3</v>
      </c>
      <c r="W1289">
        <v>7.4</v>
      </c>
      <c r="X1289" t="s">
        <v>57</v>
      </c>
    </row>
    <row r="1290" spans="2:24" x14ac:dyDescent="0.3">
      <c r="B1290" t="s">
        <v>1383</v>
      </c>
      <c r="C1290" t="s">
        <v>81</v>
      </c>
      <c r="D1290" t="s">
        <v>5</v>
      </c>
      <c r="E1290" t="s">
        <v>17</v>
      </c>
      <c r="F1290" t="s">
        <v>10</v>
      </c>
      <c r="G1290" t="s">
        <v>131</v>
      </c>
      <c r="H1290">
        <v>2024</v>
      </c>
      <c r="I1290">
        <v>1602</v>
      </c>
      <c r="J1290">
        <v>15.3</v>
      </c>
      <c r="K1290" t="s">
        <v>24</v>
      </c>
      <c r="L1290">
        <v>5.6</v>
      </c>
      <c r="M1290">
        <v>8.1</v>
      </c>
      <c r="N1290">
        <v>971</v>
      </c>
      <c r="O1290" t="s">
        <v>64</v>
      </c>
      <c r="P1290">
        <v>27.8</v>
      </c>
      <c r="Q1290" t="s">
        <v>56</v>
      </c>
      <c r="R1290">
        <v>79</v>
      </c>
      <c r="S1290">
        <v>20.100000000000001</v>
      </c>
      <c r="T1290">
        <v>13.9</v>
      </c>
      <c r="U1290">
        <v>3.5</v>
      </c>
      <c r="V1290">
        <v>5.4</v>
      </c>
      <c r="W1290">
        <v>4.5999999999999996</v>
      </c>
      <c r="X1290" t="s">
        <v>116</v>
      </c>
    </row>
    <row r="1291" spans="2:24" x14ac:dyDescent="0.3">
      <c r="B1291" t="s">
        <v>1384</v>
      </c>
      <c r="C1291" t="s">
        <v>73</v>
      </c>
      <c r="D1291" t="s">
        <v>2</v>
      </c>
      <c r="E1291" t="s">
        <v>17</v>
      </c>
      <c r="F1291" t="s">
        <v>11</v>
      </c>
      <c r="G1291" t="s">
        <v>101</v>
      </c>
      <c r="H1291">
        <v>2024</v>
      </c>
      <c r="I1291">
        <v>4046</v>
      </c>
      <c r="J1291">
        <v>20.5</v>
      </c>
      <c r="K1291" t="s">
        <v>23</v>
      </c>
      <c r="L1291">
        <v>5.7</v>
      </c>
      <c r="M1291">
        <v>9.6999999999999993</v>
      </c>
      <c r="N1291">
        <v>4493</v>
      </c>
      <c r="O1291" t="s">
        <v>55</v>
      </c>
      <c r="P1291">
        <v>67.2</v>
      </c>
      <c r="Q1291" t="s">
        <v>76</v>
      </c>
      <c r="R1291">
        <v>79.7</v>
      </c>
      <c r="S1291">
        <v>44.8</v>
      </c>
      <c r="T1291">
        <v>19</v>
      </c>
      <c r="U1291">
        <v>4.9000000000000004</v>
      </c>
      <c r="V1291">
        <v>8.5</v>
      </c>
      <c r="W1291">
        <v>5.9</v>
      </c>
      <c r="X1291" t="s">
        <v>66</v>
      </c>
    </row>
    <row r="1292" spans="2:24" x14ac:dyDescent="0.3">
      <c r="B1292" t="s">
        <v>1385</v>
      </c>
      <c r="C1292" t="s">
        <v>68</v>
      </c>
      <c r="D1292" t="s">
        <v>8</v>
      </c>
      <c r="E1292" t="s">
        <v>18</v>
      </c>
      <c r="F1292" t="s">
        <v>11</v>
      </c>
      <c r="G1292" t="s">
        <v>78</v>
      </c>
      <c r="H1292">
        <v>2025</v>
      </c>
      <c r="I1292">
        <v>6655</v>
      </c>
      <c r="J1292">
        <v>14.6</v>
      </c>
      <c r="K1292" t="s">
        <v>23</v>
      </c>
      <c r="L1292">
        <v>2.1</v>
      </c>
      <c r="M1292">
        <v>5.7</v>
      </c>
      <c r="N1292">
        <v>1136</v>
      </c>
      <c r="O1292" t="s">
        <v>64</v>
      </c>
      <c r="P1292">
        <v>24.1</v>
      </c>
      <c r="Q1292" t="s">
        <v>86</v>
      </c>
      <c r="R1292">
        <v>22.4</v>
      </c>
      <c r="S1292">
        <v>15.2</v>
      </c>
      <c r="T1292">
        <v>9</v>
      </c>
      <c r="U1292">
        <v>1.3</v>
      </c>
      <c r="V1292">
        <v>4.8</v>
      </c>
      <c r="W1292">
        <v>5.8</v>
      </c>
      <c r="X1292" t="s">
        <v>66</v>
      </c>
    </row>
    <row r="1293" spans="2:24" x14ac:dyDescent="0.3">
      <c r="B1293" t="s">
        <v>1386</v>
      </c>
      <c r="C1293" t="s">
        <v>100</v>
      </c>
      <c r="D1293" t="s">
        <v>3</v>
      </c>
      <c r="E1293" t="s">
        <v>18</v>
      </c>
      <c r="F1293" t="s">
        <v>10</v>
      </c>
      <c r="G1293" t="s">
        <v>131</v>
      </c>
      <c r="H1293">
        <v>2025</v>
      </c>
      <c r="I1293">
        <v>11846</v>
      </c>
      <c r="J1293">
        <v>29.8</v>
      </c>
      <c r="K1293" t="s">
        <v>24</v>
      </c>
      <c r="L1293">
        <v>4.0999999999999996</v>
      </c>
      <c r="M1293">
        <v>8.1999999999999993</v>
      </c>
      <c r="N1293">
        <v>1292</v>
      </c>
      <c r="O1293" t="s">
        <v>64</v>
      </c>
      <c r="P1293">
        <v>28.1</v>
      </c>
      <c r="Q1293" t="s">
        <v>76</v>
      </c>
      <c r="R1293">
        <v>-34.5</v>
      </c>
      <c r="S1293">
        <v>24.4</v>
      </c>
      <c r="T1293">
        <v>0.4</v>
      </c>
      <c r="U1293">
        <v>4</v>
      </c>
      <c r="V1293">
        <v>3.6</v>
      </c>
      <c r="W1293">
        <v>4.7</v>
      </c>
      <c r="X1293" t="s">
        <v>66</v>
      </c>
    </row>
    <row r="1294" spans="2:24" x14ac:dyDescent="0.3">
      <c r="B1294" t="s">
        <v>1387</v>
      </c>
      <c r="C1294" t="s">
        <v>106</v>
      </c>
      <c r="D1294" t="s">
        <v>7</v>
      </c>
      <c r="E1294" t="s">
        <v>16</v>
      </c>
      <c r="F1294" t="s">
        <v>10</v>
      </c>
      <c r="G1294" t="s">
        <v>104</v>
      </c>
      <c r="H1294">
        <v>2025</v>
      </c>
      <c r="I1294">
        <v>13690</v>
      </c>
      <c r="J1294">
        <v>29.3</v>
      </c>
      <c r="K1294" t="s">
        <v>24</v>
      </c>
      <c r="L1294">
        <v>6</v>
      </c>
      <c r="M1294">
        <v>10</v>
      </c>
      <c r="N1294">
        <v>374</v>
      </c>
      <c r="O1294" t="s">
        <v>64</v>
      </c>
      <c r="P1294">
        <v>87.1</v>
      </c>
      <c r="Q1294" t="s">
        <v>84</v>
      </c>
      <c r="R1294">
        <v>66.900000000000006</v>
      </c>
      <c r="S1294">
        <v>39</v>
      </c>
      <c r="T1294">
        <v>12.2</v>
      </c>
      <c r="U1294">
        <v>7.2</v>
      </c>
      <c r="V1294">
        <v>3.9</v>
      </c>
      <c r="W1294">
        <v>4.8</v>
      </c>
      <c r="X1294" t="s">
        <v>66</v>
      </c>
    </row>
    <row r="1295" spans="2:24" x14ac:dyDescent="0.3">
      <c r="B1295" t="s">
        <v>1388</v>
      </c>
      <c r="C1295" t="s">
        <v>68</v>
      </c>
      <c r="D1295" t="s">
        <v>8</v>
      </c>
      <c r="E1295" t="s">
        <v>18</v>
      </c>
      <c r="F1295" t="s">
        <v>9</v>
      </c>
      <c r="G1295" t="s">
        <v>74</v>
      </c>
      <c r="H1295">
        <v>2024</v>
      </c>
      <c r="I1295">
        <v>1356</v>
      </c>
      <c r="J1295">
        <v>16.399999999999999</v>
      </c>
      <c r="K1295" t="s">
        <v>24</v>
      </c>
      <c r="L1295">
        <v>7.9</v>
      </c>
      <c r="M1295">
        <v>9.6</v>
      </c>
      <c r="N1295">
        <v>4383</v>
      </c>
      <c r="O1295" t="s">
        <v>64</v>
      </c>
      <c r="P1295">
        <v>70.5</v>
      </c>
      <c r="Q1295" t="s">
        <v>65</v>
      </c>
      <c r="R1295">
        <v>52.4</v>
      </c>
      <c r="S1295">
        <v>22.2</v>
      </c>
      <c r="T1295">
        <v>13.6</v>
      </c>
      <c r="U1295">
        <v>6.5</v>
      </c>
      <c r="V1295">
        <v>5.2</v>
      </c>
      <c r="W1295">
        <v>5.2</v>
      </c>
      <c r="X1295" t="s">
        <v>116</v>
      </c>
    </row>
    <row r="1296" spans="2:24" x14ac:dyDescent="0.3">
      <c r="B1296" t="s">
        <v>1389</v>
      </c>
      <c r="C1296" t="s">
        <v>59</v>
      </c>
      <c r="D1296" t="s">
        <v>4</v>
      </c>
      <c r="E1296" t="s">
        <v>15</v>
      </c>
      <c r="F1296" t="s">
        <v>10</v>
      </c>
      <c r="G1296" t="s">
        <v>101</v>
      </c>
      <c r="H1296">
        <v>2026</v>
      </c>
      <c r="I1296">
        <v>12823</v>
      </c>
      <c r="J1296">
        <v>8.5</v>
      </c>
      <c r="K1296" t="s">
        <v>21</v>
      </c>
      <c r="L1296">
        <v>9</v>
      </c>
      <c r="M1296">
        <v>9.6999999999999993</v>
      </c>
      <c r="N1296">
        <v>1261</v>
      </c>
      <c r="O1296" t="s">
        <v>55</v>
      </c>
      <c r="P1296">
        <v>17.899999999999999</v>
      </c>
      <c r="Q1296" t="s">
        <v>125</v>
      </c>
      <c r="R1296">
        <v>16.7</v>
      </c>
      <c r="S1296">
        <v>-13.3</v>
      </c>
      <c r="T1296">
        <v>-9.6</v>
      </c>
      <c r="U1296">
        <v>6.5</v>
      </c>
      <c r="V1296">
        <v>6.8</v>
      </c>
      <c r="W1296">
        <v>5.4</v>
      </c>
      <c r="X1296" t="s">
        <v>66</v>
      </c>
    </row>
    <row r="1297" spans="2:24" x14ac:dyDescent="0.3">
      <c r="B1297" t="s">
        <v>1390</v>
      </c>
      <c r="C1297" t="s">
        <v>106</v>
      </c>
      <c r="D1297" t="s">
        <v>2</v>
      </c>
      <c r="E1297" t="s">
        <v>14</v>
      </c>
      <c r="F1297" t="s">
        <v>10</v>
      </c>
      <c r="G1297" t="s">
        <v>98</v>
      </c>
      <c r="H1297">
        <v>2025</v>
      </c>
      <c r="I1297">
        <v>1754</v>
      </c>
      <c r="J1297">
        <v>7.6</v>
      </c>
      <c r="K1297" t="s">
        <v>21</v>
      </c>
      <c r="L1297">
        <v>8.4</v>
      </c>
      <c r="M1297">
        <v>10</v>
      </c>
      <c r="N1297">
        <v>8189</v>
      </c>
      <c r="O1297" t="s">
        <v>55</v>
      </c>
      <c r="P1297">
        <v>63.7</v>
      </c>
      <c r="Q1297" t="s">
        <v>56</v>
      </c>
      <c r="R1297">
        <v>-18.100000000000001</v>
      </c>
      <c r="S1297">
        <v>15.9</v>
      </c>
      <c r="T1297">
        <v>10.1</v>
      </c>
      <c r="U1297">
        <v>7.3</v>
      </c>
      <c r="V1297">
        <v>7.3</v>
      </c>
      <c r="W1297">
        <v>5.8</v>
      </c>
      <c r="X1297" t="s">
        <v>57</v>
      </c>
    </row>
    <row r="1298" spans="2:24" x14ac:dyDescent="0.3">
      <c r="B1298" t="s">
        <v>1391</v>
      </c>
      <c r="C1298" t="s">
        <v>106</v>
      </c>
      <c r="D1298" t="s">
        <v>3</v>
      </c>
      <c r="E1298" t="s">
        <v>17</v>
      </c>
      <c r="F1298" t="s">
        <v>9</v>
      </c>
      <c r="G1298" t="s">
        <v>112</v>
      </c>
      <c r="H1298">
        <v>2026</v>
      </c>
      <c r="I1298">
        <v>1963</v>
      </c>
      <c r="J1298">
        <v>7.9</v>
      </c>
      <c r="K1298" t="s">
        <v>24</v>
      </c>
      <c r="L1298">
        <v>6.2</v>
      </c>
      <c r="M1298">
        <v>6.9</v>
      </c>
      <c r="N1298">
        <v>5204</v>
      </c>
      <c r="O1298" t="s">
        <v>55</v>
      </c>
      <c r="P1298">
        <v>68.5</v>
      </c>
      <c r="Q1298" t="s">
        <v>84</v>
      </c>
      <c r="R1298">
        <v>1.3</v>
      </c>
      <c r="S1298">
        <v>23.2</v>
      </c>
      <c r="T1298">
        <v>8.3000000000000007</v>
      </c>
      <c r="U1298">
        <v>6.1</v>
      </c>
      <c r="V1298">
        <v>6.2</v>
      </c>
      <c r="W1298">
        <v>6.4</v>
      </c>
      <c r="X1298" t="s">
        <v>57</v>
      </c>
    </row>
    <row r="1299" spans="2:24" x14ac:dyDescent="0.3">
      <c r="B1299" t="s">
        <v>1392</v>
      </c>
      <c r="C1299" t="s">
        <v>83</v>
      </c>
      <c r="D1299" t="s">
        <v>4</v>
      </c>
      <c r="E1299" t="s">
        <v>14</v>
      </c>
      <c r="F1299" t="s">
        <v>9</v>
      </c>
      <c r="G1299" t="s">
        <v>101</v>
      </c>
      <c r="H1299">
        <v>2024</v>
      </c>
      <c r="I1299">
        <v>1212</v>
      </c>
      <c r="J1299">
        <v>22.4</v>
      </c>
      <c r="K1299" t="s">
        <v>25</v>
      </c>
      <c r="L1299">
        <v>15.7</v>
      </c>
      <c r="M1299">
        <v>10</v>
      </c>
      <c r="N1299">
        <v>1332</v>
      </c>
      <c r="O1299" t="s">
        <v>64</v>
      </c>
      <c r="P1299">
        <v>71.900000000000006</v>
      </c>
      <c r="Q1299" t="s">
        <v>76</v>
      </c>
      <c r="R1299">
        <v>83.2</v>
      </c>
      <c r="S1299">
        <v>-7.9</v>
      </c>
      <c r="T1299">
        <v>-6.2</v>
      </c>
      <c r="U1299">
        <v>9.6</v>
      </c>
      <c r="V1299">
        <v>6.7</v>
      </c>
      <c r="W1299">
        <v>3.4</v>
      </c>
      <c r="X1299" t="s">
        <v>66</v>
      </c>
    </row>
    <row r="1300" spans="2:24" x14ac:dyDescent="0.3">
      <c r="B1300" t="s">
        <v>1393</v>
      </c>
      <c r="C1300" t="s">
        <v>27</v>
      </c>
      <c r="D1300" t="s">
        <v>2</v>
      </c>
      <c r="E1300" t="s">
        <v>16</v>
      </c>
      <c r="F1300" t="s">
        <v>10</v>
      </c>
      <c r="G1300" t="s">
        <v>104</v>
      </c>
      <c r="H1300">
        <v>2026</v>
      </c>
      <c r="I1300">
        <v>2757</v>
      </c>
      <c r="J1300">
        <v>8.6999999999999993</v>
      </c>
      <c r="K1300" t="s">
        <v>22</v>
      </c>
      <c r="L1300">
        <v>14.8</v>
      </c>
      <c r="M1300">
        <v>8.4</v>
      </c>
      <c r="N1300">
        <v>1284</v>
      </c>
      <c r="O1300" t="s">
        <v>64</v>
      </c>
      <c r="P1300">
        <v>64.099999999999994</v>
      </c>
      <c r="Q1300" t="s">
        <v>76</v>
      </c>
      <c r="R1300">
        <v>-1.6</v>
      </c>
      <c r="S1300">
        <v>19.899999999999999</v>
      </c>
      <c r="T1300">
        <v>6.6</v>
      </c>
      <c r="U1300">
        <v>9.5</v>
      </c>
      <c r="V1300">
        <v>6.7</v>
      </c>
      <c r="W1300">
        <v>6</v>
      </c>
      <c r="X1300" t="s">
        <v>66</v>
      </c>
    </row>
    <row r="1301" spans="2:24" x14ac:dyDescent="0.3">
      <c r="B1301" t="s">
        <v>1394</v>
      </c>
      <c r="C1301" t="s">
        <v>142</v>
      </c>
      <c r="D1301" t="s">
        <v>8</v>
      </c>
      <c r="E1301" t="s">
        <v>17</v>
      </c>
      <c r="F1301" t="s">
        <v>11</v>
      </c>
      <c r="G1301" t="s">
        <v>131</v>
      </c>
      <c r="H1301">
        <v>2026</v>
      </c>
      <c r="I1301">
        <v>1428</v>
      </c>
      <c r="J1301">
        <v>9.4</v>
      </c>
      <c r="K1301" t="s">
        <v>23</v>
      </c>
      <c r="L1301">
        <v>10.6</v>
      </c>
      <c r="M1301">
        <v>10</v>
      </c>
      <c r="N1301">
        <v>1757</v>
      </c>
      <c r="O1301" t="s">
        <v>64</v>
      </c>
      <c r="P1301">
        <v>37.6</v>
      </c>
      <c r="Q1301" t="s">
        <v>79</v>
      </c>
      <c r="R1301">
        <v>11.3</v>
      </c>
      <c r="S1301">
        <v>3.7</v>
      </c>
      <c r="T1301">
        <v>6.6</v>
      </c>
      <c r="U1301">
        <v>8</v>
      </c>
      <c r="V1301">
        <v>6</v>
      </c>
      <c r="W1301">
        <v>4.7</v>
      </c>
      <c r="X1301" t="s">
        <v>57</v>
      </c>
    </row>
    <row r="1302" spans="2:24" x14ac:dyDescent="0.3">
      <c r="B1302" t="s">
        <v>1395</v>
      </c>
      <c r="C1302" t="s">
        <v>94</v>
      </c>
      <c r="D1302" t="s">
        <v>6</v>
      </c>
      <c r="E1302" t="s">
        <v>19</v>
      </c>
      <c r="F1302" t="s">
        <v>11</v>
      </c>
      <c r="G1302" t="s">
        <v>98</v>
      </c>
      <c r="H1302">
        <v>2024</v>
      </c>
      <c r="I1302">
        <v>1457</v>
      </c>
      <c r="J1302">
        <v>5.7</v>
      </c>
      <c r="K1302" t="s">
        <v>22</v>
      </c>
      <c r="L1302">
        <v>10.1</v>
      </c>
      <c r="M1302">
        <v>8.1999999999999993</v>
      </c>
      <c r="N1302">
        <v>4003</v>
      </c>
      <c r="O1302" t="s">
        <v>55</v>
      </c>
      <c r="P1302">
        <v>75.599999999999994</v>
      </c>
      <c r="Q1302" t="s">
        <v>88</v>
      </c>
      <c r="R1302">
        <v>-25.3</v>
      </c>
      <c r="S1302">
        <v>53.1</v>
      </c>
      <c r="T1302">
        <v>23.8</v>
      </c>
      <c r="U1302">
        <v>6.2</v>
      </c>
      <c r="V1302">
        <v>7.3</v>
      </c>
      <c r="W1302">
        <v>8.3000000000000007</v>
      </c>
      <c r="X1302" t="s">
        <v>116</v>
      </c>
    </row>
    <row r="1303" spans="2:24" x14ac:dyDescent="0.3">
      <c r="B1303" t="s">
        <v>1396</v>
      </c>
      <c r="C1303" t="s">
        <v>106</v>
      </c>
      <c r="D1303" t="s">
        <v>4</v>
      </c>
      <c r="E1303" t="s">
        <v>19</v>
      </c>
      <c r="F1303" t="s">
        <v>11</v>
      </c>
      <c r="G1303" t="s">
        <v>54</v>
      </c>
      <c r="H1303">
        <v>2026</v>
      </c>
      <c r="I1303">
        <v>774</v>
      </c>
      <c r="J1303">
        <v>3</v>
      </c>
      <c r="K1303" t="s">
        <v>22</v>
      </c>
      <c r="L1303">
        <v>4.9000000000000004</v>
      </c>
      <c r="M1303">
        <v>7.2</v>
      </c>
      <c r="N1303">
        <v>5105</v>
      </c>
      <c r="O1303" t="s">
        <v>118</v>
      </c>
      <c r="P1303">
        <v>12.1</v>
      </c>
      <c r="Q1303" t="s">
        <v>79</v>
      </c>
      <c r="R1303">
        <v>45</v>
      </c>
      <c r="S1303">
        <v>57.4</v>
      </c>
      <c r="T1303">
        <v>33.700000000000003</v>
      </c>
      <c r="U1303">
        <v>7.7</v>
      </c>
      <c r="V1303">
        <v>8.9</v>
      </c>
      <c r="W1303">
        <v>8</v>
      </c>
      <c r="X1303" t="s">
        <v>116</v>
      </c>
    </row>
    <row r="1304" spans="2:24" x14ac:dyDescent="0.3">
      <c r="B1304" t="s">
        <v>1397</v>
      </c>
      <c r="C1304" t="s">
        <v>142</v>
      </c>
      <c r="D1304" t="s">
        <v>8</v>
      </c>
      <c r="E1304" t="s">
        <v>19</v>
      </c>
      <c r="F1304" t="s">
        <v>10</v>
      </c>
      <c r="G1304" t="s">
        <v>60</v>
      </c>
      <c r="H1304">
        <v>2025</v>
      </c>
      <c r="I1304">
        <v>1037</v>
      </c>
      <c r="J1304">
        <v>4.5999999999999996</v>
      </c>
      <c r="K1304" t="s">
        <v>23</v>
      </c>
      <c r="L1304">
        <v>4.0999999999999996</v>
      </c>
      <c r="M1304">
        <v>3.2</v>
      </c>
      <c r="N1304">
        <v>602</v>
      </c>
      <c r="O1304" t="s">
        <v>55</v>
      </c>
      <c r="P1304">
        <v>13.2</v>
      </c>
      <c r="Q1304" t="s">
        <v>76</v>
      </c>
      <c r="R1304">
        <v>-12.9</v>
      </c>
      <c r="S1304">
        <v>49.8</v>
      </c>
      <c r="T1304">
        <v>25.7</v>
      </c>
      <c r="U1304">
        <v>2.9</v>
      </c>
      <c r="V1304">
        <v>8.9</v>
      </c>
      <c r="W1304">
        <v>8.6999999999999993</v>
      </c>
      <c r="X1304" t="s">
        <v>57</v>
      </c>
    </row>
    <row r="1305" spans="2:24" x14ac:dyDescent="0.3">
      <c r="B1305" t="s">
        <v>1398</v>
      </c>
      <c r="C1305" t="s">
        <v>62</v>
      </c>
      <c r="D1305" t="s">
        <v>2</v>
      </c>
      <c r="E1305" t="s">
        <v>14</v>
      </c>
      <c r="F1305" t="s">
        <v>11</v>
      </c>
      <c r="G1305" t="s">
        <v>54</v>
      </c>
      <c r="H1305">
        <v>2026</v>
      </c>
      <c r="I1305">
        <v>545</v>
      </c>
      <c r="J1305">
        <v>0.1</v>
      </c>
      <c r="K1305" t="s">
        <v>22</v>
      </c>
      <c r="L1305">
        <v>10.6</v>
      </c>
      <c r="M1305">
        <v>6.9</v>
      </c>
      <c r="N1305">
        <v>2868</v>
      </c>
      <c r="O1305" t="s">
        <v>55</v>
      </c>
      <c r="P1305">
        <v>70.2</v>
      </c>
      <c r="Q1305" t="s">
        <v>56</v>
      </c>
      <c r="R1305">
        <v>60.1</v>
      </c>
      <c r="S1305">
        <v>14.8</v>
      </c>
      <c r="T1305">
        <v>5.9</v>
      </c>
      <c r="U1305">
        <v>6.9</v>
      </c>
      <c r="V1305">
        <v>5.6</v>
      </c>
      <c r="W1305">
        <v>7.8</v>
      </c>
      <c r="X1305" t="s">
        <v>57</v>
      </c>
    </row>
    <row r="1306" spans="2:24" x14ac:dyDescent="0.3">
      <c r="B1306" t="s">
        <v>1399</v>
      </c>
      <c r="C1306" t="s">
        <v>159</v>
      </c>
      <c r="D1306" t="s">
        <v>2</v>
      </c>
      <c r="E1306" t="s">
        <v>19</v>
      </c>
      <c r="F1306" t="s">
        <v>9</v>
      </c>
      <c r="G1306" t="s">
        <v>54</v>
      </c>
      <c r="H1306">
        <v>2026</v>
      </c>
      <c r="I1306">
        <v>1194</v>
      </c>
      <c r="J1306">
        <v>1.4</v>
      </c>
      <c r="K1306" t="s">
        <v>21</v>
      </c>
      <c r="L1306">
        <v>7.3</v>
      </c>
      <c r="M1306">
        <v>6.6</v>
      </c>
      <c r="N1306">
        <v>8139</v>
      </c>
      <c r="O1306" t="s">
        <v>118</v>
      </c>
      <c r="P1306">
        <v>16.399999999999999</v>
      </c>
      <c r="Q1306" t="s">
        <v>76</v>
      </c>
      <c r="R1306">
        <v>71.400000000000006</v>
      </c>
      <c r="S1306">
        <v>-14.3</v>
      </c>
      <c r="T1306">
        <v>0</v>
      </c>
      <c r="U1306">
        <v>6</v>
      </c>
      <c r="V1306">
        <v>7.3</v>
      </c>
      <c r="W1306">
        <v>6.2</v>
      </c>
      <c r="X1306" t="s">
        <v>57</v>
      </c>
    </row>
    <row r="1307" spans="2:24" x14ac:dyDescent="0.3">
      <c r="B1307" t="s">
        <v>1400</v>
      </c>
      <c r="C1307" t="s">
        <v>90</v>
      </c>
      <c r="D1307" t="s">
        <v>6</v>
      </c>
      <c r="E1307" t="s">
        <v>19</v>
      </c>
      <c r="F1307" t="s">
        <v>10</v>
      </c>
      <c r="G1307" t="s">
        <v>54</v>
      </c>
      <c r="H1307">
        <v>2024</v>
      </c>
      <c r="I1307">
        <v>3682</v>
      </c>
      <c r="J1307">
        <v>14.6</v>
      </c>
      <c r="K1307" t="s">
        <v>22</v>
      </c>
      <c r="L1307">
        <v>1.9</v>
      </c>
      <c r="M1307">
        <v>5.9</v>
      </c>
      <c r="N1307">
        <v>3265</v>
      </c>
      <c r="O1307" t="s">
        <v>64</v>
      </c>
      <c r="P1307">
        <v>50.7</v>
      </c>
      <c r="Q1307" t="s">
        <v>65</v>
      </c>
      <c r="R1307">
        <v>9.6999999999999993</v>
      </c>
      <c r="S1307">
        <v>29.9</v>
      </c>
      <c r="T1307">
        <v>12.8</v>
      </c>
      <c r="U1307">
        <v>2.1</v>
      </c>
      <c r="V1307">
        <v>8.1999999999999993</v>
      </c>
      <c r="W1307">
        <v>7</v>
      </c>
      <c r="X1307" t="s">
        <v>116</v>
      </c>
    </row>
    <row r="1308" spans="2:24" x14ac:dyDescent="0.3">
      <c r="B1308" t="s">
        <v>1401</v>
      </c>
      <c r="C1308" t="s">
        <v>122</v>
      </c>
      <c r="D1308" t="s">
        <v>2</v>
      </c>
      <c r="E1308" t="s">
        <v>15</v>
      </c>
      <c r="F1308" t="s">
        <v>10</v>
      </c>
      <c r="G1308" t="s">
        <v>101</v>
      </c>
      <c r="H1308">
        <v>2024</v>
      </c>
      <c r="I1308">
        <v>13504</v>
      </c>
      <c r="J1308">
        <v>13.6</v>
      </c>
      <c r="K1308" t="s">
        <v>25</v>
      </c>
      <c r="L1308">
        <v>1.2</v>
      </c>
      <c r="M1308">
        <v>4</v>
      </c>
      <c r="N1308">
        <v>1428</v>
      </c>
      <c r="O1308" t="s">
        <v>75</v>
      </c>
      <c r="P1308">
        <v>74.5</v>
      </c>
      <c r="Q1308" t="s">
        <v>56</v>
      </c>
      <c r="R1308">
        <v>21.6</v>
      </c>
      <c r="S1308">
        <v>-5.0999999999999996</v>
      </c>
      <c r="T1308">
        <v>3.9</v>
      </c>
      <c r="U1308">
        <v>1.9</v>
      </c>
      <c r="V1308">
        <v>6.3</v>
      </c>
      <c r="W1308">
        <v>6</v>
      </c>
      <c r="X1308" t="s">
        <v>66</v>
      </c>
    </row>
    <row r="1309" spans="2:24" x14ac:dyDescent="0.3">
      <c r="B1309" t="s">
        <v>1402</v>
      </c>
      <c r="C1309" t="s">
        <v>71</v>
      </c>
      <c r="D1309" t="s">
        <v>5</v>
      </c>
      <c r="E1309" t="s">
        <v>18</v>
      </c>
      <c r="F1309" t="s">
        <v>10</v>
      </c>
      <c r="G1309" t="s">
        <v>74</v>
      </c>
      <c r="H1309">
        <v>2025</v>
      </c>
      <c r="I1309">
        <v>10190</v>
      </c>
      <c r="J1309">
        <v>12.1</v>
      </c>
      <c r="K1309" t="s">
        <v>21</v>
      </c>
      <c r="L1309">
        <v>4.2</v>
      </c>
      <c r="M1309">
        <v>3.5</v>
      </c>
      <c r="N1309">
        <v>1031</v>
      </c>
      <c r="O1309" t="s">
        <v>64</v>
      </c>
      <c r="P1309">
        <v>38.4</v>
      </c>
      <c r="Q1309" t="s">
        <v>65</v>
      </c>
      <c r="R1309">
        <v>44.2</v>
      </c>
      <c r="S1309">
        <v>-19.899999999999999</v>
      </c>
      <c r="T1309">
        <v>-11.6</v>
      </c>
      <c r="U1309">
        <v>2.8</v>
      </c>
      <c r="V1309">
        <v>6.6</v>
      </c>
      <c r="W1309">
        <v>5.8</v>
      </c>
      <c r="X1309" t="s">
        <v>66</v>
      </c>
    </row>
    <row r="1310" spans="2:24" x14ac:dyDescent="0.3">
      <c r="B1310" t="s">
        <v>1403</v>
      </c>
      <c r="C1310" t="s">
        <v>97</v>
      </c>
      <c r="D1310" t="s">
        <v>3</v>
      </c>
      <c r="E1310" t="s">
        <v>16</v>
      </c>
      <c r="F1310" t="s">
        <v>9</v>
      </c>
      <c r="G1310" t="s">
        <v>112</v>
      </c>
      <c r="H1310">
        <v>2025</v>
      </c>
      <c r="I1310">
        <v>4296</v>
      </c>
      <c r="J1310">
        <v>15.9</v>
      </c>
      <c r="K1310" t="s">
        <v>25</v>
      </c>
      <c r="L1310">
        <v>5.0999999999999996</v>
      </c>
      <c r="M1310">
        <v>9.3000000000000007</v>
      </c>
      <c r="N1310">
        <v>1739</v>
      </c>
      <c r="O1310" t="s">
        <v>64</v>
      </c>
      <c r="P1310">
        <v>62.8</v>
      </c>
      <c r="Q1310" t="s">
        <v>88</v>
      </c>
      <c r="R1310">
        <v>79.5</v>
      </c>
      <c r="S1310">
        <v>10</v>
      </c>
      <c r="T1310">
        <v>7.7</v>
      </c>
      <c r="U1310">
        <v>5.0999999999999996</v>
      </c>
      <c r="V1310">
        <v>7.2</v>
      </c>
      <c r="W1310">
        <v>4.4000000000000004</v>
      </c>
      <c r="X1310" t="s">
        <v>116</v>
      </c>
    </row>
    <row r="1311" spans="2:24" x14ac:dyDescent="0.3">
      <c r="B1311" t="s">
        <v>1404</v>
      </c>
      <c r="C1311" t="s">
        <v>53</v>
      </c>
      <c r="D1311" t="s">
        <v>3</v>
      </c>
      <c r="E1311" t="s">
        <v>19</v>
      </c>
      <c r="F1311" t="s">
        <v>12</v>
      </c>
      <c r="G1311" t="s">
        <v>63</v>
      </c>
      <c r="H1311">
        <v>2025</v>
      </c>
      <c r="I1311">
        <v>4267</v>
      </c>
      <c r="J1311">
        <v>20.7</v>
      </c>
      <c r="K1311" t="s">
        <v>22</v>
      </c>
      <c r="L1311">
        <v>3</v>
      </c>
      <c r="M1311">
        <v>6.9</v>
      </c>
      <c r="N1311">
        <v>1679</v>
      </c>
      <c r="O1311" t="s">
        <v>75</v>
      </c>
      <c r="P1311">
        <v>32.1</v>
      </c>
      <c r="Q1311" t="s">
        <v>88</v>
      </c>
      <c r="R1311">
        <v>29.9</v>
      </c>
      <c r="S1311">
        <v>-11.2</v>
      </c>
      <c r="T1311">
        <v>0.2</v>
      </c>
      <c r="U1311">
        <v>3.4</v>
      </c>
      <c r="V1311">
        <v>5.9</v>
      </c>
      <c r="W1311">
        <v>3.3</v>
      </c>
      <c r="X1311" t="s">
        <v>66</v>
      </c>
    </row>
    <row r="1312" spans="2:24" x14ac:dyDescent="0.3">
      <c r="B1312" t="s">
        <v>1405</v>
      </c>
      <c r="C1312" t="s">
        <v>73</v>
      </c>
      <c r="D1312" t="s">
        <v>3</v>
      </c>
      <c r="E1312" t="s">
        <v>14</v>
      </c>
      <c r="F1312" t="s">
        <v>11</v>
      </c>
      <c r="G1312" t="s">
        <v>131</v>
      </c>
      <c r="H1312">
        <v>2026</v>
      </c>
      <c r="I1312">
        <v>2023</v>
      </c>
      <c r="J1312">
        <v>6.1</v>
      </c>
      <c r="K1312" t="s">
        <v>22</v>
      </c>
      <c r="L1312">
        <v>6.2</v>
      </c>
      <c r="M1312">
        <v>4.9000000000000004</v>
      </c>
      <c r="N1312">
        <v>612</v>
      </c>
      <c r="O1312" t="s">
        <v>64</v>
      </c>
      <c r="P1312">
        <v>13.6</v>
      </c>
      <c r="Q1312" t="s">
        <v>56</v>
      </c>
      <c r="R1312">
        <v>84.7</v>
      </c>
      <c r="S1312">
        <v>28.4</v>
      </c>
      <c r="T1312">
        <v>20.6</v>
      </c>
      <c r="U1312">
        <v>3.8</v>
      </c>
      <c r="V1312">
        <v>6.9</v>
      </c>
      <c r="W1312">
        <v>7.2</v>
      </c>
      <c r="X1312" t="s">
        <v>116</v>
      </c>
    </row>
    <row r="1313" spans="2:24" x14ac:dyDescent="0.3">
      <c r="B1313" t="s">
        <v>1406</v>
      </c>
      <c r="C1313" t="s">
        <v>27</v>
      </c>
      <c r="D1313" t="s">
        <v>2</v>
      </c>
      <c r="E1313" t="s">
        <v>18</v>
      </c>
      <c r="F1313" t="s">
        <v>11</v>
      </c>
      <c r="G1313" t="s">
        <v>69</v>
      </c>
      <c r="H1313">
        <v>2024</v>
      </c>
      <c r="I1313">
        <v>10064</v>
      </c>
      <c r="J1313">
        <v>20.2</v>
      </c>
      <c r="K1313" t="s">
        <v>23</v>
      </c>
      <c r="L1313">
        <v>9.1999999999999993</v>
      </c>
      <c r="M1313">
        <v>8.6</v>
      </c>
      <c r="N1313">
        <v>4285</v>
      </c>
      <c r="O1313" t="s">
        <v>55</v>
      </c>
      <c r="P1313">
        <v>34.299999999999997</v>
      </c>
      <c r="Q1313" t="s">
        <v>56</v>
      </c>
      <c r="R1313">
        <v>23.1</v>
      </c>
      <c r="S1313">
        <v>-2.5</v>
      </c>
      <c r="T1313">
        <v>-1.4</v>
      </c>
      <c r="U1313">
        <v>5.5</v>
      </c>
      <c r="V1313">
        <v>4.5</v>
      </c>
      <c r="W1313">
        <v>4.5</v>
      </c>
      <c r="X1313" t="s">
        <v>66</v>
      </c>
    </row>
    <row r="1314" spans="2:24" x14ac:dyDescent="0.3">
      <c r="B1314" t="s">
        <v>1407</v>
      </c>
      <c r="C1314" t="s">
        <v>106</v>
      </c>
      <c r="D1314" t="s">
        <v>3</v>
      </c>
      <c r="E1314" t="s">
        <v>15</v>
      </c>
      <c r="F1314" t="s">
        <v>10</v>
      </c>
      <c r="G1314" t="s">
        <v>69</v>
      </c>
      <c r="H1314">
        <v>2024</v>
      </c>
      <c r="I1314">
        <v>6753</v>
      </c>
      <c r="J1314">
        <v>4.2</v>
      </c>
      <c r="K1314" t="s">
        <v>23</v>
      </c>
      <c r="L1314">
        <v>7.3</v>
      </c>
      <c r="M1314">
        <v>3.1</v>
      </c>
      <c r="N1314">
        <v>4717</v>
      </c>
      <c r="O1314" t="s">
        <v>118</v>
      </c>
      <c r="P1314">
        <v>18.2</v>
      </c>
      <c r="Q1314" t="s">
        <v>86</v>
      </c>
      <c r="R1314">
        <v>35.5</v>
      </c>
      <c r="S1314">
        <v>-16.3</v>
      </c>
      <c r="T1314">
        <v>-6.7</v>
      </c>
      <c r="U1314">
        <v>6.1</v>
      </c>
      <c r="V1314">
        <v>4.5</v>
      </c>
      <c r="W1314">
        <v>6.5</v>
      </c>
      <c r="X1314" t="s">
        <v>116</v>
      </c>
    </row>
    <row r="1315" spans="2:24" x14ac:dyDescent="0.3">
      <c r="B1315" t="s">
        <v>1408</v>
      </c>
      <c r="C1315" t="s">
        <v>137</v>
      </c>
      <c r="D1315" t="s">
        <v>4</v>
      </c>
      <c r="E1315" t="s">
        <v>18</v>
      </c>
      <c r="F1315" t="s">
        <v>12</v>
      </c>
      <c r="G1315" t="s">
        <v>74</v>
      </c>
      <c r="H1315">
        <v>2024</v>
      </c>
      <c r="I1315">
        <v>2030</v>
      </c>
      <c r="J1315">
        <v>2.2000000000000002</v>
      </c>
      <c r="K1315" t="s">
        <v>23</v>
      </c>
      <c r="L1315">
        <v>5</v>
      </c>
      <c r="M1315">
        <v>3.2</v>
      </c>
      <c r="N1315">
        <v>978</v>
      </c>
      <c r="O1315" t="s">
        <v>64</v>
      </c>
      <c r="P1315">
        <v>66.5</v>
      </c>
      <c r="Q1315" t="s">
        <v>76</v>
      </c>
      <c r="R1315">
        <v>17.5</v>
      </c>
      <c r="S1315">
        <v>-13</v>
      </c>
      <c r="T1315">
        <v>-2</v>
      </c>
      <c r="U1315">
        <v>3.5</v>
      </c>
      <c r="V1315">
        <v>5.4</v>
      </c>
      <c r="W1315">
        <v>6.9</v>
      </c>
      <c r="X1315" t="s">
        <v>57</v>
      </c>
    </row>
    <row r="1316" spans="2:24" x14ac:dyDescent="0.3">
      <c r="B1316" t="s">
        <v>1409</v>
      </c>
      <c r="C1316" t="s">
        <v>90</v>
      </c>
      <c r="D1316" t="s">
        <v>3</v>
      </c>
      <c r="E1316" t="s">
        <v>18</v>
      </c>
      <c r="F1316" t="s">
        <v>11</v>
      </c>
      <c r="G1316" t="s">
        <v>112</v>
      </c>
      <c r="H1316">
        <v>2024</v>
      </c>
      <c r="I1316">
        <v>2864</v>
      </c>
      <c r="J1316">
        <v>15.1</v>
      </c>
      <c r="K1316" t="s">
        <v>22</v>
      </c>
      <c r="L1316">
        <v>6.7</v>
      </c>
      <c r="M1316">
        <v>6.7</v>
      </c>
      <c r="N1316">
        <v>1422</v>
      </c>
      <c r="O1316" t="s">
        <v>64</v>
      </c>
      <c r="P1316">
        <v>36.799999999999997</v>
      </c>
      <c r="Q1316" t="s">
        <v>65</v>
      </c>
      <c r="R1316">
        <v>60.6</v>
      </c>
      <c r="S1316">
        <v>24.1</v>
      </c>
      <c r="T1316">
        <v>14.5</v>
      </c>
      <c r="U1316">
        <v>6.6</v>
      </c>
      <c r="V1316">
        <v>6.2</v>
      </c>
      <c r="W1316">
        <v>5.4</v>
      </c>
      <c r="X1316" t="s">
        <v>116</v>
      </c>
    </row>
    <row r="1317" spans="2:24" x14ac:dyDescent="0.3">
      <c r="B1317" t="s">
        <v>1410</v>
      </c>
      <c r="C1317" t="s">
        <v>159</v>
      </c>
      <c r="D1317" t="s">
        <v>7</v>
      </c>
      <c r="E1317" t="s">
        <v>18</v>
      </c>
      <c r="F1317" t="s">
        <v>9</v>
      </c>
      <c r="G1317" t="s">
        <v>104</v>
      </c>
      <c r="H1317">
        <v>2025</v>
      </c>
      <c r="I1317">
        <v>674</v>
      </c>
      <c r="J1317">
        <v>13.3</v>
      </c>
      <c r="K1317" t="s">
        <v>21</v>
      </c>
      <c r="L1317">
        <v>5.2</v>
      </c>
      <c r="M1317">
        <v>3.5</v>
      </c>
      <c r="N1317">
        <v>3496</v>
      </c>
      <c r="O1317" t="s">
        <v>64</v>
      </c>
      <c r="P1317">
        <v>19.2</v>
      </c>
      <c r="Q1317" t="s">
        <v>79</v>
      </c>
      <c r="R1317">
        <v>-17.899999999999999</v>
      </c>
      <c r="S1317">
        <v>-10</v>
      </c>
      <c r="T1317">
        <v>-8.4</v>
      </c>
      <c r="U1317">
        <v>5.2</v>
      </c>
      <c r="V1317">
        <v>6.3</v>
      </c>
      <c r="W1317">
        <v>4.8</v>
      </c>
      <c r="X1317" t="s">
        <v>116</v>
      </c>
    </row>
    <row r="1318" spans="2:24" x14ac:dyDescent="0.3">
      <c r="B1318" t="s">
        <v>1411</v>
      </c>
      <c r="C1318" t="s">
        <v>142</v>
      </c>
      <c r="D1318" t="s">
        <v>8</v>
      </c>
      <c r="E1318" t="s">
        <v>16</v>
      </c>
      <c r="F1318" t="s">
        <v>10</v>
      </c>
      <c r="G1318" t="s">
        <v>115</v>
      </c>
      <c r="H1318">
        <v>2024</v>
      </c>
      <c r="I1318">
        <v>2031</v>
      </c>
      <c r="J1318">
        <v>7.7</v>
      </c>
      <c r="K1318" t="s">
        <v>23</v>
      </c>
      <c r="L1318">
        <v>12.5</v>
      </c>
      <c r="M1318">
        <v>10</v>
      </c>
      <c r="N1318">
        <v>1057</v>
      </c>
      <c r="O1318" t="s">
        <v>55</v>
      </c>
      <c r="P1318">
        <v>45.8</v>
      </c>
      <c r="Q1318" t="s">
        <v>125</v>
      </c>
      <c r="R1318">
        <v>-24.4</v>
      </c>
      <c r="S1318">
        <v>38.299999999999997</v>
      </c>
      <c r="T1318">
        <v>11.1</v>
      </c>
      <c r="U1318">
        <v>8.6999999999999993</v>
      </c>
      <c r="V1318">
        <v>6</v>
      </c>
      <c r="W1318">
        <v>6</v>
      </c>
      <c r="X1318" t="s">
        <v>57</v>
      </c>
    </row>
    <row r="1319" spans="2:24" x14ac:dyDescent="0.3">
      <c r="B1319" t="s">
        <v>1412</v>
      </c>
      <c r="C1319" t="s">
        <v>142</v>
      </c>
      <c r="D1319" t="s">
        <v>8</v>
      </c>
      <c r="E1319" t="s">
        <v>15</v>
      </c>
      <c r="F1319" t="s">
        <v>10</v>
      </c>
      <c r="G1319" t="s">
        <v>104</v>
      </c>
      <c r="H1319">
        <v>2025</v>
      </c>
      <c r="I1319">
        <v>2457</v>
      </c>
      <c r="J1319">
        <v>1.8</v>
      </c>
      <c r="K1319" t="s">
        <v>24</v>
      </c>
      <c r="L1319">
        <v>6</v>
      </c>
      <c r="M1319">
        <v>4.8</v>
      </c>
      <c r="N1319">
        <v>5569</v>
      </c>
      <c r="O1319" t="s">
        <v>55</v>
      </c>
      <c r="P1319">
        <v>47.3</v>
      </c>
      <c r="Q1319" t="s">
        <v>86</v>
      </c>
      <c r="R1319">
        <v>24.9</v>
      </c>
      <c r="S1319">
        <v>17.600000000000001</v>
      </c>
      <c r="T1319">
        <v>8.1</v>
      </c>
      <c r="U1319">
        <v>6.5</v>
      </c>
      <c r="V1319">
        <v>6.7</v>
      </c>
      <c r="W1319">
        <v>7.5</v>
      </c>
      <c r="X1319" t="s">
        <v>57</v>
      </c>
    </row>
    <row r="1320" spans="2:24" x14ac:dyDescent="0.3">
      <c r="B1320" t="s">
        <v>1413</v>
      </c>
      <c r="C1320" t="s">
        <v>97</v>
      </c>
      <c r="D1320" t="s">
        <v>3</v>
      </c>
      <c r="E1320" t="s">
        <v>17</v>
      </c>
      <c r="F1320" t="s">
        <v>10</v>
      </c>
      <c r="G1320" t="s">
        <v>104</v>
      </c>
      <c r="H1320">
        <v>2026</v>
      </c>
      <c r="I1320">
        <v>3747</v>
      </c>
      <c r="J1320">
        <v>8.1999999999999993</v>
      </c>
      <c r="K1320" t="s">
        <v>22</v>
      </c>
      <c r="L1320">
        <v>2</v>
      </c>
      <c r="M1320">
        <v>2.9</v>
      </c>
      <c r="N1320">
        <v>1275</v>
      </c>
      <c r="O1320" t="s">
        <v>64</v>
      </c>
      <c r="P1320">
        <v>19.600000000000001</v>
      </c>
      <c r="Q1320" t="s">
        <v>86</v>
      </c>
      <c r="R1320">
        <v>-10.1</v>
      </c>
      <c r="S1320">
        <v>39.700000000000003</v>
      </c>
      <c r="T1320">
        <v>20.5</v>
      </c>
      <c r="U1320">
        <v>1.5</v>
      </c>
      <c r="V1320">
        <v>7.6</v>
      </c>
      <c r="W1320">
        <v>7.6</v>
      </c>
      <c r="X1320" t="s">
        <v>116</v>
      </c>
    </row>
    <row r="1321" spans="2:24" x14ac:dyDescent="0.3">
      <c r="B1321" t="s">
        <v>1414</v>
      </c>
      <c r="C1321" t="s">
        <v>92</v>
      </c>
      <c r="D1321" t="s">
        <v>7</v>
      </c>
      <c r="E1321" t="s">
        <v>18</v>
      </c>
      <c r="F1321" t="s">
        <v>12</v>
      </c>
      <c r="G1321" t="s">
        <v>78</v>
      </c>
      <c r="H1321">
        <v>2024</v>
      </c>
      <c r="I1321">
        <v>14474</v>
      </c>
      <c r="J1321">
        <v>34.9</v>
      </c>
      <c r="K1321" t="s">
        <v>23</v>
      </c>
      <c r="L1321">
        <v>3.9</v>
      </c>
      <c r="M1321">
        <v>10</v>
      </c>
      <c r="N1321">
        <v>140</v>
      </c>
      <c r="O1321" t="s">
        <v>75</v>
      </c>
      <c r="P1321">
        <v>47.4</v>
      </c>
      <c r="Q1321" t="s">
        <v>86</v>
      </c>
      <c r="R1321">
        <v>55.3</v>
      </c>
      <c r="S1321">
        <v>-4.0999999999999996</v>
      </c>
      <c r="T1321">
        <v>-11.1</v>
      </c>
      <c r="U1321">
        <v>3.9</v>
      </c>
      <c r="V1321">
        <v>4.2</v>
      </c>
      <c r="W1321">
        <v>3</v>
      </c>
      <c r="X1321" t="s">
        <v>66</v>
      </c>
    </row>
    <row r="1322" spans="2:24" x14ac:dyDescent="0.3">
      <c r="B1322" t="s">
        <v>1415</v>
      </c>
      <c r="C1322" t="s">
        <v>100</v>
      </c>
      <c r="D1322" t="s">
        <v>3</v>
      </c>
      <c r="E1322" t="s">
        <v>17</v>
      </c>
      <c r="F1322" t="s">
        <v>9</v>
      </c>
      <c r="G1322" t="s">
        <v>115</v>
      </c>
      <c r="H1322">
        <v>2025</v>
      </c>
      <c r="I1322">
        <v>99</v>
      </c>
      <c r="J1322">
        <v>9.9</v>
      </c>
      <c r="K1322" t="s">
        <v>24</v>
      </c>
      <c r="L1322">
        <v>12.3</v>
      </c>
      <c r="M1322">
        <v>10</v>
      </c>
      <c r="N1322">
        <v>5450</v>
      </c>
      <c r="O1322" t="s">
        <v>55</v>
      </c>
      <c r="P1322">
        <v>16.8</v>
      </c>
      <c r="Q1322" t="s">
        <v>76</v>
      </c>
      <c r="R1322">
        <v>41</v>
      </c>
      <c r="S1322">
        <v>2.8</v>
      </c>
      <c r="T1322">
        <v>-3.3</v>
      </c>
      <c r="U1322">
        <v>8</v>
      </c>
      <c r="V1322">
        <v>6.7</v>
      </c>
      <c r="W1322">
        <v>5.5</v>
      </c>
      <c r="X1322" t="s">
        <v>57</v>
      </c>
    </row>
    <row r="1323" spans="2:24" x14ac:dyDescent="0.3">
      <c r="B1323" t="s">
        <v>1416</v>
      </c>
      <c r="C1323" t="s">
        <v>53</v>
      </c>
      <c r="D1323" t="s">
        <v>3</v>
      </c>
      <c r="E1323" t="s">
        <v>19</v>
      </c>
      <c r="F1323" t="s">
        <v>9</v>
      </c>
      <c r="G1323" t="s">
        <v>115</v>
      </c>
      <c r="H1323">
        <v>2025</v>
      </c>
      <c r="I1323">
        <v>19860</v>
      </c>
      <c r="J1323">
        <v>17.100000000000001</v>
      </c>
      <c r="K1323" t="s">
        <v>25</v>
      </c>
      <c r="L1323">
        <v>3.6</v>
      </c>
      <c r="M1323">
        <v>7.3</v>
      </c>
      <c r="N1323">
        <v>793</v>
      </c>
      <c r="O1323" t="s">
        <v>64</v>
      </c>
      <c r="P1323">
        <v>34.5</v>
      </c>
      <c r="Q1323" t="s">
        <v>65</v>
      </c>
      <c r="R1323">
        <v>-4.9000000000000004</v>
      </c>
      <c r="S1323">
        <v>-7.1</v>
      </c>
      <c r="T1323">
        <v>-1.8</v>
      </c>
      <c r="U1323">
        <v>3.7</v>
      </c>
      <c r="V1323">
        <v>5.9</v>
      </c>
      <c r="W1323">
        <v>4.0999999999999996</v>
      </c>
      <c r="X1323" t="s">
        <v>66</v>
      </c>
    </row>
    <row r="1324" spans="2:24" x14ac:dyDescent="0.3">
      <c r="B1324" t="s">
        <v>1417</v>
      </c>
      <c r="C1324" t="s">
        <v>139</v>
      </c>
      <c r="D1324" t="s">
        <v>8</v>
      </c>
      <c r="E1324" t="s">
        <v>15</v>
      </c>
      <c r="F1324" t="s">
        <v>11</v>
      </c>
      <c r="G1324" t="s">
        <v>78</v>
      </c>
      <c r="H1324">
        <v>2025</v>
      </c>
      <c r="I1324">
        <v>4340</v>
      </c>
      <c r="J1324">
        <v>20.5</v>
      </c>
      <c r="K1324" t="s">
        <v>24</v>
      </c>
      <c r="L1324">
        <v>5</v>
      </c>
      <c r="M1324">
        <v>10</v>
      </c>
      <c r="N1324">
        <v>989</v>
      </c>
      <c r="O1324" t="s">
        <v>64</v>
      </c>
      <c r="P1324">
        <v>33.6</v>
      </c>
      <c r="Q1324" t="s">
        <v>88</v>
      </c>
      <c r="R1324">
        <v>-28.2</v>
      </c>
      <c r="S1324">
        <v>37.799999999999997</v>
      </c>
      <c r="T1324">
        <v>9.3000000000000007</v>
      </c>
      <c r="U1324">
        <v>5.8</v>
      </c>
      <c r="V1324">
        <v>6.8</v>
      </c>
      <c r="W1324">
        <v>5.6</v>
      </c>
      <c r="X1324" t="s">
        <v>66</v>
      </c>
    </row>
    <row r="1325" spans="2:24" x14ac:dyDescent="0.3">
      <c r="B1325" t="s">
        <v>1418</v>
      </c>
      <c r="C1325" t="s">
        <v>142</v>
      </c>
      <c r="D1325" t="s">
        <v>8</v>
      </c>
      <c r="E1325" t="s">
        <v>16</v>
      </c>
      <c r="F1325" t="s">
        <v>9</v>
      </c>
      <c r="G1325" t="s">
        <v>74</v>
      </c>
      <c r="H1325">
        <v>2026</v>
      </c>
      <c r="I1325">
        <v>8662</v>
      </c>
      <c r="J1325">
        <v>17</v>
      </c>
      <c r="K1325" t="s">
        <v>21</v>
      </c>
      <c r="L1325">
        <v>3.2</v>
      </c>
      <c r="M1325">
        <v>8</v>
      </c>
      <c r="N1325">
        <v>1439</v>
      </c>
      <c r="O1325" t="s">
        <v>64</v>
      </c>
      <c r="P1325">
        <v>49.4</v>
      </c>
      <c r="Q1325" t="s">
        <v>88</v>
      </c>
      <c r="R1325">
        <v>0.6</v>
      </c>
      <c r="S1325">
        <v>31</v>
      </c>
      <c r="T1325">
        <v>10.6</v>
      </c>
      <c r="U1325">
        <v>2.7</v>
      </c>
      <c r="V1325">
        <v>5.3</v>
      </c>
      <c r="W1325">
        <v>6</v>
      </c>
      <c r="X1325" t="s">
        <v>66</v>
      </c>
    </row>
    <row r="1326" spans="2:24" x14ac:dyDescent="0.3">
      <c r="B1326" t="s">
        <v>1419</v>
      </c>
      <c r="C1326" t="s">
        <v>100</v>
      </c>
      <c r="D1326" t="s">
        <v>3</v>
      </c>
      <c r="E1326" t="s">
        <v>17</v>
      </c>
      <c r="F1326" t="s">
        <v>11</v>
      </c>
      <c r="G1326" t="s">
        <v>98</v>
      </c>
      <c r="H1326">
        <v>2026</v>
      </c>
      <c r="I1326">
        <v>5954</v>
      </c>
      <c r="J1326">
        <v>15.8</v>
      </c>
      <c r="K1326" t="s">
        <v>21</v>
      </c>
      <c r="L1326">
        <v>7</v>
      </c>
      <c r="M1326">
        <v>7.4</v>
      </c>
      <c r="N1326">
        <v>270</v>
      </c>
      <c r="O1326" t="s">
        <v>64</v>
      </c>
      <c r="P1326">
        <v>49.7</v>
      </c>
      <c r="Q1326" t="s">
        <v>56</v>
      </c>
      <c r="R1326">
        <v>55.1</v>
      </c>
      <c r="S1326">
        <v>48.8</v>
      </c>
      <c r="T1326">
        <v>21.5</v>
      </c>
      <c r="U1326">
        <v>4.0999999999999996</v>
      </c>
      <c r="V1326">
        <v>7</v>
      </c>
      <c r="W1326">
        <v>7.2</v>
      </c>
      <c r="X1326" t="s">
        <v>116</v>
      </c>
    </row>
    <row r="1327" spans="2:24" x14ac:dyDescent="0.3">
      <c r="B1327" t="s">
        <v>1420</v>
      </c>
      <c r="C1327" t="s">
        <v>137</v>
      </c>
      <c r="D1327" t="s">
        <v>4</v>
      </c>
      <c r="E1327" t="s">
        <v>18</v>
      </c>
      <c r="F1327" t="s">
        <v>11</v>
      </c>
      <c r="G1327" t="s">
        <v>78</v>
      </c>
      <c r="H1327">
        <v>2024</v>
      </c>
      <c r="I1327">
        <v>5028</v>
      </c>
      <c r="J1327">
        <v>16.7</v>
      </c>
      <c r="K1327" t="s">
        <v>22</v>
      </c>
      <c r="L1327">
        <v>9.6</v>
      </c>
      <c r="M1327">
        <v>10</v>
      </c>
      <c r="N1327">
        <v>3997</v>
      </c>
      <c r="O1327" t="s">
        <v>64</v>
      </c>
      <c r="P1327">
        <v>38.799999999999997</v>
      </c>
      <c r="Q1327" t="s">
        <v>79</v>
      </c>
      <c r="R1327">
        <v>28.1</v>
      </c>
      <c r="S1327">
        <v>45.5</v>
      </c>
      <c r="T1327">
        <v>13.1</v>
      </c>
      <c r="U1327">
        <v>8.1999999999999993</v>
      </c>
      <c r="V1327">
        <v>8.6999999999999993</v>
      </c>
      <c r="W1327">
        <v>5.5</v>
      </c>
      <c r="X1327" t="s">
        <v>116</v>
      </c>
    </row>
    <row r="1328" spans="2:24" x14ac:dyDescent="0.3">
      <c r="B1328" t="s">
        <v>1421</v>
      </c>
      <c r="C1328" t="s">
        <v>27</v>
      </c>
      <c r="D1328" t="s">
        <v>2</v>
      </c>
      <c r="E1328" t="s">
        <v>16</v>
      </c>
      <c r="F1328" t="s">
        <v>11</v>
      </c>
      <c r="G1328" t="s">
        <v>98</v>
      </c>
      <c r="H1328">
        <v>2024</v>
      </c>
      <c r="I1328">
        <v>963</v>
      </c>
      <c r="J1328">
        <v>14</v>
      </c>
      <c r="K1328" t="s">
        <v>25</v>
      </c>
      <c r="L1328">
        <v>8.5</v>
      </c>
      <c r="M1328">
        <v>7.4</v>
      </c>
      <c r="N1328">
        <v>6734</v>
      </c>
      <c r="O1328" t="s">
        <v>55</v>
      </c>
      <c r="P1328">
        <v>71.2</v>
      </c>
      <c r="Q1328" t="s">
        <v>76</v>
      </c>
      <c r="R1328">
        <v>46.9</v>
      </c>
      <c r="S1328">
        <v>10.7</v>
      </c>
      <c r="T1328">
        <v>-6.2</v>
      </c>
      <c r="U1328">
        <v>5.7</v>
      </c>
      <c r="V1328">
        <v>7.2</v>
      </c>
      <c r="W1328">
        <v>6.3</v>
      </c>
      <c r="X1328" t="s">
        <v>116</v>
      </c>
    </row>
    <row r="1329" spans="2:24" x14ac:dyDescent="0.3">
      <c r="B1329" t="s">
        <v>1422</v>
      </c>
      <c r="C1329" t="s">
        <v>100</v>
      </c>
      <c r="D1329" t="s">
        <v>3</v>
      </c>
      <c r="E1329" t="s">
        <v>16</v>
      </c>
      <c r="F1329" t="s">
        <v>11</v>
      </c>
      <c r="G1329" t="s">
        <v>115</v>
      </c>
      <c r="H1329">
        <v>2024</v>
      </c>
      <c r="I1329">
        <v>1118</v>
      </c>
      <c r="J1329">
        <v>5.3</v>
      </c>
      <c r="K1329" t="s">
        <v>22</v>
      </c>
      <c r="L1329">
        <v>7.6</v>
      </c>
      <c r="M1329">
        <v>8.8000000000000007</v>
      </c>
      <c r="N1329">
        <v>5727</v>
      </c>
      <c r="O1329" t="s">
        <v>55</v>
      </c>
      <c r="P1329">
        <v>10.8</v>
      </c>
      <c r="Q1329" t="s">
        <v>84</v>
      </c>
      <c r="R1329">
        <v>-16.7</v>
      </c>
      <c r="S1329">
        <v>26.4</v>
      </c>
      <c r="T1329">
        <v>13.2</v>
      </c>
      <c r="U1329">
        <v>5.6</v>
      </c>
      <c r="V1329">
        <v>9.1999999999999993</v>
      </c>
      <c r="W1329">
        <v>5.9</v>
      </c>
      <c r="X1329" t="s">
        <v>57</v>
      </c>
    </row>
    <row r="1330" spans="2:24" x14ac:dyDescent="0.3">
      <c r="B1330" t="s">
        <v>1423</v>
      </c>
      <c r="C1330" t="s">
        <v>53</v>
      </c>
      <c r="D1330" t="s">
        <v>2</v>
      </c>
      <c r="E1330" t="s">
        <v>19</v>
      </c>
      <c r="F1330" t="s">
        <v>10</v>
      </c>
      <c r="G1330" t="s">
        <v>54</v>
      </c>
      <c r="H1330">
        <v>2026</v>
      </c>
      <c r="I1330">
        <v>9000</v>
      </c>
      <c r="J1330">
        <v>13.1</v>
      </c>
      <c r="K1330" t="s">
        <v>23</v>
      </c>
      <c r="L1330">
        <v>1.6</v>
      </c>
      <c r="M1330">
        <v>3.7</v>
      </c>
      <c r="N1330">
        <v>4884</v>
      </c>
      <c r="O1330" t="s">
        <v>64</v>
      </c>
      <c r="P1330">
        <v>70.599999999999994</v>
      </c>
      <c r="Q1330" t="s">
        <v>56</v>
      </c>
      <c r="R1330">
        <v>66.400000000000006</v>
      </c>
      <c r="S1330">
        <v>36.200000000000003</v>
      </c>
      <c r="T1330">
        <v>12.3</v>
      </c>
      <c r="U1330">
        <v>1.5</v>
      </c>
      <c r="V1330">
        <v>5.9</v>
      </c>
      <c r="W1330">
        <v>6.2</v>
      </c>
      <c r="X1330" t="s">
        <v>66</v>
      </c>
    </row>
    <row r="1331" spans="2:24" x14ac:dyDescent="0.3">
      <c r="B1331" t="s">
        <v>1424</v>
      </c>
      <c r="C1331" t="s">
        <v>73</v>
      </c>
      <c r="D1331" t="s">
        <v>3</v>
      </c>
      <c r="E1331" t="s">
        <v>19</v>
      </c>
      <c r="F1331" t="s">
        <v>12</v>
      </c>
      <c r="G1331" t="s">
        <v>69</v>
      </c>
      <c r="H1331">
        <v>2026</v>
      </c>
      <c r="I1331">
        <v>5091</v>
      </c>
      <c r="J1331">
        <v>24.4</v>
      </c>
      <c r="K1331" t="s">
        <v>22</v>
      </c>
      <c r="L1331">
        <v>9.5</v>
      </c>
      <c r="M1331">
        <v>10</v>
      </c>
      <c r="N1331">
        <v>1613</v>
      </c>
      <c r="O1331" t="s">
        <v>64</v>
      </c>
      <c r="P1331">
        <v>72.8</v>
      </c>
      <c r="Q1331" t="s">
        <v>88</v>
      </c>
      <c r="R1331">
        <v>-41.1</v>
      </c>
      <c r="S1331">
        <v>6.8</v>
      </c>
      <c r="T1331">
        <v>-2.5</v>
      </c>
      <c r="U1331">
        <v>6.8</v>
      </c>
      <c r="V1331">
        <v>6.5</v>
      </c>
      <c r="W1331">
        <v>2.8</v>
      </c>
      <c r="X1331" t="s">
        <v>66</v>
      </c>
    </row>
    <row r="1332" spans="2:24" x14ac:dyDescent="0.3">
      <c r="B1332" t="s">
        <v>1425</v>
      </c>
      <c r="C1332" t="s">
        <v>106</v>
      </c>
      <c r="D1332" t="s">
        <v>3</v>
      </c>
      <c r="E1332" t="s">
        <v>16</v>
      </c>
      <c r="F1332" t="s">
        <v>10</v>
      </c>
      <c r="G1332" t="s">
        <v>69</v>
      </c>
      <c r="H1332">
        <v>2024</v>
      </c>
      <c r="I1332">
        <v>2978</v>
      </c>
      <c r="J1332">
        <v>12.7</v>
      </c>
      <c r="K1332" t="s">
        <v>22</v>
      </c>
      <c r="L1332">
        <v>1.4</v>
      </c>
      <c r="M1332">
        <v>5.6</v>
      </c>
      <c r="N1332">
        <v>456</v>
      </c>
      <c r="O1332" t="s">
        <v>75</v>
      </c>
      <c r="P1332">
        <v>23.6</v>
      </c>
      <c r="Q1332" t="s">
        <v>88</v>
      </c>
      <c r="R1332">
        <v>8.8000000000000007</v>
      </c>
      <c r="S1332">
        <v>19.399999999999999</v>
      </c>
      <c r="T1332">
        <v>0.6</v>
      </c>
      <c r="U1332">
        <v>1.9</v>
      </c>
      <c r="V1332">
        <v>6.5</v>
      </c>
      <c r="W1332">
        <v>5.9</v>
      </c>
      <c r="X1332" t="s">
        <v>66</v>
      </c>
    </row>
    <row r="1333" spans="2:24" x14ac:dyDescent="0.3">
      <c r="B1333" t="s">
        <v>1426</v>
      </c>
      <c r="C1333" t="s">
        <v>106</v>
      </c>
      <c r="D1333" t="s">
        <v>3</v>
      </c>
      <c r="E1333" t="s">
        <v>17</v>
      </c>
      <c r="F1333" t="s">
        <v>12</v>
      </c>
      <c r="G1333" t="s">
        <v>74</v>
      </c>
      <c r="H1333">
        <v>2025</v>
      </c>
      <c r="I1333">
        <v>977</v>
      </c>
      <c r="J1333">
        <v>1.1000000000000001</v>
      </c>
      <c r="K1333" t="s">
        <v>23</v>
      </c>
      <c r="L1333">
        <v>11.5</v>
      </c>
      <c r="M1333">
        <v>10</v>
      </c>
      <c r="N1333">
        <v>3279</v>
      </c>
      <c r="O1333" t="s">
        <v>55</v>
      </c>
      <c r="P1333">
        <v>33.4</v>
      </c>
      <c r="Q1333" t="s">
        <v>84</v>
      </c>
      <c r="R1333">
        <v>67.8</v>
      </c>
      <c r="S1333">
        <v>30.4</v>
      </c>
      <c r="T1333">
        <v>13.6</v>
      </c>
      <c r="U1333">
        <v>7.7</v>
      </c>
      <c r="V1333">
        <v>7.5</v>
      </c>
      <c r="W1333">
        <v>7.5</v>
      </c>
      <c r="X1333" t="s">
        <v>57</v>
      </c>
    </row>
    <row r="1334" spans="2:24" x14ac:dyDescent="0.3">
      <c r="B1334" t="s">
        <v>1427</v>
      </c>
      <c r="C1334" t="s">
        <v>159</v>
      </c>
      <c r="D1334" t="s">
        <v>7</v>
      </c>
      <c r="E1334" t="s">
        <v>16</v>
      </c>
      <c r="F1334" t="s">
        <v>12</v>
      </c>
      <c r="G1334" t="s">
        <v>104</v>
      </c>
      <c r="H1334">
        <v>2026</v>
      </c>
      <c r="I1334">
        <v>2766</v>
      </c>
      <c r="J1334">
        <v>13.7</v>
      </c>
      <c r="K1334" t="s">
        <v>22</v>
      </c>
      <c r="L1334">
        <v>7.9</v>
      </c>
      <c r="M1334">
        <v>8.3000000000000007</v>
      </c>
      <c r="N1334">
        <v>3666</v>
      </c>
      <c r="O1334" t="s">
        <v>64</v>
      </c>
      <c r="P1334">
        <v>60.4</v>
      </c>
      <c r="Q1334" t="s">
        <v>84</v>
      </c>
      <c r="R1334">
        <v>-34.1</v>
      </c>
      <c r="S1334">
        <v>35.5</v>
      </c>
      <c r="T1334">
        <v>7.3</v>
      </c>
      <c r="U1334">
        <v>7</v>
      </c>
      <c r="V1334">
        <v>8.6999999999999993</v>
      </c>
      <c r="W1334">
        <v>7</v>
      </c>
      <c r="X1334" t="s">
        <v>116</v>
      </c>
    </row>
    <row r="1335" spans="2:24" x14ac:dyDescent="0.3">
      <c r="B1335" t="s">
        <v>1428</v>
      </c>
      <c r="C1335" t="s">
        <v>100</v>
      </c>
      <c r="D1335" t="s">
        <v>3</v>
      </c>
      <c r="E1335" t="s">
        <v>16</v>
      </c>
      <c r="F1335" t="s">
        <v>11</v>
      </c>
      <c r="G1335" t="s">
        <v>115</v>
      </c>
      <c r="H1335">
        <v>2024</v>
      </c>
      <c r="I1335">
        <v>2017</v>
      </c>
      <c r="J1335">
        <v>0.5</v>
      </c>
      <c r="K1335" t="s">
        <v>25</v>
      </c>
      <c r="L1335">
        <v>3.7</v>
      </c>
      <c r="M1335">
        <v>7.5</v>
      </c>
      <c r="N1335">
        <v>4284</v>
      </c>
      <c r="O1335" t="s">
        <v>55</v>
      </c>
      <c r="P1335">
        <v>78.599999999999994</v>
      </c>
      <c r="Q1335" t="s">
        <v>88</v>
      </c>
      <c r="R1335">
        <v>82.2</v>
      </c>
      <c r="S1335">
        <v>1.1000000000000001</v>
      </c>
      <c r="T1335">
        <v>10.7</v>
      </c>
      <c r="U1335">
        <v>6.1</v>
      </c>
      <c r="V1335">
        <v>7.6</v>
      </c>
      <c r="W1335">
        <v>7.1</v>
      </c>
      <c r="X1335" t="s">
        <v>57</v>
      </c>
    </row>
    <row r="1336" spans="2:24" x14ac:dyDescent="0.3">
      <c r="B1336" t="s">
        <v>1429</v>
      </c>
      <c r="C1336" t="s">
        <v>94</v>
      </c>
      <c r="D1336" t="s">
        <v>6</v>
      </c>
      <c r="E1336" t="s">
        <v>18</v>
      </c>
      <c r="F1336" t="s">
        <v>9</v>
      </c>
      <c r="G1336" t="s">
        <v>131</v>
      </c>
      <c r="H1336">
        <v>2025</v>
      </c>
      <c r="I1336">
        <v>5410</v>
      </c>
      <c r="J1336">
        <v>3.3</v>
      </c>
      <c r="K1336" t="s">
        <v>21</v>
      </c>
      <c r="L1336">
        <v>2.4</v>
      </c>
      <c r="M1336">
        <v>3.5</v>
      </c>
      <c r="N1336">
        <v>2880</v>
      </c>
      <c r="O1336" t="s">
        <v>55</v>
      </c>
      <c r="P1336">
        <v>64.3</v>
      </c>
      <c r="Q1336" t="s">
        <v>125</v>
      </c>
      <c r="R1336">
        <v>37.9</v>
      </c>
      <c r="S1336">
        <v>0.8</v>
      </c>
      <c r="T1336">
        <v>4.4000000000000004</v>
      </c>
      <c r="U1336">
        <v>4</v>
      </c>
      <c r="V1336">
        <v>5.4</v>
      </c>
      <c r="W1336">
        <v>7.3</v>
      </c>
      <c r="X1336" t="s">
        <v>116</v>
      </c>
    </row>
    <row r="1337" spans="2:24" x14ac:dyDescent="0.3">
      <c r="B1337" t="s">
        <v>1430</v>
      </c>
      <c r="C1337" t="s">
        <v>137</v>
      </c>
      <c r="D1337" t="s">
        <v>3</v>
      </c>
      <c r="E1337" t="s">
        <v>14</v>
      </c>
      <c r="F1337" t="s">
        <v>10</v>
      </c>
      <c r="G1337" t="s">
        <v>54</v>
      </c>
      <c r="H1337">
        <v>2026</v>
      </c>
      <c r="I1337">
        <v>3909</v>
      </c>
      <c r="J1337">
        <v>17.5</v>
      </c>
      <c r="K1337" t="s">
        <v>23</v>
      </c>
      <c r="L1337">
        <v>10.9</v>
      </c>
      <c r="M1337">
        <v>10</v>
      </c>
      <c r="N1337">
        <v>4553</v>
      </c>
      <c r="O1337" t="s">
        <v>55</v>
      </c>
      <c r="P1337">
        <v>20</v>
      </c>
      <c r="Q1337" t="s">
        <v>88</v>
      </c>
      <c r="R1337">
        <v>6.2</v>
      </c>
      <c r="S1337">
        <v>36</v>
      </c>
      <c r="T1337">
        <v>9.3000000000000007</v>
      </c>
      <c r="U1337">
        <v>9.4</v>
      </c>
      <c r="V1337">
        <v>6.1</v>
      </c>
      <c r="W1337">
        <v>6.1</v>
      </c>
      <c r="X1337" t="s">
        <v>116</v>
      </c>
    </row>
    <row r="1338" spans="2:24" x14ac:dyDescent="0.3">
      <c r="B1338" t="s">
        <v>1431</v>
      </c>
      <c r="C1338" t="s">
        <v>94</v>
      </c>
      <c r="D1338" t="s">
        <v>6</v>
      </c>
      <c r="E1338" t="s">
        <v>18</v>
      </c>
      <c r="F1338" t="s">
        <v>9</v>
      </c>
      <c r="G1338" t="s">
        <v>98</v>
      </c>
      <c r="H1338">
        <v>2024</v>
      </c>
      <c r="I1338">
        <v>993</v>
      </c>
      <c r="J1338">
        <v>4.5</v>
      </c>
      <c r="K1338" t="s">
        <v>25</v>
      </c>
      <c r="L1338">
        <v>5.0999999999999996</v>
      </c>
      <c r="M1338">
        <v>6.3</v>
      </c>
      <c r="N1338">
        <v>807</v>
      </c>
      <c r="O1338" t="s">
        <v>55</v>
      </c>
      <c r="P1338">
        <v>34</v>
      </c>
      <c r="Q1338" t="s">
        <v>125</v>
      </c>
      <c r="R1338">
        <v>22.9</v>
      </c>
      <c r="S1338">
        <v>-11</v>
      </c>
      <c r="T1338">
        <v>-4.9000000000000004</v>
      </c>
      <c r="U1338">
        <v>4.8</v>
      </c>
      <c r="V1338">
        <v>7</v>
      </c>
      <c r="W1338">
        <v>6.7</v>
      </c>
      <c r="X1338" t="s">
        <v>57</v>
      </c>
    </row>
    <row r="1339" spans="2:24" x14ac:dyDescent="0.3">
      <c r="B1339" t="s">
        <v>1432</v>
      </c>
      <c r="C1339" t="s">
        <v>53</v>
      </c>
      <c r="D1339" t="s">
        <v>7</v>
      </c>
      <c r="E1339" t="s">
        <v>17</v>
      </c>
      <c r="F1339" t="s">
        <v>10</v>
      </c>
      <c r="G1339" t="s">
        <v>104</v>
      </c>
      <c r="H1339">
        <v>2024</v>
      </c>
      <c r="I1339">
        <v>14363</v>
      </c>
      <c r="J1339">
        <v>29.2</v>
      </c>
      <c r="K1339" t="s">
        <v>21</v>
      </c>
      <c r="L1339">
        <v>2</v>
      </c>
      <c r="M1339">
        <v>8.6</v>
      </c>
      <c r="N1339">
        <v>1603</v>
      </c>
      <c r="O1339" t="s">
        <v>75</v>
      </c>
      <c r="P1339">
        <v>34.200000000000003</v>
      </c>
      <c r="Q1339" t="s">
        <v>79</v>
      </c>
      <c r="R1339">
        <v>-36.9</v>
      </c>
      <c r="S1339">
        <v>15.9</v>
      </c>
      <c r="T1339">
        <v>-4.9000000000000004</v>
      </c>
      <c r="U1339">
        <v>2.1</v>
      </c>
      <c r="V1339">
        <v>5</v>
      </c>
      <c r="W1339">
        <v>4.8</v>
      </c>
      <c r="X1339" t="s">
        <v>66</v>
      </c>
    </row>
    <row r="1340" spans="2:24" x14ac:dyDescent="0.3">
      <c r="B1340" t="s">
        <v>1433</v>
      </c>
      <c r="C1340" t="s">
        <v>27</v>
      </c>
      <c r="D1340" t="s">
        <v>2</v>
      </c>
      <c r="E1340" t="s">
        <v>14</v>
      </c>
      <c r="F1340" t="s">
        <v>11</v>
      </c>
      <c r="G1340" t="s">
        <v>63</v>
      </c>
      <c r="H1340">
        <v>2026</v>
      </c>
      <c r="I1340">
        <v>2351</v>
      </c>
      <c r="J1340">
        <v>9.6</v>
      </c>
      <c r="K1340" t="s">
        <v>23</v>
      </c>
      <c r="L1340">
        <v>4.3</v>
      </c>
      <c r="M1340">
        <v>4.5</v>
      </c>
      <c r="N1340">
        <v>9040</v>
      </c>
      <c r="O1340" t="s">
        <v>118</v>
      </c>
      <c r="P1340">
        <v>46.4</v>
      </c>
      <c r="Q1340" t="s">
        <v>76</v>
      </c>
      <c r="R1340">
        <v>31</v>
      </c>
      <c r="S1340">
        <v>9.5</v>
      </c>
      <c r="T1340">
        <v>0.6</v>
      </c>
      <c r="U1340">
        <v>4.5</v>
      </c>
      <c r="V1340">
        <v>5.6</v>
      </c>
      <c r="W1340">
        <v>7</v>
      </c>
      <c r="X1340" t="s">
        <v>66</v>
      </c>
    </row>
    <row r="1341" spans="2:24" x14ac:dyDescent="0.3">
      <c r="B1341" t="s">
        <v>1434</v>
      </c>
      <c r="C1341" t="s">
        <v>106</v>
      </c>
      <c r="D1341" t="s">
        <v>7</v>
      </c>
      <c r="E1341" t="s">
        <v>19</v>
      </c>
      <c r="F1341" t="s">
        <v>12</v>
      </c>
      <c r="G1341" t="s">
        <v>54</v>
      </c>
      <c r="H1341">
        <v>2026</v>
      </c>
      <c r="I1341">
        <v>19184</v>
      </c>
      <c r="J1341">
        <v>18.3</v>
      </c>
      <c r="K1341" t="s">
        <v>23</v>
      </c>
      <c r="L1341">
        <v>5.7</v>
      </c>
      <c r="M1341">
        <v>9.1</v>
      </c>
      <c r="N1341">
        <v>876</v>
      </c>
      <c r="O1341" t="s">
        <v>64</v>
      </c>
      <c r="P1341">
        <v>68.2</v>
      </c>
      <c r="Q1341" t="s">
        <v>84</v>
      </c>
      <c r="R1341">
        <v>23.4</v>
      </c>
      <c r="S1341">
        <v>21.7</v>
      </c>
      <c r="T1341">
        <v>1.7</v>
      </c>
      <c r="U1341">
        <v>6.9</v>
      </c>
      <c r="V1341">
        <v>5.7</v>
      </c>
      <c r="W1341">
        <v>5.6</v>
      </c>
      <c r="X1341" t="s">
        <v>66</v>
      </c>
    </row>
    <row r="1342" spans="2:24" x14ac:dyDescent="0.3">
      <c r="B1342" t="s">
        <v>1435</v>
      </c>
      <c r="C1342" t="s">
        <v>137</v>
      </c>
      <c r="D1342" t="s">
        <v>4</v>
      </c>
      <c r="E1342" t="s">
        <v>19</v>
      </c>
      <c r="F1342" t="s">
        <v>9</v>
      </c>
      <c r="G1342" t="s">
        <v>60</v>
      </c>
      <c r="H1342">
        <v>2025</v>
      </c>
      <c r="I1342">
        <v>2263</v>
      </c>
      <c r="J1342">
        <v>2</v>
      </c>
      <c r="K1342" t="s">
        <v>23</v>
      </c>
      <c r="L1342">
        <v>1.3</v>
      </c>
      <c r="M1342">
        <v>2.7</v>
      </c>
      <c r="N1342">
        <v>607</v>
      </c>
      <c r="O1342" t="s">
        <v>64</v>
      </c>
      <c r="P1342">
        <v>79.900000000000006</v>
      </c>
      <c r="Q1342" t="s">
        <v>125</v>
      </c>
      <c r="R1342">
        <v>9.8000000000000007</v>
      </c>
      <c r="S1342">
        <v>37.6</v>
      </c>
      <c r="T1342">
        <v>23.8</v>
      </c>
      <c r="U1342">
        <v>1.3</v>
      </c>
      <c r="V1342">
        <v>7.4</v>
      </c>
      <c r="W1342">
        <v>9</v>
      </c>
      <c r="X1342" t="s">
        <v>57</v>
      </c>
    </row>
    <row r="1343" spans="2:24" x14ac:dyDescent="0.3">
      <c r="B1343" t="s">
        <v>1436</v>
      </c>
      <c r="C1343" t="s">
        <v>83</v>
      </c>
      <c r="D1343" t="s">
        <v>4</v>
      </c>
      <c r="E1343" t="s">
        <v>17</v>
      </c>
      <c r="F1343" t="s">
        <v>9</v>
      </c>
      <c r="G1343" t="s">
        <v>54</v>
      </c>
      <c r="H1343">
        <v>2026</v>
      </c>
      <c r="I1343">
        <v>1946</v>
      </c>
      <c r="J1343">
        <v>4.8</v>
      </c>
      <c r="K1343" t="s">
        <v>24</v>
      </c>
      <c r="L1343">
        <v>4.5999999999999996</v>
      </c>
      <c r="M1343">
        <v>3.4</v>
      </c>
      <c r="N1343">
        <v>2909</v>
      </c>
      <c r="O1343" t="s">
        <v>64</v>
      </c>
      <c r="P1343">
        <v>35.799999999999997</v>
      </c>
      <c r="Q1343" t="s">
        <v>84</v>
      </c>
      <c r="R1343">
        <v>32.299999999999997</v>
      </c>
      <c r="S1343">
        <v>48.8</v>
      </c>
      <c r="T1343">
        <v>22.5</v>
      </c>
      <c r="U1343">
        <v>4.2</v>
      </c>
      <c r="V1343">
        <v>6.1</v>
      </c>
      <c r="W1343">
        <v>7.3</v>
      </c>
      <c r="X1343" t="s">
        <v>57</v>
      </c>
    </row>
    <row r="1344" spans="2:24" x14ac:dyDescent="0.3">
      <c r="B1344" t="s">
        <v>1437</v>
      </c>
      <c r="C1344" t="s">
        <v>62</v>
      </c>
      <c r="D1344" t="s">
        <v>2</v>
      </c>
      <c r="E1344" t="s">
        <v>15</v>
      </c>
      <c r="F1344" t="s">
        <v>12</v>
      </c>
      <c r="G1344" t="s">
        <v>115</v>
      </c>
      <c r="H1344">
        <v>2025</v>
      </c>
      <c r="I1344">
        <v>19913</v>
      </c>
      <c r="J1344">
        <v>29.2</v>
      </c>
      <c r="K1344" t="s">
        <v>23</v>
      </c>
      <c r="L1344">
        <v>13</v>
      </c>
      <c r="M1344">
        <v>10</v>
      </c>
      <c r="N1344">
        <v>9085</v>
      </c>
      <c r="O1344" t="s">
        <v>55</v>
      </c>
      <c r="P1344">
        <v>45</v>
      </c>
      <c r="Q1344" t="s">
        <v>56</v>
      </c>
      <c r="R1344">
        <v>38</v>
      </c>
      <c r="S1344">
        <v>51.9</v>
      </c>
      <c r="T1344">
        <v>7.7</v>
      </c>
      <c r="U1344">
        <v>7.8</v>
      </c>
      <c r="V1344">
        <v>6.7</v>
      </c>
      <c r="W1344">
        <v>5.6</v>
      </c>
      <c r="X1344" t="s">
        <v>66</v>
      </c>
    </row>
    <row r="1345" spans="2:24" x14ac:dyDescent="0.3">
      <c r="B1345" t="s">
        <v>1438</v>
      </c>
      <c r="C1345" t="s">
        <v>94</v>
      </c>
      <c r="D1345" t="s">
        <v>6</v>
      </c>
      <c r="E1345" t="s">
        <v>17</v>
      </c>
      <c r="F1345" t="s">
        <v>11</v>
      </c>
      <c r="G1345" t="s">
        <v>131</v>
      </c>
      <c r="H1345">
        <v>2025</v>
      </c>
      <c r="I1345">
        <v>3784</v>
      </c>
      <c r="J1345">
        <v>2.7</v>
      </c>
      <c r="K1345" t="s">
        <v>23</v>
      </c>
      <c r="L1345">
        <v>12.1</v>
      </c>
      <c r="M1345">
        <v>10</v>
      </c>
      <c r="N1345">
        <v>813</v>
      </c>
      <c r="O1345" t="s">
        <v>55</v>
      </c>
      <c r="P1345">
        <v>34.6</v>
      </c>
      <c r="Q1345" t="s">
        <v>125</v>
      </c>
      <c r="R1345">
        <v>13.7</v>
      </c>
      <c r="S1345">
        <v>41.6</v>
      </c>
      <c r="T1345">
        <v>14</v>
      </c>
      <c r="U1345">
        <v>9.6999999999999993</v>
      </c>
      <c r="V1345">
        <v>8</v>
      </c>
      <c r="W1345">
        <v>6.1</v>
      </c>
      <c r="X1345" t="s">
        <v>116</v>
      </c>
    </row>
    <row r="1346" spans="2:24" x14ac:dyDescent="0.3">
      <c r="B1346" t="s">
        <v>1439</v>
      </c>
      <c r="C1346" t="s">
        <v>73</v>
      </c>
      <c r="D1346" t="s">
        <v>3</v>
      </c>
      <c r="E1346" t="s">
        <v>17</v>
      </c>
      <c r="F1346" t="s">
        <v>9</v>
      </c>
      <c r="G1346" t="s">
        <v>60</v>
      </c>
      <c r="H1346">
        <v>2026</v>
      </c>
      <c r="I1346">
        <v>16935</v>
      </c>
      <c r="J1346">
        <v>28.9</v>
      </c>
      <c r="K1346" t="s">
        <v>23</v>
      </c>
      <c r="L1346">
        <v>15</v>
      </c>
      <c r="M1346">
        <v>10</v>
      </c>
      <c r="N1346">
        <v>587</v>
      </c>
      <c r="O1346" t="s">
        <v>64</v>
      </c>
      <c r="P1346">
        <v>30.8</v>
      </c>
      <c r="Q1346" t="s">
        <v>79</v>
      </c>
      <c r="R1346">
        <v>48.5</v>
      </c>
      <c r="S1346">
        <v>25.8</v>
      </c>
      <c r="T1346">
        <v>4.9000000000000004</v>
      </c>
      <c r="U1346">
        <v>9.1999999999999993</v>
      </c>
      <c r="V1346">
        <v>4.4000000000000004</v>
      </c>
      <c r="W1346">
        <v>4.2</v>
      </c>
      <c r="X1346" t="s">
        <v>66</v>
      </c>
    </row>
    <row r="1347" spans="2:24" x14ac:dyDescent="0.3">
      <c r="B1347" t="s">
        <v>1440</v>
      </c>
      <c r="C1347" t="s">
        <v>106</v>
      </c>
      <c r="D1347" t="s">
        <v>2</v>
      </c>
      <c r="E1347" t="s">
        <v>17</v>
      </c>
      <c r="F1347" t="s">
        <v>9</v>
      </c>
      <c r="G1347" t="s">
        <v>54</v>
      </c>
      <c r="H1347">
        <v>2026</v>
      </c>
      <c r="I1347">
        <v>2012</v>
      </c>
      <c r="J1347">
        <v>3.6</v>
      </c>
      <c r="K1347" t="s">
        <v>21</v>
      </c>
      <c r="L1347">
        <v>1</v>
      </c>
      <c r="M1347">
        <v>3.1</v>
      </c>
      <c r="N1347">
        <v>5992</v>
      </c>
      <c r="O1347" t="s">
        <v>55</v>
      </c>
      <c r="P1347">
        <v>13.5</v>
      </c>
      <c r="Q1347" t="s">
        <v>76</v>
      </c>
      <c r="R1347">
        <v>-38</v>
      </c>
      <c r="S1347">
        <v>-5.9</v>
      </c>
      <c r="T1347">
        <v>-6</v>
      </c>
      <c r="U1347">
        <v>1.5</v>
      </c>
      <c r="V1347">
        <v>5.0999999999999996</v>
      </c>
      <c r="W1347">
        <v>7.7</v>
      </c>
      <c r="X1347" t="s">
        <v>57</v>
      </c>
    </row>
    <row r="1348" spans="2:24" x14ac:dyDescent="0.3">
      <c r="B1348" t="s">
        <v>1441</v>
      </c>
      <c r="C1348" t="s">
        <v>122</v>
      </c>
      <c r="D1348" t="s">
        <v>2</v>
      </c>
      <c r="E1348" t="s">
        <v>19</v>
      </c>
      <c r="F1348" t="s">
        <v>11</v>
      </c>
      <c r="G1348" t="s">
        <v>63</v>
      </c>
      <c r="H1348">
        <v>2026</v>
      </c>
      <c r="I1348">
        <v>9799</v>
      </c>
      <c r="J1348">
        <v>9.6999999999999993</v>
      </c>
      <c r="K1348" t="s">
        <v>21</v>
      </c>
      <c r="L1348">
        <v>5.5</v>
      </c>
      <c r="M1348">
        <v>7.1</v>
      </c>
      <c r="N1348">
        <v>4068</v>
      </c>
      <c r="O1348" t="s">
        <v>55</v>
      </c>
      <c r="P1348">
        <v>42.1</v>
      </c>
      <c r="Q1348" t="s">
        <v>56</v>
      </c>
      <c r="R1348">
        <v>58.7</v>
      </c>
      <c r="S1348">
        <v>40.700000000000003</v>
      </c>
      <c r="T1348">
        <v>14.1</v>
      </c>
      <c r="U1348">
        <v>6.7</v>
      </c>
      <c r="V1348">
        <v>7.1</v>
      </c>
      <c r="W1348">
        <v>7.3</v>
      </c>
      <c r="X1348" t="s">
        <v>66</v>
      </c>
    </row>
    <row r="1349" spans="2:24" x14ac:dyDescent="0.3">
      <c r="B1349" t="s">
        <v>1442</v>
      </c>
      <c r="C1349" t="s">
        <v>90</v>
      </c>
      <c r="D1349" t="s">
        <v>3</v>
      </c>
      <c r="E1349" t="s">
        <v>15</v>
      </c>
      <c r="F1349" t="s">
        <v>10</v>
      </c>
      <c r="G1349" t="s">
        <v>115</v>
      </c>
      <c r="H1349">
        <v>2025</v>
      </c>
      <c r="I1349">
        <v>2014</v>
      </c>
      <c r="J1349">
        <v>4.4000000000000004</v>
      </c>
      <c r="K1349" t="s">
        <v>21</v>
      </c>
      <c r="L1349">
        <v>2.2000000000000002</v>
      </c>
      <c r="M1349">
        <v>1.3</v>
      </c>
      <c r="N1349">
        <v>1186</v>
      </c>
      <c r="O1349" t="s">
        <v>64</v>
      </c>
      <c r="P1349">
        <v>24.2</v>
      </c>
      <c r="Q1349" t="s">
        <v>125</v>
      </c>
      <c r="R1349">
        <v>-6.3</v>
      </c>
      <c r="S1349">
        <v>-8.1999999999999993</v>
      </c>
      <c r="T1349">
        <v>-2.9</v>
      </c>
      <c r="U1349">
        <v>1.8</v>
      </c>
      <c r="V1349">
        <v>7</v>
      </c>
      <c r="W1349">
        <v>7.3</v>
      </c>
      <c r="X1349" t="s">
        <v>57</v>
      </c>
    </row>
    <row r="1350" spans="2:24" x14ac:dyDescent="0.3">
      <c r="B1350" t="s">
        <v>1443</v>
      </c>
      <c r="C1350" t="s">
        <v>73</v>
      </c>
      <c r="D1350" t="s">
        <v>2</v>
      </c>
      <c r="E1350" t="s">
        <v>18</v>
      </c>
      <c r="F1350" t="s">
        <v>12</v>
      </c>
      <c r="G1350" t="s">
        <v>115</v>
      </c>
      <c r="H1350">
        <v>2025</v>
      </c>
      <c r="I1350">
        <v>1087</v>
      </c>
      <c r="J1350">
        <v>7.8</v>
      </c>
      <c r="K1350" t="s">
        <v>24</v>
      </c>
      <c r="L1350">
        <v>8.9</v>
      </c>
      <c r="M1350">
        <v>8.9</v>
      </c>
      <c r="N1350">
        <v>4884</v>
      </c>
      <c r="O1350" t="s">
        <v>55</v>
      </c>
      <c r="P1350">
        <v>63</v>
      </c>
      <c r="Q1350" t="s">
        <v>56</v>
      </c>
      <c r="R1350">
        <v>13.1</v>
      </c>
      <c r="S1350">
        <v>58.4</v>
      </c>
      <c r="T1350">
        <v>17.399999999999999</v>
      </c>
      <c r="U1350">
        <v>6.1</v>
      </c>
      <c r="V1350">
        <v>7.5</v>
      </c>
      <c r="W1350">
        <v>7</v>
      </c>
      <c r="X1350" t="s">
        <v>57</v>
      </c>
    </row>
    <row r="1351" spans="2:24" x14ac:dyDescent="0.3">
      <c r="B1351" t="s">
        <v>1444</v>
      </c>
      <c r="C1351" t="s">
        <v>53</v>
      </c>
      <c r="D1351" t="s">
        <v>4</v>
      </c>
      <c r="E1351" t="s">
        <v>18</v>
      </c>
      <c r="F1351" t="s">
        <v>12</v>
      </c>
      <c r="G1351" t="s">
        <v>112</v>
      </c>
      <c r="H1351">
        <v>2025</v>
      </c>
      <c r="I1351">
        <v>1325</v>
      </c>
      <c r="J1351">
        <v>10.1</v>
      </c>
      <c r="K1351" t="s">
        <v>24</v>
      </c>
      <c r="L1351">
        <v>5.8</v>
      </c>
      <c r="M1351">
        <v>7</v>
      </c>
      <c r="N1351">
        <v>4638</v>
      </c>
      <c r="O1351" t="s">
        <v>55</v>
      </c>
      <c r="P1351">
        <v>45</v>
      </c>
      <c r="Q1351" t="s">
        <v>88</v>
      </c>
      <c r="R1351">
        <v>-24.2</v>
      </c>
      <c r="S1351">
        <v>31.3</v>
      </c>
      <c r="T1351">
        <v>20.100000000000001</v>
      </c>
      <c r="U1351">
        <v>8.4</v>
      </c>
      <c r="V1351">
        <v>5.0999999999999996</v>
      </c>
      <c r="W1351">
        <v>6.3</v>
      </c>
      <c r="X1351" t="s">
        <v>116</v>
      </c>
    </row>
    <row r="1352" spans="2:24" x14ac:dyDescent="0.3">
      <c r="B1352" t="s">
        <v>1445</v>
      </c>
      <c r="C1352" t="s">
        <v>94</v>
      </c>
      <c r="D1352" t="s">
        <v>6</v>
      </c>
      <c r="E1352" t="s">
        <v>16</v>
      </c>
      <c r="F1352" t="s">
        <v>10</v>
      </c>
      <c r="G1352" t="s">
        <v>115</v>
      </c>
      <c r="H1352">
        <v>2025</v>
      </c>
      <c r="I1352">
        <v>5391</v>
      </c>
      <c r="J1352">
        <v>2.4</v>
      </c>
      <c r="K1352" t="s">
        <v>23</v>
      </c>
      <c r="L1352">
        <v>6.2</v>
      </c>
      <c r="M1352">
        <v>4.9000000000000004</v>
      </c>
      <c r="N1352">
        <v>4817</v>
      </c>
      <c r="O1352" t="s">
        <v>55</v>
      </c>
      <c r="P1352">
        <v>15.1</v>
      </c>
      <c r="Q1352" t="s">
        <v>84</v>
      </c>
      <c r="R1352">
        <v>20.5</v>
      </c>
      <c r="S1352">
        <v>52.1</v>
      </c>
      <c r="T1352">
        <v>21.6</v>
      </c>
      <c r="U1352">
        <v>8.5</v>
      </c>
      <c r="V1352">
        <v>9.4</v>
      </c>
      <c r="W1352">
        <v>7.4</v>
      </c>
      <c r="X1352" t="s">
        <v>116</v>
      </c>
    </row>
    <row r="1353" spans="2:24" x14ac:dyDescent="0.3">
      <c r="B1353" t="s">
        <v>1446</v>
      </c>
      <c r="C1353" t="s">
        <v>81</v>
      </c>
      <c r="D1353" t="s">
        <v>5</v>
      </c>
      <c r="E1353" t="s">
        <v>18</v>
      </c>
      <c r="F1353" t="s">
        <v>10</v>
      </c>
      <c r="G1353" t="s">
        <v>69</v>
      </c>
      <c r="H1353">
        <v>2026</v>
      </c>
      <c r="I1353">
        <v>2189</v>
      </c>
      <c r="J1353">
        <v>15</v>
      </c>
      <c r="K1353" t="s">
        <v>22</v>
      </c>
      <c r="L1353">
        <v>3.4</v>
      </c>
      <c r="M1353">
        <v>6.6</v>
      </c>
      <c r="N1353">
        <v>4145</v>
      </c>
      <c r="O1353" t="s">
        <v>55</v>
      </c>
      <c r="P1353">
        <v>21</v>
      </c>
      <c r="Q1353" t="s">
        <v>88</v>
      </c>
      <c r="R1353">
        <v>81.2</v>
      </c>
      <c r="S1353">
        <v>-24.6</v>
      </c>
      <c r="T1353">
        <v>-4.4000000000000004</v>
      </c>
      <c r="U1353">
        <v>5.5</v>
      </c>
      <c r="V1353">
        <v>6</v>
      </c>
      <c r="W1353">
        <v>4.8</v>
      </c>
      <c r="X1353" t="s">
        <v>116</v>
      </c>
    </row>
    <row r="1354" spans="2:24" x14ac:dyDescent="0.3">
      <c r="B1354" t="s">
        <v>1447</v>
      </c>
      <c r="C1354" t="s">
        <v>122</v>
      </c>
      <c r="D1354" t="s">
        <v>2</v>
      </c>
      <c r="E1354" t="s">
        <v>16</v>
      </c>
      <c r="F1354" t="s">
        <v>11</v>
      </c>
      <c r="G1354" t="s">
        <v>63</v>
      </c>
      <c r="H1354">
        <v>2024</v>
      </c>
      <c r="I1354">
        <v>11766</v>
      </c>
      <c r="J1354">
        <v>29.6</v>
      </c>
      <c r="K1354" t="s">
        <v>23</v>
      </c>
      <c r="L1354">
        <v>3.7</v>
      </c>
      <c r="M1354">
        <v>8.4</v>
      </c>
      <c r="N1354">
        <v>5188</v>
      </c>
      <c r="O1354" t="s">
        <v>64</v>
      </c>
      <c r="P1354">
        <v>19.600000000000001</v>
      </c>
      <c r="Q1354" t="s">
        <v>56</v>
      </c>
      <c r="R1354">
        <v>2</v>
      </c>
      <c r="S1354">
        <v>44.1</v>
      </c>
      <c r="T1354">
        <v>10.6</v>
      </c>
      <c r="U1354">
        <v>2.2000000000000002</v>
      </c>
      <c r="V1354">
        <v>6.2</v>
      </c>
      <c r="W1354">
        <v>4.2</v>
      </c>
      <c r="X1354" t="s">
        <v>66</v>
      </c>
    </row>
    <row r="1355" spans="2:24" x14ac:dyDescent="0.3">
      <c r="B1355" t="s">
        <v>1448</v>
      </c>
      <c r="C1355" t="s">
        <v>100</v>
      </c>
      <c r="D1355" t="s">
        <v>3</v>
      </c>
      <c r="E1355" t="s">
        <v>16</v>
      </c>
      <c r="F1355" t="s">
        <v>10</v>
      </c>
      <c r="G1355" t="s">
        <v>104</v>
      </c>
      <c r="H1355">
        <v>2025</v>
      </c>
      <c r="I1355">
        <v>2307</v>
      </c>
      <c r="J1355">
        <v>8.1999999999999993</v>
      </c>
      <c r="K1355" t="s">
        <v>25</v>
      </c>
      <c r="L1355">
        <v>3.6</v>
      </c>
      <c r="M1355">
        <v>5</v>
      </c>
      <c r="N1355">
        <v>3817</v>
      </c>
      <c r="O1355" t="s">
        <v>55</v>
      </c>
      <c r="P1355">
        <v>40.799999999999997</v>
      </c>
      <c r="Q1355" t="s">
        <v>125</v>
      </c>
      <c r="R1355">
        <v>50.9</v>
      </c>
      <c r="S1355">
        <v>44.8</v>
      </c>
      <c r="T1355">
        <v>22.1</v>
      </c>
      <c r="U1355">
        <v>3.8</v>
      </c>
      <c r="V1355">
        <v>5.8</v>
      </c>
      <c r="W1355">
        <v>8</v>
      </c>
      <c r="X1355" t="s">
        <v>57</v>
      </c>
    </row>
    <row r="1356" spans="2:24" x14ac:dyDescent="0.3">
      <c r="B1356" t="s">
        <v>1449</v>
      </c>
      <c r="C1356" t="s">
        <v>53</v>
      </c>
      <c r="D1356" t="s">
        <v>4</v>
      </c>
      <c r="E1356" t="s">
        <v>15</v>
      </c>
      <c r="F1356" t="s">
        <v>12</v>
      </c>
      <c r="G1356" t="s">
        <v>131</v>
      </c>
      <c r="H1356">
        <v>2025</v>
      </c>
      <c r="I1356">
        <v>7465</v>
      </c>
      <c r="J1356">
        <v>28</v>
      </c>
      <c r="K1356" t="s">
        <v>25</v>
      </c>
      <c r="L1356">
        <v>5.5</v>
      </c>
      <c r="M1356">
        <v>9</v>
      </c>
      <c r="N1356">
        <v>1953</v>
      </c>
      <c r="O1356" t="s">
        <v>64</v>
      </c>
      <c r="P1356">
        <v>63.4</v>
      </c>
      <c r="Q1356" t="s">
        <v>86</v>
      </c>
      <c r="R1356">
        <v>-40.299999999999997</v>
      </c>
      <c r="S1356">
        <v>54.5</v>
      </c>
      <c r="T1356">
        <v>22.4</v>
      </c>
      <c r="U1356">
        <v>4.9000000000000004</v>
      </c>
      <c r="V1356">
        <v>7.7</v>
      </c>
      <c r="W1356">
        <v>5</v>
      </c>
      <c r="X1356" t="s">
        <v>66</v>
      </c>
    </row>
    <row r="1357" spans="2:24" x14ac:dyDescent="0.3">
      <c r="B1357" t="s">
        <v>1450</v>
      </c>
      <c r="C1357" t="s">
        <v>100</v>
      </c>
      <c r="D1357" t="s">
        <v>3</v>
      </c>
      <c r="E1357" t="s">
        <v>14</v>
      </c>
      <c r="F1357" t="s">
        <v>9</v>
      </c>
      <c r="G1357" t="s">
        <v>98</v>
      </c>
      <c r="H1357">
        <v>2025</v>
      </c>
      <c r="I1357">
        <v>88</v>
      </c>
      <c r="J1357">
        <v>9.1999999999999993</v>
      </c>
      <c r="K1357" t="s">
        <v>22</v>
      </c>
      <c r="L1357">
        <v>6.8</v>
      </c>
      <c r="M1357">
        <v>6.7</v>
      </c>
      <c r="N1357">
        <v>5599</v>
      </c>
      <c r="O1357" t="s">
        <v>55</v>
      </c>
      <c r="P1357">
        <v>26.6</v>
      </c>
      <c r="Q1357" t="s">
        <v>84</v>
      </c>
      <c r="R1357">
        <v>23.2</v>
      </c>
      <c r="S1357">
        <v>-1.2</v>
      </c>
      <c r="T1357">
        <v>-6.6</v>
      </c>
      <c r="U1357">
        <v>4.7</v>
      </c>
      <c r="V1357">
        <v>7.1</v>
      </c>
      <c r="W1357">
        <v>4.8</v>
      </c>
      <c r="X1357" t="s">
        <v>57</v>
      </c>
    </row>
    <row r="1358" spans="2:24" x14ac:dyDescent="0.3">
      <c r="B1358" t="s">
        <v>1451</v>
      </c>
      <c r="C1358" t="s">
        <v>27</v>
      </c>
      <c r="D1358" t="s">
        <v>2</v>
      </c>
      <c r="E1358" t="s">
        <v>15</v>
      </c>
      <c r="F1358" t="s">
        <v>10</v>
      </c>
      <c r="G1358" t="s">
        <v>63</v>
      </c>
      <c r="H1358">
        <v>2026</v>
      </c>
      <c r="I1358">
        <v>13884</v>
      </c>
      <c r="J1358">
        <v>23</v>
      </c>
      <c r="K1358" t="s">
        <v>22</v>
      </c>
      <c r="L1358">
        <v>10.199999999999999</v>
      </c>
      <c r="M1358">
        <v>10</v>
      </c>
      <c r="N1358">
        <v>8978</v>
      </c>
      <c r="O1358" t="s">
        <v>55</v>
      </c>
      <c r="P1358">
        <v>59.3</v>
      </c>
      <c r="Q1358" t="s">
        <v>76</v>
      </c>
      <c r="R1358">
        <v>54.7</v>
      </c>
      <c r="S1358">
        <v>39.6</v>
      </c>
      <c r="T1358">
        <v>15.4</v>
      </c>
      <c r="U1358">
        <v>6.6</v>
      </c>
      <c r="V1358">
        <v>5.9</v>
      </c>
      <c r="W1358">
        <v>5</v>
      </c>
      <c r="X1358" t="s">
        <v>66</v>
      </c>
    </row>
    <row r="1359" spans="2:24" x14ac:dyDescent="0.3">
      <c r="B1359" t="s">
        <v>1452</v>
      </c>
      <c r="C1359" t="s">
        <v>83</v>
      </c>
      <c r="D1359" t="s">
        <v>4</v>
      </c>
      <c r="E1359" t="s">
        <v>16</v>
      </c>
      <c r="F1359" t="s">
        <v>12</v>
      </c>
      <c r="G1359" t="s">
        <v>98</v>
      </c>
      <c r="H1359">
        <v>2026</v>
      </c>
      <c r="I1359">
        <v>1332</v>
      </c>
      <c r="J1359">
        <v>12.5</v>
      </c>
      <c r="K1359" t="s">
        <v>24</v>
      </c>
      <c r="L1359">
        <v>2</v>
      </c>
      <c r="M1359">
        <v>4.0999999999999996</v>
      </c>
      <c r="N1359">
        <v>688</v>
      </c>
      <c r="O1359" t="s">
        <v>64</v>
      </c>
      <c r="P1359">
        <v>59.2</v>
      </c>
      <c r="Q1359" t="s">
        <v>84</v>
      </c>
      <c r="R1359">
        <v>-37.6</v>
      </c>
      <c r="S1359">
        <v>46.7</v>
      </c>
      <c r="T1359">
        <v>8</v>
      </c>
      <c r="U1359">
        <v>2</v>
      </c>
      <c r="V1359">
        <v>8.1</v>
      </c>
      <c r="W1359">
        <v>6.8</v>
      </c>
      <c r="X1359" t="s">
        <v>116</v>
      </c>
    </row>
    <row r="1360" spans="2:24" x14ac:dyDescent="0.3">
      <c r="B1360" t="s">
        <v>1453</v>
      </c>
      <c r="C1360" t="s">
        <v>83</v>
      </c>
      <c r="D1360" t="s">
        <v>4</v>
      </c>
      <c r="E1360" t="s">
        <v>18</v>
      </c>
      <c r="F1360" t="s">
        <v>9</v>
      </c>
      <c r="G1360" t="s">
        <v>112</v>
      </c>
      <c r="H1360">
        <v>2024</v>
      </c>
      <c r="I1360">
        <v>1504</v>
      </c>
      <c r="J1360">
        <v>9.8000000000000007</v>
      </c>
      <c r="K1360" t="s">
        <v>21</v>
      </c>
      <c r="L1360">
        <v>3.7</v>
      </c>
      <c r="M1360">
        <v>6.4</v>
      </c>
      <c r="N1360">
        <v>4540</v>
      </c>
      <c r="O1360" t="s">
        <v>64</v>
      </c>
      <c r="P1360">
        <v>44.1</v>
      </c>
      <c r="Q1360" t="s">
        <v>125</v>
      </c>
      <c r="R1360">
        <v>-3.5</v>
      </c>
      <c r="S1360">
        <v>45.1</v>
      </c>
      <c r="T1360">
        <v>18.2</v>
      </c>
      <c r="U1360">
        <v>4.4000000000000004</v>
      </c>
      <c r="V1360">
        <v>9.3000000000000007</v>
      </c>
      <c r="W1360">
        <v>8</v>
      </c>
      <c r="X1360" t="s">
        <v>57</v>
      </c>
    </row>
    <row r="1361" spans="2:24" x14ac:dyDescent="0.3">
      <c r="B1361" t="s">
        <v>1454</v>
      </c>
      <c r="C1361" t="s">
        <v>106</v>
      </c>
      <c r="D1361" t="s">
        <v>4</v>
      </c>
      <c r="E1361" t="s">
        <v>17</v>
      </c>
      <c r="F1361" t="s">
        <v>12</v>
      </c>
      <c r="G1361" t="s">
        <v>60</v>
      </c>
      <c r="H1361">
        <v>2025</v>
      </c>
      <c r="I1361">
        <v>3007</v>
      </c>
      <c r="J1361">
        <v>8</v>
      </c>
      <c r="K1361" t="s">
        <v>25</v>
      </c>
      <c r="L1361">
        <v>10.199999999999999</v>
      </c>
      <c r="M1361">
        <v>8.9</v>
      </c>
      <c r="N1361">
        <v>4315</v>
      </c>
      <c r="O1361" t="s">
        <v>55</v>
      </c>
      <c r="P1361">
        <v>38</v>
      </c>
      <c r="Q1361" t="s">
        <v>76</v>
      </c>
      <c r="R1361">
        <v>69.599999999999994</v>
      </c>
      <c r="S1361">
        <v>24.4</v>
      </c>
      <c r="T1361">
        <v>15.7</v>
      </c>
      <c r="U1361">
        <v>9.6</v>
      </c>
      <c r="V1361">
        <v>7.2</v>
      </c>
      <c r="W1361">
        <v>5.2</v>
      </c>
      <c r="X1361" t="s">
        <v>116</v>
      </c>
    </row>
    <row r="1362" spans="2:24" x14ac:dyDescent="0.3">
      <c r="B1362" t="s">
        <v>1455</v>
      </c>
      <c r="C1362" t="s">
        <v>62</v>
      </c>
      <c r="D1362" t="s">
        <v>2</v>
      </c>
      <c r="E1362" t="s">
        <v>15</v>
      </c>
      <c r="F1362" t="s">
        <v>9</v>
      </c>
      <c r="G1362" t="s">
        <v>63</v>
      </c>
      <c r="H1362">
        <v>2024</v>
      </c>
      <c r="I1362">
        <v>10291</v>
      </c>
      <c r="J1362">
        <v>34</v>
      </c>
      <c r="K1362" t="s">
        <v>24</v>
      </c>
      <c r="L1362">
        <v>6.7</v>
      </c>
      <c r="M1362">
        <v>10</v>
      </c>
      <c r="N1362">
        <v>6937</v>
      </c>
      <c r="O1362" t="s">
        <v>64</v>
      </c>
      <c r="P1362">
        <v>61</v>
      </c>
      <c r="Q1362" t="s">
        <v>56</v>
      </c>
      <c r="R1362">
        <v>52</v>
      </c>
      <c r="S1362">
        <v>18</v>
      </c>
      <c r="T1362">
        <v>-9.9</v>
      </c>
      <c r="U1362">
        <v>4.7</v>
      </c>
      <c r="V1362">
        <v>6.5</v>
      </c>
      <c r="W1362">
        <v>2.8</v>
      </c>
      <c r="X1362" t="s">
        <v>66</v>
      </c>
    </row>
    <row r="1363" spans="2:24" x14ac:dyDescent="0.3">
      <c r="B1363" t="s">
        <v>1456</v>
      </c>
      <c r="C1363" t="s">
        <v>142</v>
      </c>
      <c r="D1363" t="s">
        <v>2</v>
      </c>
      <c r="E1363" t="s">
        <v>15</v>
      </c>
      <c r="F1363" t="s">
        <v>10</v>
      </c>
      <c r="G1363" t="s">
        <v>74</v>
      </c>
      <c r="H1363">
        <v>2025</v>
      </c>
      <c r="I1363">
        <v>6647</v>
      </c>
      <c r="J1363">
        <v>6.3</v>
      </c>
      <c r="K1363" t="s">
        <v>24</v>
      </c>
      <c r="L1363">
        <v>6.3</v>
      </c>
      <c r="M1363">
        <v>6</v>
      </c>
      <c r="N1363">
        <v>6491</v>
      </c>
      <c r="O1363" t="s">
        <v>55</v>
      </c>
      <c r="P1363">
        <v>36.9</v>
      </c>
      <c r="Q1363" t="s">
        <v>76</v>
      </c>
      <c r="R1363">
        <v>-37.299999999999997</v>
      </c>
      <c r="S1363">
        <v>57.6</v>
      </c>
      <c r="T1363">
        <v>15</v>
      </c>
      <c r="U1363">
        <v>4.5</v>
      </c>
      <c r="V1363">
        <v>8</v>
      </c>
      <c r="W1363">
        <v>8.6</v>
      </c>
      <c r="X1363" t="s">
        <v>116</v>
      </c>
    </row>
    <row r="1364" spans="2:24" x14ac:dyDescent="0.3">
      <c r="B1364" t="s">
        <v>1457</v>
      </c>
      <c r="C1364" t="s">
        <v>142</v>
      </c>
      <c r="D1364" t="s">
        <v>8</v>
      </c>
      <c r="E1364" t="s">
        <v>14</v>
      </c>
      <c r="F1364" t="s">
        <v>9</v>
      </c>
      <c r="G1364" t="s">
        <v>63</v>
      </c>
      <c r="H1364">
        <v>2026</v>
      </c>
      <c r="I1364">
        <v>1148</v>
      </c>
      <c r="J1364">
        <v>5.5</v>
      </c>
      <c r="K1364" t="s">
        <v>24</v>
      </c>
      <c r="L1364">
        <v>7.3</v>
      </c>
      <c r="M1364">
        <v>10</v>
      </c>
      <c r="N1364">
        <v>4159</v>
      </c>
      <c r="O1364" t="s">
        <v>55</v>
      </c>
      <c r="P1364">
        <v>80.8</v>
      </c>
      <c r="Q1364" t="s">
        <v>86</v>
      </c>
      <c r="R1364">
        <v>73.099999999999994</v>
      </c>
      <c r="S1364">
        <v>40.5</v>
      </c>
      <c r="T1364">
        <v>12</v>
      </c>
      <c r="U1364">
        <v>9.4</v>
      </c>
      <c r="V1364">
        <v>9.4</v>
      </c>
      <c r="W1364">
        <v>7.2</v>
      </c>
      <c r="X1364" t="s">
        <v>57</v>
      </c>
    </row>
    <row r="1365" spans="2:24" x14ac:dyDescent="0.3">
      <c r="B1365" t="s">
        <v>1458</v>
      </c>
      <c r="C1365" t="s">
        <v>159</v>
      </c>
      <c r="D1365" t="s">
        <v>7</v>
      </c>
      <c r="E1365" t="s">
        <v>19</v>
      </c>
      <c r="F1365" t="s">
        <v>10</v>
      </c>
      <c r="G1365" t="s">
        <v>60</v>
      </c>
      <c r="H1365">
        <v>2025</v>
      </c>
      <c r="I1365">
        <v>5610</v>
      </c>
      <c r="J1365">
        <v>12.4</v>
      </c>
      <c r="K1365" t="s">
        <v>25</v>
      </c>
      <c r="L1365">
        <v>12.1</v>
      </c>
      <c r="M1365">
        <v>8.5</v>
      </c>
      <c r="N1365">
        <v>347</v>
      </c>
      <c r="O1365" t="s">
        <v>55</v>
      </c>
      <c r="P1365">
        <v>23.7</v>
      </c>
      <c r="Q1365" t="s">
        <v>86</v>
      </c>
      <c r="R1365">
        <v>0.3</v>
      </c>
      <c r="S1365">
        <v>38.5</v>
      </c>
      <c r="T1365">
        <v>10.6</v>
      </c>
      <c r="U1365">
        <v>8.6999999999999993</v>
      </c>
      <c r="V1365">
        <v>8.1</v>
      </c>
      <c r="W1365">
        <v>5.7</v>
      </c>
      <c r="X1365" t="s">
        <v>116</v>
      </c>
    </row>
    <row r="1366" spans="2:24" x14ac:dyDescent="0.3">
      <c r="B1366" t="s">
        <v>1459</v>
      </c>
      <c r="C1366" t="s">
        <v>71</v>
      </c>
      <c r="D1366" t="s">
        <v>5</v>
      </c>
      <c r="E1366" t="s">
        <v>16</v>
      </c>
      <c r="F1366" t="s">
        <v>9</v>
      </c>
      <c r="G1366" t="s">
        <v>112</v>
      </c>
      <c r="H1366">
        <v>2024</v>
      </c>
      <c r="I1366">
        <v>4119</v>
      </c>
      <c r="J1366">
        <v>8</v>
      </c>
      <c r="K1366" t="s">
        <v>23</v>
      </c>
      <c r="L1366">
        <v>11.9</v>
      </c>
      <c r="M1366">
        <v>10</v>
      </c>
      <c r="N1366">
        <v>5137</v>
      </c>
      <c r="O1366" t="s">
        <v>118</v>
      </c>
      <c r="P1366">
        <v>78.2</v>
      </c>
      <c r="Q1366" t="s">
        <v>56</v>
      </c>
      <c r="R1366">
        <v>37.200000000000003</v>
      </c>
      <c r="S1366">
        <v>15.1</v>
      </c>
      <c r="T1366">
        <v>5.8</v>
      </c>
      <c r="U1366">
        <v>9.6999999999999993</v>
      </c>
      <c r="V1366">
        <v>5.3</v>
      </c>
      <c r="W1366">
        <v>6.5</v>
      </c>
      <c r="X1366" t="s">
        <v>116</v>
      </c>
    </row>
    <row r="1367" spans="2:24" x14ac:dyDescent="0.3">
      <c r="B1367" t="s">
        <v>1460</v>
      </c>
      <c r="C1367" t="s">
        <v>27</v>
      </c>
      <c r="D1367" t="s">
        <v>3</v>
      </c>
      <c r="E1367" t="s">
        <v>18</v>
      </c>
      <c r="F1367" t="s">
        <v>10</v>
      </c>
      <c r="G1367" t="s">
        <v>60</v>
      </c>
      <c r="H1367">
        <v>2026</v>
      </c>
      <c r="I1367">
        <v>5028</v>
      </c>
      <c r="J1367">
        <v>13.5</v>
      </c>
      <c r="K1367" t="s">
        <v>24</v>
      </c>
      <c r="L1367">
        <v>1.1000000000000001</v>
      </c>
      <c r="M1367">
        <v>4.4000000000000004</v>
      </c>
      <c r="N1367">
        <v>4457</v>
      </c>
      <c r="O1367" t="s">
        <v>64</v>
      </c>
      <c r="P1367">
        <v>53.2</v>
      </c>
      <c r="Q1367" t="s">
        <v>65</v>
      </c>
      <c r="R1367">
        <v>27.2</v>
      </c>
      <c r="S1367">
        <v>21.7</v>
      </c>
      <c r="T1367">
        <v>12.9</v>
      </c>
      <c r="U1367">
        <v>1.7</v>
      </c>
      <c r="V1367">
        <v>5.4</v>
      </c>
      <c r="W1367">
        <v>7.1</v>
      </c>
      <c r="X1367" t="s">
        <v>116</v>
      </c>
    </row>
    <row r="1368" spans="2:24" x14ac:dyDescent="0.3">
      <c r="B1368" t="s">
        <v>1461</v>
      </c>
      <c r="C1368" t="s">
        <v>92</v>
      </c>
      <c r="D1368" t="s">
        <v>7</v>
      </c>
      <c r="E1368" t="s">
        <v>15</v>
      </c>
      <c r="F1368" t="s">
        <v>11</v>
      </c>
      <c r="G1368" t="s">
        <v>131</v>
      </c>
      <c r="H1368">
        <v>2025</v>
      </c>
      <c r="I1368">
        <v>892</v>
      </c>
      <c r="J1368">
        <v>7.5</v>
      </c>
      <c r="K1368" t="s">
        <v>21</v>
      </c>
      <c r="L1368">
        <v>11</v>
      </c>
      <c r="M1368">
        <v>4.5999999999999996</v>
      </c>
      <c r="N1368">
        <v>2073</v>
      </c>
      <c r="O1368" t="s">
        <v>64</v>
      </c>
      <c r="P1368">
        <v>22.5</v>
      </c>
      <c r="Q1368" t="s">
        <v>79</v>
      </c>
      <c r="R1368">
        <v>68.400000000000006</v>
      </c>
      <c r="S1368">
        <v>1.6</v>
      </c>
      <c r="T1368">
        <v>8.6999999999999993</v>
      </c>
      <c r="U1368">
        <v>7.8</v>
      </c>
      <c r="V1368">
        <v>5.9</v>
      </c>
      <c r="W1368">
        <v>7</v>
      </c>
      <c r="X1368" t="s">
        <v>57</v>
      </c>
    </row>
    <row r="1369" spans="2:24" x14ac:dyDescent="0.3">
      <c r="B1369" t="s">
        <v>1462</v>
      </c>
      <c r="C1369" t="s">
        <v>92</v>
      </c>
      <c r="D1369" t="s">
        <v>7</v>
      </c>
      <c r="E1369" t="s">
        <v>15</v>
      </c>
      <c r="F1369" t="s">
        <v>10</v>
      </c>
      <c r="G1369" t="s">
        <v>74</v>
      </c>
      <c r="H1369">
        <v>2026</v>
      </c>
      <c r="I1369">
        <v>434</v>
      </c>
      <c r="J1369">
        <v>2.1</v>
      </c>
      <c r="K1369" t="s">
        <v>22</v>
      </c>
      <c r="L1369">
        <v>10.199999999999999</v>
      </c>
      <c r="M1369">
        <v>10</v>
      </c>
      <c r="N1369">
        <v>2100</v>
      </c>
      <c r="O1369" t="s">
        <v>55</v>
      </c>
      <c r="P1369">
        <v>26.3</v>
      </c>
      <c r="Q1369" t="s">
        <v>125</v>
      </c>
      <c r="R1369">
        <v>61</v>
      </c>
      <c r="S1369">
        <v>-19.600000000000001</v>
      </c>
      <c r="T1369">
        <v>-13.3</v>
      </c>
      <c r="U1369">
        <v>9.5</v>
      </c>
      <c r="V1369">
        <v>5.5</v>
      </c>
      <c r="W1369">
        <v>5.5</v>
      </c>
      <c r="X1369" t="s">
        <v>57</v>
      </c>
    </row>
    <row r="1370" spans="2:24" x14ac:dyDescent="0.3">
      <c r="B1370" t="s">
        <v>1463</v>
      </c>
      <c r="C1370" t="s">
        <v>90</v>
      </c>
      <c r="D1370" t="s">
        <v>3</v>
      </c>
      <c r="E1370" t="s">
        <v>15</v>
      </c>
      <c r="F1370" t="s">
        <v>11</v>
      </c>
      <c r="G1370" t="s">
        <v>101</v>
      </c>
      <c r="H1370">
        <v>2026</v>
      </c>
      <c r="I1370">
        <v>1824</v>
      </c>
      <c r="J1370">
        <v>9.9</v>
      </c>
      <c r="K1370" t="s">
        <v>24</v>
      </c>
      <c r="L1370">
        <v>5.2</v>
      </c>
      <c r="M1370">
        <v>3.5</v>
      </c>
      <c r="N1370">
        <v>556</v>
      </c>
      <c r="O1370" t="s">
        <v>64</v>
      </c>
      <c r="P1370">
        <v>21</v>
      </c>
      <c r="Q1370" t="s">
        <v>84</v>
      </c>
      <c r="R1370">
        <v>19.600000000000001</v>
      </c>
      <c r="S1370">
        <v>-12.2</v>
      </c>
      <c r="T1370">
        <v>-5.2</v>
      </c>
      <c r="U1370">
        <v>4.0999999999999996</v>
      </c>
      <c r="V1370">
        <v>6</v>
      </c>
      <c r="W1370">
        <v>6.7</v>
      </c>
      <c r="X1370" t="s">
        <v>57</v>
      </c>
    </row>
    <row r="1371" spans="2:24" x14ac:dyDescent="0.3">
      <c r="B1371" t="s">
        <v>1464</v>
      </c>
      <c r="C1371" t="s">
        <v>73</v>
      </c>
      <c r="D1371" t="s">
        <v>3</v>
      </c>
      <c r="E1371" t="s">
        <v>15</v>
      </c>
      <c r="F1371" t="s">
        <v>12</v>
      </c>
      <c r="G1371" t="s">
        <v>54</v>
      </c>
      <c r="H1371">
        <v>2025</v>
      </c>
      <c r="I1371">
        <v>18249</v>
      </c>
      <c r="J1371">
        <v>30.9</v>
      </c>
      <c r="K1371" t="s">
        <v>23</v>
      </c>
      <c r="L1371">
        <v>11.4</v>
      </c>
      <c r="M1371">
        <v>10</v>
      </c>
      <c r="N1371">
        <v>399</v>
      </c>
      <c r="O1371" t="s">
        <v>75</v>
      </c>
      <c r="P1371">
        <v>67.7</v>
      </c>
      <c r="Q1371" t="s">
        <v>79</v>
      </c>
      <c r="R1371">
        <v>-25.2</v>
      </c>
      <c r="S1371">
        <v>6.9</v>
      </c>
      <c r="T1371">
        <v>5.8</v>
      </c>
      <c r="U1371">
        <v>7.8</v>
      </c>
      <c r="V1371">
        <v>3</v>
      </c>
      <c r="W1371">
        <v>2.8</v>
      </c>
      <c r="X1371" t="s">
        <v>66</v>
      </c>
    </row>
    <row r="1372" spans="2:24" x14ac:dyDescent="0.3">
      <c r="B1372" t="s">
        <v>1465</v>
      </c>
      <c r="C1372" t="s">
        <v>100</v>
      </c>
      <c r="D1372" t="s">
        <v>3</v>
      </c>
      <c r="E1372" t="s">
        <v>15</v>
      </c>
      <c r="F1372" t="s">
        <v>9</v>
      </c>
      <c r="G1372" t="s">
        <v>54</v>
      </c>
      <c r="H1372">
        <v>2024</v>
      </c>
      <c r="I1372">
        <v>369</v>
      </c>
      <c r="J1372">
        <v>9.3000000000000007</v>
      </c>
      <c r="K1372" t="s">
        <v>24</v>
      </c>
      <c r="L1372">
        <v>9.3000000000000007</v>
      </c>
      <c r="M1372">
        <v>8.1999999999999993</v>
      </c>
      <c r="N1372">
        <v>1037</v>
      </c>
      <c r="O1372" t="s">
        <v>64</v>
      </c>
      <c r="P1372">
        <v>74.400000000000006</v>
      </c>
      <c r="Q1372" t="s">
        <v>79</v>
      </c>
      <c r="R1372">
        <v>28.1</v>
      </c>
      <c r="S1372">
        <v>20.2</v>
      </c>
      <c r="T1372">
        <v>8.6999999999999993</v>
      </c>
      <c r="U1372">
        <v>6.5</v>
      </c>
      <c r="V1372">
        <v>8</v>
      </c>
      <c r="W1372">
        <v>6.3</v>
      </c>
      <c r="X1372" t="s">
        <v>116</v>
      </c>
    </row>
    <row r="1373" spans="2:24" x14ac:dyDescent="0.3">
      <c r="B1373" t="s">
        <v>1466</v>
      </c>
      <c r="C1373" t="s">
        <v>90</v>
      </c>
      <c r="D1373" t="s">
        <v>5</v>
      </c>
      <c r="E1373" t="s">
        <v>19</v>
      </c>
      <c r="F1373" t="s">
        <v>11</v>
      </c>
      <c r="G1373" t="s">
        <v>115</v>
      </c>
      <c r="H1373">
        <v>2026</v>
      </c>
      <c r="I1373">
        <v>2295</v>
      </c>
      <c r="J1373">
        <v>6.9</v>
      </c>
      <c r="K1373" t="s">
        <v>21</v>
      </c>
      <c r="L1373">
        <v>2</v>
      </c>
      <c r="M1373">
        <v>2.5</v>
      </c>
      <c r="N1373">
        <v>3830</v>
      </c>
      <c r="O1373" t="s">
        <v>64</v>
      </c>
      <c r="P1373">
        <v>75.900000000000006</v>
      </c>
      <c r="Q1373" t="s">
        <v>86</v>
      </c>
      <c r="R1373">
        <v>64</v>
      </c>
      <c r="S1373">
        <v>50.6</v>
      </c>
      <c r="T1373">
        <v>13.6</v>
      </c>
      <c r="U1373">
        <v>2.9</v>
      </c>
      <c r="V1373">
        <v>9.9</v>
      </c>
      <c r="W1373">
        <v>8.4</v>
      </c>
      <c r="X1373" t="s">
        <v>57</v>
      </c>
    </row>
    <row r="1374" spans="2:24" x14ac:dyDescent="0.3">
      <c r="B1374" t="s">
        <v>1467</v>
      </c>
      <c r="C1374" t="s">
        <v>100</v>
      </c>
      <c r="D1374" t="s">
        <v>3</v>
      </c>
      <c r="E1374" t="s">
        <v>18</v>
      </c>
      <c r="F1374" t="s">
        <v>12</v>
      </c>
      <c r="G1374" t="s">
        <v>63</v>
      </c>
      <c r="H1374">
        <v>2024</v>
      </c>
      <c r="I1374">
        <v>1315</v>
      </c>
      <c r="J1374">
        <v>4.7</v>
      </c>
      <c r="K1374" t="s">
        <v>21</v>
      </c>
      <c r="L1374">
        <v>4.5</v>
      </c>
      <c r="M1374">
        <v>5.4</v>
      </c>
      <c r="N1374">
        <v>2569</v>
      </c>
      <c r="O1374" t="s">
        <v>55</v>
      </c>
      <c r="P1374">
        <v>29.8</v>
      </c>
      <c r="Q1374" t="s">
        <v>79</v>
      </c>
      <c r="R1374">
        <v>40.299999999999997</v>
      </c>
      <c r="S1374">
        <v>-21.5</v>
      </c>
      <c r="T1374">
        <v>-5.4</v>
      </c>
      <c r="U1374">
        <v>6</v>
      </c>
      <c r="V1374">
        <v>6.2</v>
      </c>
      <c r="W1374">
        <v>5.2</v>
      </c>
      <c r="X1374" t="s">
        <v>57</v>
      </c>
    </row>
    <row r="1375" spans="2:24" x14ac:dyDescent="0.3">
      <c r="B1375" t="s">
        <v>1468</v>
      </c>
      <c r="C1375" t="s">
        <v>53</v>
      </c>
      <c r="D1375" t="s">
        <v>7</v>
      </c>
      <c r="E1375" t="s">
        <v>14</v>
      </c>
      <c r="F1375" t="s">
        <v>11</v>
      </c>
      <c r="G1375" t="s">
        <v>63</v>
      </c>
      <c r="H1375">
        <v>2024</v>
      </c>
      <c r="I1375">
        <v>13472</v>
      </c>
      <c r="J1375">
        <v>11.5</v>
      </c>
      <c r="K1375" t="s">
        <v>21</v>
      </c>
      <c r="L1375">
        <v>9.6</v>
      </c>
      <c r="M1375">
        <v>5.0999999999999996</v>
      </c>
      <c r="N1375">
        <v>1719</v>
      </c>
      <c r="O1375" t="s">
        <v>64</v>
      </c>
      <c r="P1375">
        <v>28.1</v>
      </c>
      <c r="Q1375" t="s">
        <v>125</v>
      </c>
      <c r="R1375">
        <v>-39.799999999999997</v>
      </c>
      <c r="S1375">
        <v>44.5</v>
      </c>
      <c r="T1375">
        <v>15.3</v>
      </c>
      <c r="U1375">
        <v>5.9</v>
      </c>
      <c r="V1375">
        <v>5.7</v>
      </c>
      <c r="W1375">
        <v>7.3</v>
      </c>
      <c r="X1375" t="s">
        <v>66</v>
      </c>
    </row>
    <row r="1376" spans="2:24" x14ac:dyDescent="0.3">
      <c r="B1376" t="s">
        <v>1469</v>
      </c>
      <c r="C1376" t="s">
        <v>92</v>
      </c>
      <c r="D1376" t="s">
        <v>7</v>
      </c>
      <c r="E1376" t="s">
        <v>15</v>
      </c>
      <c r="F1376" t="s">
        <v>12</v>
      </c>
      <c r="G1376" t="s">
        <v>101</v>
      </c>
      <c r="H1376">
        <v>2025</v>
      </c>
      <c r="I1376">
        <v>2154</v>
      </c>
      <c r="J1376">
        <v>6.6</v>
      </c>
      <c r="K1376" t="s">
        <v>24</v>
      </c>
      <c r="L1376">
        <v>1.9</v>
      </c>
      <c r="M1376">
        <v>1</v>
      </c>
      <c r="N1376">
        <v>1882</v>
      </c>
      <c r="O1376" t="s">
        <v>64</v>
      </c>
      <c r="P1376">
        <v>28.2</v>
      </c>
      <c r="Q1376" t="s">
        <v>125</v>
      </c>
      <c r="R1376">
        <v>78.099999999999994</v>
      </c>
      <c r="S1376">
        <v>9.1</v>
      </c>
      <c r="T1376">
        <v>8.5</v>
      </c>
      <c r="U1376">
        <v>1.6</v>
      </c>
      <c r="V1376">
        <v>5.3</v>
      </c>
      <c r="W1376">
        <v>7</v>
      </c>
      <c r="X1376" t="s">
        <v>57</v>
      </c>
    </row>
    <row r="1377" spans="2:24" x14ac:dyDescent="0.3">
      <c r="B1377" t="s">
        <v>1470</v>
      </c>
      <c r="C1377" t="s">
        <v>90</v>
      </c>
      <c r="D1377" t="s">
        <v>2</v>
      </c>
      <c r="E1377" t="s">
        <v>14</v>
      </c>
      <c r="F1377" t="s">
        <v>10</v>
      </c>
      <c r="G1377" t="s">
        <v>69</v>
      </c>
      <c r="H1377">
        <v>2025</v>
      </c>
      <c r="I1377">
        <v>1179</v>
      </c>
      <c r="J1377">
        <v>0.5</v>
      </c>
      <c r="K1377" t="s">
        <v>22</v>
      </c>
      <c r="L1377">
        <v>1.4</v>
      </c>
      <c r="M1377">
        <v>1</v>
      </c>
      <c r="N1377">
        <v>8079</v>
      </c>
      <c r="O1377" t="s">
        <v>118</v>
      </c>
      <c r="P1377">
        <v>30.3</v>
      </c>
      <c r="Q1377" t="s">
        <v>56</v>
      </c>
      <c r="R1377">
        <v>-35.6</v>
      </c>
      <c r="S1377">
        <v>3.2</v>
      </c>
      <c r="T1377">
        <v>-3.1</v>
      </c>
      <c r="U1377">
        <v>1.1000000000000001</v>
      </c>
      <c r="V1377">
        <v>7.7</v>
      </c>
      <c r="W1377">
        <v>6.9</v>
      </c>
      <c r="X1377" t="s">
        <v>57</v>
      </c>
    </row>
    <row r="1378" spans="2:24" x14ac:dyDescent="0.3">
      <c r="B1378" t="s">
        <v>1471</v>
      </c>
      <c r="C1378" t="s">
        <v>90</v>
      </c>
      <c r="D1378" t="s">
        <v>2</v>
      </c>
      <c r="E1378" t="s">
        <v>14</v>
      </c>
      <c r="F1378" t="s">
        <v>9</v>
      </c>
      <c r="G1378" t="s">
        <v>54</v>
      </c>
      <c r="H1378">
        <v>2025</v>
      </c>
      <c r="I1378">
        <v>5429</v>
      </c>
      <c r="J1378">
        <v>17.7</v>
      </c>
      <c r="K1378" t="s">
        <v>22</v>
      </c>
      <c r="L1378">
        <v>3</v>
      </c>
      <c r="M1378">
        <v>3.4</v>
      </c>
      <c r="N1378">
        <v>3547</v>
      </c>
      <c r="O1378" t="s">
        <v>64</v>
      </c>
      <c r="P1378">
        <v>23.9</v>
      </c>
      <c r="Q1378" t="s">
        <v>76</v>
      </c>
      <c r="R1378">
        <v>25.6</v>
      </c>
      <c r="S1378">
        <v>-15</v>
      </c>
      <c r="T1378">
        <v>-1.8</v>
      </c>
      <c r="U1378">
        <v>2.8</v>
      </c>
      <c r="V1378">
        <v>5.4</v>
      </c>
      <c r="W1378">
        <v>4.2</v>
      </c>
      <c r="X1378" t="s">
        <v>66</v>
      </c>
    </row>
    <row r="1379" spans="2:24" x14ac:dyDescent="0.3">
      <c r="B1379" t="s">
        <v>1472</v>
      </c>
      <c r="C1379" t="s">
        <v>97</v>
      </c>
      <c r="D1379" t="s">
        <v>3</v>
      </c>
      <c r="E1379" t="s">
        <v>14</v>
      </c>
      <c r="F1379" t="s">
        <v>12</v>
      </c>
      <c r="G1379" t="s">
        <v>54</v>
      </c>
      <c r="H1379">
        <v>2026</v>
      </c>
      <c r="I1379">
        <v>4986</v>
      </c>
      <c r="J1379">
        <v>2.7</v>
      </c>
      <c r="K1379" t="s">
        <v>24</v>
      </c>
      <c r="L1379">
        <v>3.4</v>
      </c>
      <c r="M1379">
        <v>1.3</v>
      </c>
      <c r="N1379">
        <v>5512</v>
      </c>
      <c r="O1379" t="s">
        <v>55</v>
      </c>
      <c r="P1379">
        <v>14.3</v>
      </c>
      <c r="Q1379" t="s">
        <v>56</v>
      </c>
      <c r="R1379">
        <v>43.2</v>
      </c>
      <c r="S1379">
        <v>19.2</v>
      </c>
      <c r="T1379">
        <v>6.2</v>
      </c>
      <c r="U1379">
        <v>2.8</v>
      </c>
      <c r="V1379">
        <v>6.9</v>
      </c>
      <c r="W1379">
        <v>7.7</v>
      </c>
      <c r="X1379" t="s">
        <v>116</v>
      </c>
    </row>
    <row r="1380" spans="2:24" x14ac:dyDescent="0.3">
      <c r="B1380" t="s">
        <v>1473</v>
      </c>
      <c r="C1380" t="s">
        <v>71</v>
      </c>
      <c r="D1380" t="s">
        <v>5</v>
      </c>
      <c r="E1380" t="s">
        <v>15</v>
      </c>
      <c r="F1380" t="s">
        <v>11</v>
      </c>
      <c r="G1380" t="s">
        <v>69</v>
      </c>
      <c r="H1380">
        <v>2026</v>
      </c>
      <c r="I1380">
        <v>3316</v>
      </c>
      <c r="J1380">
        <v>17.8</v>
      </c>
      <c r="K1380" t="s">
        <v>25</v>
      </c>
      <c r="L1380">
        <v>9.4</v>
      </c>
      <c r="M1380">
        <v>9.1999999999999993</v>
      </c>
      <c r="N1380">
        <v>3978</v>
      </c>
      <c r="O1380" t="s">
        <v>55</v>
      </c>
      <c r="P1380">
        <v>61.3</v>
      </c>
      <c r="Q1380" t="s">
        <v>125</v>
      </c>
      <c r="R1380">
        <v>-26.9</v>
      </c>
      <c r="S1380">
        <v>-4.5999999999999996</v>
      </c>
      <c r="T1380">
        <v>0.3</v>
      </c>
      <c r="U1380">
        <v>8</v>
      </c>
      <c r="V1380">
        <v>7.3</v>
      </c>
      <c r="W1380">
        <v>3.6</v>
      </c>
      <c r="X1380" t="s">
        <v>116</v>
      </c>
    </row>
    <row r="1381" spans="2:24" x14ac:dyDescent="0.3">
      <c r="B1381" t="s">
        <v>1474</v>
      </c>
      <c r="C1381" t="s">
        <v>62</v>
      </c>
      <c r="D1381" t="s">
        <v>2</v>
      </c>
      <c r="E1381" t="s">
        <v>18</v>
      </c>
      <c r="F1381" t="s">
        <v>11</v>
      </c>
      <c r="G1381" t="s">
        <v>60</v>
      </c>
      <c r="H1381">
        <v>2025</v>
      </c>
      <c r="I1381">
        <v>1872</v>
      </c>
      <c r="J1381">
        <v>4.9000000000000004</v>
      </c>
      <c r="K1381" t="s">
        <v>23</v>
      </c>
      <c r="L1381">
        <v>10.4</v>
      </c>
      <c r="M1381">
        <v>7.7</v>
      </c>
      <c r="N1381">
        <v>7513</v>
      </c>
      <c r="O1381" t="s">
        <v>118</v>
      </c>
      <c r="P1381">
        <v>44.6</v>
      </c>
      <c r="Q1381" t="s">
        <v>56</v>
      </c>
      <c r="R1381">
        <v>-6.6</v>
      </c>
      <c r="S1381">
        <v>39.6</v>
      </c>
      <c r="T1381">
        <v>16</v>
      </c>
      <c r="U1381">
        <v>9.5</v>
      </c>
      <c r="V1381">
        <v>8.9</v>
      </c>
      <c r="W1381">
        <v>8.1</v>
      </c>
      <c r="X1381" t="s">
        <v>57</v>
      </c>
    </row>
    <row r="1382" spans="2:24" x14ac:dyDescent="0.3">
      <c r="B1382" t="s">
        <v>1475</v>
      </c>
      <c r="C1382" t="s">
        <v>106</v>
      </c>
      <c r="D1382" t="s">
        <v>2</v>
      </c>
      <c r="E1382" t="s">
        <v>14</v>
      </c>
      <c r="F1382" t="s">
        <v>11</v>
      </c>
      <c r="G1382" t="s">
        <v>54</v>
      </c>
      <c r="H1382">
        <v>2024</v>
      </c>
      <c r="I1382">
        <v>1845</v>
      </c>
      <c r="J1382">
        <v>7.2</v>
      </c>
      <c r="K1382" t="s">
        <v>23</v>
      </c>
      <c r="L1382">
        <v>10.3</v>
      </c>
      <c r="M1382">
        <v>10</v>
      </c>
      <c r="N1382">
        <v>6490</v>
      </c>
      <c r="O1382" t="s">
        <v>55</v>
      </c>
      <c r="P1382">
        <v>20.5</v>
      </c>
      <c r="Q1382" t="s">
        <v>76</v>
      </c>
      <c r="R1382">
        <v>62.8</v>
      </c>
      <c r="S1382">
        <v>54.9</v>
      </c>
      <c r="T1382">
        <v>17.100000000000001</v>
      </c>
      <c r="U1382">
        <v>6.5</v>
      </c>
      <c r="V1382">
        <v>6.8</v>
      </c>
      <c r="W1382">
        <v>6.9</v>
      </c>
      <c r="X1382" t="s">
        <v>57</v>
      </c>
    </row>
    <row r="1383" spans="2:24" x14ac:dyDescent="0.3">
      <c r="B1383" t="s">
        <v>1476</v>
      </c>
      <c r="C1383" t="s">
        <v>92</v>
      </c>
      <c r="D1383" t="s">
        <v>7</v>
      </c>
      <c r="E1383" t="s">
        <v>15</v>
      </c>
      <c r="F1383" t="s">
        <v>9</v>
      </c>
      <c r="G1383" t="s">
        <v>60</v>
      </c>
      <c r="H1383">
        <v>2025</v>
      </c>
      <c r="I1383">
        <v>762</v>
      </c>
      <c r="J1383">
        <v>8.3000000000000007</v>
      </c>
      <c r="K1383" t="s">
        <v>21</v>
      </c>
      <c r="L1383">
        <v>2.1</v>
      </c>
      <c r="M1383">
        <v>2.4</v>
      </c>
      <c r="N1383">
        <v>3647</v>
      </c>
      <c r="O1383" t="s">
        <v>64</v>
      </c>
      <c r="P1383">
        <v>75.599999999999994</v>
      </c>
      <c r="Q1383" t="s">
        <v>79</v>
      </c>
      <c r="R1383">
        <v>-15.7</v>
      </c>
      <c r="S1383">
        <v>41.1</v>
      </c>
      <c r="T1383">
        <v>14.4</v>
      </c>
      <c r="U1383">
        <v>2.6</v>
      </c>
      <c r="V1383">
        <v>8.1999999999999993</v>
      </c>
      <c r="W1383">
        <v>8.6</v>
      </c>
      <c r="X1383" t="s">
        <v>57</v>
      </c>
    </row>
    <row r="1384" spans="2:24" x14ac:dyDescent="0.3">
      <c r="B1384" t="s">
        <v>1477</v>
      </c>
      <c r="C1384" t="s">
        <v>27</v>
      </c>
      <c r="D1384" t="s">
        <v>2</v>
      </c>
      <c r="E1384" t="s">
        <v>14</v>
      </c>
      <c r="F1384" t="s">
        <v>11</v>
      </c>
      <c r="G1384" t="s">
        <v>101</v>
      </c>
      <c r="H1384">
        <v>2024</v>
      </c>
      <c r="I1384">
        <v>352</v>
      </c>
      <c r="J1384">
        <v>8.9</v>
      </c>
      <c r="K1384" t="s">
        <v>23</v>
      </c>
      <c r="L1384">
        <v>3.7</v>
      </c>
      <c r="M1384">
        <v>3.4</v>
      </c>
      <c r="N1384">
        <v>5219</v>
      </c>
      <c r="O1384" t="s">
        <v>55</v>
      </c>
      <c r="P1384">
        <v>35.4</v>
      </c>
      <c r="Q1384" t="s">
        <v>56</v>
      </c>
      <c r="R1384">
        <v>76.099999999999994</v>
      </c>
      <c r="S1384">
        <v>5.5</v>
      </c>
      <c r="T1384">
        <v>5.2</v>
      </c>
      <c r="U1384">
        <v>2.2999999999999998</v>
      </c>
      <c r="V1384">
        <v>5.3</v>
      </c>
      <c r="W1384">
        <v>5.8</v>
      </c>
      <c r="X1384" t="s">
        <v>57</v>
      </c>
    </row>
    <row r="1385" spans="2:24" x14ac:dyDescent="0.3">
      <c r="B1385" t="s">
        <v>1478</v>
      </c>
      <c r="C1385" t="s">
        <v>106</v>
      </c>
      <c r="D1385" t="s">
        <v>7</v>
      </c>
      <c r="E1385" t="s">
        <v>18</v>
      </c>
      <c r="F1385" t="s">
        <v>9</v>
      </c>
      <c r="G1385" t="s">
        <v>98</v>
      </c>
      <c r="H1385">
        <v>2025</v>
      </c>
      <c r="I1385">
        <v>6356</v>
      </c>
      <c r="J1385">
        <v>5.9</v>
      </c>
      <c r="K1385" t="s">
        <v>24</v>
      </c>
      <c r="L1385">
        <v>5.7</v>
      </c>
      <c r="M1385">
        <v>3.1</v>
      </c>
      <c r="N1385">
        <v>1193</v>
      </c>
      <c r="O1385" t="s">
        <v>64</v>
      </c>
      <c r="P1385">
        <v>65.400000000000006</v>
      </c>
      <c r="Q1385" t="s">
        <v>79</v>
      </c>
      <c r="R1385">
        <v>3.5</v>
      </c>
      <c r="S1385">
        <v>-10.8</v>
      </c>
      <c r="T1385">
        <v>-8.1999999999999993</v>
      </c>
      <c r="U1385">
        <v>3.4</v>
      </c>
      <c r="V1385">
        <v>5.9</v>
      </c>
      <c r="W1385">
        <v>6.7</v>
      </c>
      <c r="X1385" t="s">
        <v>116</v>
      </c>
    </row>
    <row r="1386" spans="2:24" x14ac:dyDescent="0.3">
      <c r="B1386" t="s">
        <v>1479</v>
      </c>
      <c r="C1386" t="s">
        <v>137</v>
      </c>
      <c r="D1386" t="s">
        <v>3</v>
      </c>
      <c r="E1386" t="s">
        <v>18</v>
      </c>
      <c r="F1386" t="s">
        <v>10</v>
      </c>
      <c r="G1386" t="s">
        <v>74</v>
      </c>
      <c r="H1386">
        <v>2024</v>
      </c>
      <c r="I1386">
        <v>214</v>
      </c>
      <c r="J1386">
        <v>1.8</v>
      </c>
      <c r="K1386" t="s">
        <v>25</v>
      </c>
      <c r="L1386">
        <v>4.0999999999999996</v>
      </c>
      <c r="M1386">
        <v>6</v>
      </c>
      <c r="N1386">
        <v>5006</v>
      </c>
      <c r="O1386" t="s">
        <v>55</v>
      </c>
      <c r="P1386">
        <v>36.1</v>
      </c>
      <c r="Q1386" t="s">
        <v>86</v>
      </c>
      <c r="R1386">
        <v>31.4</v>
      </c>
      <c r="S1386">
        <v>9.8000000000000007</v>
      </c>
      <c r="T1386">
        <v>2.7</v>
      </c>
      <c r="U1386">
        <v>4.7</v>
      </c>
      <c r="V1386">
        <v>5.6</v>
      </c>
      <c r="W1386">
        <v>6.1</v>
      </c>
      <c r="X1386" t="s">
        <v>57</v>
      </c>
    </row>
    <row r="1387" spans="2:24" x14ac:dyDescent="0.3">
      <c r="B1387" t="s">
        <v>1480</v>
      </c>
      <c r="C1387" t="s">
        <v>122</v>
      </c>
      <c r="D1387" t="s">
        <v>2</v>
      </c>
      <c r="E1387" t="s">
        <v>15</v>
      </c>
      <c r="F1387" t="s">
        <v>10</v>
      </c>
      <c r="G1387" t="s">
        <v>54</v>
      </c>
      <c r="H1387">
        <v>2026</v>
      </c>
      <c r="I1387">
        <v>950</v>
      </c>
      <c r="J1387">
        <v>0.6</v>
      </c>
      <c r="K1387" t="s">
        <v>23</v>
      </c>
      <c r="L1387">
        <v>6.1</v>
      </c>
      <c r="M1387">
        <v>10</v>
      </c>
      <c r="N1387">
        <v>9029</v>
      </c>
      <c r="O1387" t="s">
        <v>118</v>
      </c>
      <c r="P1387">
        <v>71.8</v>
      </c>
      <c r="Q1387" t="s">
        <v>56</v>
      </c>
      <c r="R1387">
        <v>45.8</v>
      </c>
      <c r="S1387">
        <v>-23.1</v>
      </c>
      <c r="T1387">
        <v>-7.9</v>
      </c>
      <c r="U1387">
        <v>7.8</v>
      </c>
      <c r="V1387">
        <v>6.4</v>
      </c>
      <c r="W1387">
        <v>5.6</v>
      </c>
      <c r="X1387" t="s">
        <v>57</v>
      </c>
    </row>
    <row r="1388" spans="2:24" x14ac:dyDescent="0.3">
      <c r="B1388" t="s">
        <v>1481</v>
      </c>
      <c r="C1388" t="s">
        <v>53</v>
      </c>
      <c r="D1388" t="s">
        <v>3</v>
      </c>
      <c r="E1388" t="s">
        <v>18</v>
      </c>
      <c r="F1388" t="s">
        <v>10</v>
      </c>
      <c r="G1388" t="s">
        <v>74</v>
      </c>
      <c r="H1388">
        <v>2025</v>
      </c>
      <c r="I1388">
        <v>3619</v>
      </c>
      <c r="J1388">
        <v>5.3</v>
      </c>
      <c r="K1388" t="s">
        <v>24</v>
      </c>
      <c r="L1388">
        <v>4.4000000000000004</v>
      </c>
      <c r="M1388">
        <v>4.3</v>
      </c>
      <c r="N1388">
        <v>1798</v>
      </c>
      <c r="O1388" t="s">
        <v>64</v>
      </c>
      <c r="P1388">
        <v>71.5</v>
      </c>
      <c r="Q1388" t="s">
        <v>84</v>
      </c>
      <c r="R1388">
        <v>-35.299999999999997</v>
      </c>
      <c r="S1388">
        <v>37.6</v>
      </c>
      <c r="T1388">
        <v>15.2</v>
      </c>
      <c r="U1388">
        <v>3.7</v>
      </c>
      <c r="V1388">
        <v>7</v>
      </c>
      <c r="W1388">
        <v>8.6999999999999993</v>
      </c>
      <c r="X1388" t="s">
        <v>116</v>
      </c>
    </row>
    <row r="1389" spans="2:24" x14ac:dyDescent="0.3">
      <c r="B1389" t="s">
        <v>1482</v>
      </c>
      <c r="C1389" t="s">
        <v>53</v>
      </c>
      <c r="D1389" t="s">
        <v>2</v>
      </c>
      <c r="E1389" t="s">
        <v>17</v>
      </c>
      <c r="F1389" t="s">
        <v>11</v>
      </c>
      <c r="G1389" t="s">
        <v>131</v>
      </c>
      <c r="H1389">
        <v>2024</v>
      </c>
      <c r="I1389">
        <v>458</v>
      </c>
      <c r="J1389">
        <v>12.4</v>
      </c>
      <c r="K1389" t="s">
        <v>21</v>
      </c>
      <c r="L1389">
        <v>12.4</v>
      </c>
      <c r="M1389">
        <v>8.1999999999999993</v>
      </c>
      <c r="N1389">
        <v>5991</v>
      </c>
      <c r="O1389" t="s">
        <v>55</v>
      </c>
      <c r="P1389">
        <v>53.9</v>
      </c>
      <c r="Q1389" t="s">
        <v>56</v>
      </c>
      <c r="R1389">
        <v>40.6</v>
      </c>
      <c r="S1389">
        <v>32.299999999999997</v>
      </c>
      <c r="T1389">
        <v>6.3</v>
      </c>
      <c r="U1389">
        <v>8.4</v>
      </c>
      <c r="V1389">
        <v>7.6</v>
      </c>
      <c r="W1389">
        <v>5.7</v>
      </c>
      <c r="X1389" t="s">
        <v>116</v>
      </c>
    </row>
    <row r="1390" spans="2:24" x14ac:dyDescent="0.3">
      <c r="B1390" t="s">
        <v>1483</v>
      </c>
      <c r="C1390" t="s">
        <v>137</v>
      </c>
      <c r="D1390" t="s">
        <v>4</v>
      </c>
      <c r="E1390" t="s">
        <v>18</v>
      </c>
      <c r="F1390" t="s">
        <v>9</v>
      </c>
      <c r="G1390" t="s">
        <v>131</v>
      </c>
      <c r="H1390">
        <v>2026</v>
      </c>
      <c r="I1390">
        <v>378</v>
      </c>
      <c r="J1390">
        <v>4</v>
      </c>
      <c r="K1390" t="s">
        <v>25</v>
      </c>
      <c r="L1390">
        <v>7.5</v>
      </c>
      <c r="M1390">
        <v>5.6</v>
      </c>
      <c r="N1390">
        <v>2409</v>
      </c>
      <c r="O1390" t="s">
        <v>55</v>
      </c>
      <c r="P1390">
        <v>57</v>
      </c>
      <c r="Q1390" t="s">
        <v>79</v>
      </c>
      <c r="R1390">
        <v>38.299999999999997</v>
      </c>
      <c r="S1390">
        <v>-17.899999999999999</v>
      </c>
      <c r="T1390">
        <v>1.1000000000000001</v>
      </c>
      <c r="U1390">
        <v>5.8</v>
      </c>
      <c r="V1390">
        <v>4.3</v>
      </c>
      <c r="W1390">
        <v>6.3</v>
      </c>
      <c r="X1390" t="s">
        <v>57</v>
      </c>
    </row>
    <row r="1391" spans="2:24" x14ac:dyDescent="0.3">
      <c r="B1391" t="s">
        <v>1484</v>
      </c>
      <c r="C1391" t="s">
        <v>53</v>
      </c>
      <c r="D1391" t="s">
        <v>3</v>
      </c>
      <c r="E1391" t="s">
        <v>17</v>
      </c>
      <c r="F1391" t="s">
        <v>10</v>
      </c>
      <c r="G1391" t="s">
        <v>78</v>
      </c>
      <c r="H1391">
        <v>2024</v>
      </c>
      <c r="I1391">
        <v>4971</v>
      </c>
      <c r="J1391">
        <v>18.7</v>
      </c>
      <c r="K1391" t="s">
        <v>21</v>
      </c>
      <c r="L1391">
        <v>5.6</v>
      </c>
      <c r="M1391">
        <v>10</v>
      </c>
      <c r="N1391">
        <v>646</v>
      </c>
      <c r="O1391" t="s">
        <v>64</v>
      </c>
      <c r="P1391">
        <v>29.3</v>
      </c>
      <c r="Q1391" t="s">
        <v>65</v>
      </c>
      <c r="R1391">
        <v>43.6</v>
      </c>
      <c r="S1391">
        <v>-10.8</v>
      </c>
      <c r="T1391">
        <v>-7.4</v>
      </c>
      <c r="U1391">
        <v>7.2</v>
      </c>
      <c r="V1391">
        <v>6.8</v>
      </c>
      <c r="W1391">
        <v>4</v>
      </c>
      <c r="X1391" t="s">
        <v>66</v>
      </c>
    </row>
    <row r="1392" spans="2:24" x14ac:dyDescent="0.3">
      <c r="B1392" t="s">
        <v>1485</v>
      </c>
      <c r="C1392" t="s">
        <v>53</v>
      </c>
      <c r="D1392" t="s">
        <v>4</v>
      </c>
      <c r="E1392" t="s">
        <v>18</v>
      </c>
      <c r="F1392" t="s">
        <v>9</v>
      </c>
      <c r="G1392" t="s">
        <v>112</v>
      </c>
      <c r="H1392">
        <v>2026</v>
      </c>
      <c r="I1392">
        <v>17354</v>
      </c>
      <c r="J1392">
        <v>9.1999999999999993</v>
      </c>
      <c r="K1392" t="s">
        <v>21</v>
      </c>
      <c r="L1392">
        <v>2.7</v>
      </c>
      <c r="M1392">
        <v>6.4</v>
      </c>
      <c r="N1392">
        <v>202</v>
      </c>
      <c r="O1392" t="s">
        <v>64</v>
      </c>
      <c r="P1392">
        <v>36.299999999999997</v>
      </c>
      <c r="Q1392" t="s">
        <v>86</v>
      </c>
      <c r="R1392">
        <v>-1.5</v>
      </c>
      <c r="S1392">
        <v>47.8</v>
      </c>
      <c r="T1392">
        <v>14.7</v>
      </c>
      <c r="U1392">
        <v>4.2</v>
      </c>
      <c r="V1392">
        <v>8.1</v>
      </c>
      <c r="W1392">
        <v>8.1</v>
      </c>
      <c r="X1392" t="s">
        <v>66</v>
      </c>
    </row>
    <row r="1393" spans="2:24" x14ac:dyDescent="0.3">
      <c r="B1393" t="s">
        <v>1486</v>
      </c>
      <c r="C1393" t="s">
        <v>106</v>
      </c>
      <c r="D1393" t="s">
        <v>4</v>
      </c>
      <c r="E1393" t="s">
        <v>14</v>
      </c>
      <c r="F1393" t="s">
        <v>12</v>
      </c>
      <c r="G1393" t="s">
        <v>60</v>
      </c>
      <c r="H1393">
        <v>2024</v>
      </c>
      <c r="I1393">
        <v>6990</v>
      </c>
      <c r="J1393">
        <v>15.6</v>
      </c>
      <c r="K1393" t="s">
        <v>24</v>
      </c>
      <c r="L1393">
        <v>12.5</v>
      </c>
      <c r="M1393">
        <v>10</v>
      </c>
      <c r="N1393">
        <v>3713</v>
      </c>
      <c r="O1393" t="s">
        <v>55</v>
      </c>
      <c r="P1393">
        <v>39.6</v>
      </c>
      <c r="Q1393" t="s">
        <v>79</v>
      </c>
      <c r="R1393">
        <v>58</v>
      </c>
      <c r="S1393">
        <v>45.6</v>
      </c>
      <c r="T1393">
        <v>12.3</v>
      </c>
      <c r="U1393">
        <v>7.9</v>
      </c>
      <c r="V1393">
        <v>6.7</v>
      </c>
      <c r="W1393">
        <v>5</v>
      </c>
      <c r="X1393" t="s">
        <v>116</v>
      </c>
    </row>
    <row r="1394" spans="2:24" x14ac:dyDescent="0.3">
      <c r="B1394" t="s">
        <v>1487</v>
      </c>
      <c r="C1394" t="s">
        <v>139</v>
      </c>
      <c r="D1394" t="s">
        <v>8</v>
      </c>
      <c r="E1394" t="s">
        <v>15</v>
      </c>
      <c r="F1394" t="s">
        <v>12</v>
      </c>
      <c r="G1394" t="s">
        <v>63</v>
      </c>
      <c r="H1394">
        <v>2025</v>
      </c>
      <c r="I1394">
        <v>1615</v>
      </c>
      <c r="J1394">
        <v>2.2000000000000002</v>
      </c>
      <c r="K1394" t="s">
        <v>24</v>
      </c>
      <c r="L1394">
        <v>5.5</v>
      </c>
      <c r="M1394">
        <v>6.5</v>
      </c>
      <c r="N1394">
        <v>2476</v>
      </c>
      <c r="O1394" t="s">
        <v>64</v>
      </c>
      <c r="P1394">
        <v>88.9</v>
      </c>
      <c r="Q1394" t="s">
        <v>76</v>
      </c>
      <c r="R1394">
        <v>21.8</v>
      </c>
      <c r="S1394">
        <v>-8.5</v>
      </c>
      <c r="T1394">
        <v>-3.9</v>
      </c>
      <c r="U1394">
        <v>4</v>
      </c>
      <c r="V1394">
        <v>6.1</v>
      </c>
      <c r="W1394">
        <v>6.4</v>
      </c>
      <c r="X1394" t="s">
        <v>116</v>
      </c>
    </row>
    <row r="1395" spans="2:24" x14ac:dyDescent="0.3">
      <c r="B1395" t="s">
        <v>1488</v>
      </c>
      <c r="C1395" t="s">
        <v>106</v>
      </c>
      <c r="D1395" t="s">
        <v>4</v>
      </c>
      <c r="E1395" t="s">
        <v>18</v>
      </c>
      <c r="F1395" t="s">
        <v>11</v>
      </c>
      <c r="G1395" t="s">
        <v>104</v>
      </c>
      <c r="H1395">
        <v>2024</v>
      </c>
      <c r="I1395">
        <v>1452</v>
      </c>
      <c r="J1395">
        <v>2.6</v>
      </c>
      <c r="K1395" t="s">
        <v>23</v>
      </c>
      <c r="L1395">
        <v>11.1</v>
      </c>
      <c r="M1395">
        <v>8</v>
      </c>
      <c r="N1395">
        <v>3983</v>
      </c>
      <c r="O1395" t="s">
        <v>118</v>
      </c>
      <c r="P1395">
        <v>19.3</v>
      </c>
      <c r="Q1395" t="s">
        <v>86</v>
      </c>
      <c r="R1395">
        <v>-19.899999999999999</v>
      </c>
      <c r="S1395">
        <v>30.9</v>
      </c>
      <c r="T1395">
        <v>19.7</v>
      </c>
      <c r="U1395">
        <v>9.8000000000000007</v>
      </c>
      <c r="V1395">
        <v>8.3000000000000007</v>
      </c>
      <c r="W1395">
        <v>7.8</v>
      </c>
      <c r="X1395" t="s">
        <v>57</v>
      </c>
    </row>
    <row r="1396" spans="2:24" x14ac:dyDescent="0.3">
      <c r="B1396" t="s">
        <v>1489</v>
      </c>
      <c r="C1396" t="s">
        <v>71</v>
      </c>
      <c r="D1396" t="s">
        <v>5</v>
      </c>
      <c r="E1396" t="s">
        <v>14</v>
      </c>
      <c r="F1396" t="s">
        <v>10</v>
      </c>
      <c r="G1396" t="s">
        <v>63</v>
      </c>
      <c r="H1396">
        <v>2026</v>
      </c>
      <c r="I1396">
        <v>4902</v>
      </c>
      <c r="J1396">
        <v>12.2</v>
      </c>
      <c r="K1396" t="s">
        <v>21</v>
      </c>
      <c r="L1396">
        <v>5.8</v>
      </c>
      <c r="M1396">
        <v>9.3000000000000007</v>
      </c>
      <c r="N1396">
        <v>1618</v>
      </c>
      <c r="O1396" t="s">
        <v>64</v>
      </c>
      <c r="P1396">
        <v>62.3</v>
      </c>
      <c r="Q1396" t="s">
        <v>56</v>
      </c>
      <c r="R1396">
        <v>72.400000000000006</v>
      </c>
      <c r="S1396">
        <v>12.7</v>
      </c>
      <c r="T1396">
        <v>12.6</v>
      </c>
      <c r="U1396">
        <v>6.3</v>
      </c>
      <c r="V1396">
        <v>8.4</v>
      </c>
      <c r="W1396">
        <v>4.5999999999999996</v>
      </c>
      <c r="X1396" t="s">
        <v>116</v>
      </c>
    </row>
    <row r="1397" spans="2:24" x14ac:dyDescent="0.3">
      <c r="B1397" t="s">
        <v>1490</v>
      </c>
      <c r="C1397" t="s">
        <v>53</v>
      </c>
      <c r="D1397" t="s">
        <v>2</v>
      </c>
      <c r="E1397" t="s">
        <v>17</v>
      </c>
      <c r="F1397" t="s">
        <v>12</v>
      </c>
      <c r="G1397" t="s">
        <v>101</v>
      </c>
      <c r="H1397">
        <v>2024</v>
      </c>
      <c r="I1397">
        <v>2000</v>
      </c>
      <c r="J1397">
        <v>0.1</v>
      </c>
      <c r="K1397" t="s">
        <v>21</v>
      </c>
      <c r="L1397">
        <v>4.5</v>
      </c>
      <c r="M1397">
        <v>5.6</v>
      </c>
      <c r="N1397">
        <v>2196</v>
      </c>
      <c r="O1397" t="s">
        <v>64</v>
      </c>
      <c r="P1397">
        <v>20.5</v>
      </c>
      <c r="Q1397" t="s">
        <v>56</v>
      </c>
      <c r="R1397">
        <v>41.8</v>
      </c>
      <c r="S1397">
        <v>4</v>
      </c>
      <c r="T1397">
        <v>0</v>
      </c>
      <c r="U1397">
        <v>4.0999999999999996</v>
      </c>
      <c r="V1397">
        <v>8.5</v>
      </c>
      <c r="W1397">
        <v>6.7</v>
      </c>
      <c r="X1397" t="s">
        <v>57</v>
      </c>
    </row>
    <row r="1398" spans="2:24" x14ac:dyDescent="0.3">
      <c r="B1398" t="s">
        <v>1491</v>
      </c>
      <c r="C1398" t="s">
        <v>94</v>
      </c>
      <c r="D1398" t="s">
        <v>6</v>
      </c>
      <c r="E1398" t="s">
        <v>14</v>
      </c>
      <c r="F1398" t="s">
        <v>10</v>
      </c>
      <c r="G1398" t="s">
        <v>54</v>
      </c>
      <c r="H1398">
        <v>2024</v>
      </c>
      <c r="I1398">
        <v>3390</v>
      </c>
      <c r="J1398">
        <v>30.7</v>
      </c>
      <c r="K1398" t="s">
        <v>24</v>
      </c>
      <c r="L1398">
        <v>1.7</v>
      </c>
      <c r="M1398">
        <v>10</v>
      </c>
      <c r="N1398">
        <v>434</v>
      </c>
      <c r="O1398" t="s">
        <v>75</v>
      </c>
      <c r="P1398">
        <v>85</v>
      </c>
      <c r="Q1398" t="s">
        <v>76</v>
      </c>
      <c r="R1398">
        <v>73.099999999999994</v>
      </c>
      <c r="S1398">
        <v>-2.2999999999999998</v>
      </c>
      <c r="T1398">
        <v>-7.6</v>
      </c>
      <c r="U1398">
        <v>2.5</v>
      </c>
      <c r="V1398">
        <v>5.6</v>
      </c>
      <c r="W1398">
        <v>2.5</v>
      </c>
      <c r="X1398" t="s">
        <v>66</v>
      </c>
    </row>
    <row r="1399" spans="2:24" x14ac:dyDescent="0.3">
      <c r="B1399" t="s">
        <v>1492</v>
      </c>
      <c r="C1399" t="s">
        <v>122</v>
      </c>
      <c r="D1399" t="s">
        <v>2</v>
      </c>
      <c r="E1399" t="s">
        <v>17</v>
      </c>
      <c r="F1399" t="s">
        <v>10</v>
      </c>
      <c r="G1399" t="s">
        <v>63</v>
      </c>
      <c r="H1399">
        <v>2025</v>
      </c>
      <c r="I1399">
        <v>152</v>
      </c>
      <c r="J1399">
        <v>8.5</v>
      </c>
      <c r="K1399" t="s">
        <v>21</v>
      </c>
      <c r="L1399">
        <v>10.9</v>
      </c>
      <c r="M1399">
        <v>6.4</v>
      </c>
      <c r="N1399">
        <v>5288</v>
      </c>
      <c r="O1399" t="s">
        <v>55</v>
      </c>
      <c r="P1399">
        <v>42</v>
      </c>
      <c r="Q1399" t="s">
        <v>56</v>
      </c>
      <c r="R1399">
        <v>18.100000000000001</v>
      </c>
      <c r="S1399">
        <v>49.1</v>
      </c>
      <c r="T1399">
        <v>10.7</v>
      </c>
      <c r="U1399">
        <v>6.5</v>
      </c>
      <c r="V1399">
        <v>7.8</v>
      </c>
      <c r="W1399">
        <v>8.1999999999999993</v>
      </c>
      <c r="X1399" t="s">
        <v>57</v>
      </c>
    </row>
    <row r="1400" spans="2:24" x14ac:dyDescent="0.3">
      <c r="B1400" t="s">
        <v>1493</v>
      </c>
      <c r="C1400" t="s">
        <v>53</v>
      </c>
      <c r="D1400" t="s">
        <v>3</v>
      </c>
      <c r="E1400" t="s">
        <v>19</v>
      </c>
      <c r="F1400" t="s">
        <v>9</v>
      </c>
      <c r="G1400" t="s">
        <v>54</v>
      </c>
      <c r="H1400">
        <v>2025</v>
      </c>
      <c r="I1400">
        <v>13815</v>
      </c>
      <c r="J1400">
        <v>34.9</v>
      </c>
      <c r="K1400" t="s">
        <v>21</v>
      </c>
      <c r="L1400">
        <v>4.5</v>
      </c>
      <c r="M1400">
        <v>10</v>
      </c>
      <c r="N1400">
        <v>277</v>
      </c>
      <c r="O1400" t="s">
        <v>75</v>
      </c>
      <c r="P1400">
        <v>65.2</v>
      </c>
      <c r="Q1400" t="s">
        <v>56</v>
      </c>
      <c r="R1400">
        <v>-1.7</v>
      </c>
      <c r="S1400">
        <v>-21.5</v>
      </c>
      <c r="T1400">
        <v>-24.7</v>
      </c>
      <c r="U1400">
        <v>6.9</v>
      </c>
      <c r="V1400">
        <v>5.0999999999999996</v>
      </c>
      <c r="W1400">
        <v>1.8</v>
      </c>
      <c r="X1400" t="s">
        <v>66</v>
      </c>
    </row>
    <row r="1401" spans="2:24" x14ac:dyDescent="0.3">
      <c r="B1401" t="s">
        <v>1494</v>
      </c>
      <c r="C1401" t="s">
        <v>62</v>
      </c>
      <c r="D1401" t="s">
        <v>2</v>
      </c>
      <c r="E1401" t="s">
        <v>14</v>
      </c>
      <c r="F1401" t="s">
        <v>11</v>
      </c>
      <c r="G1401" t="s">
        <v>69</v>
      </c>
      <c r="H1401">
        <v>2024</v>
      </c>
      <c r="I1401">
        <v>4570</v>
      </c>
      <c r="J1401">
        <v>4.3</v>
      </c>
      <c r="K1401" t="s">
        <v>22</v>
      </c>
      <c r="L1401">
        <v>2.2999999999999998</v>
      </c>
      <c r="M1401">
        <v>6</v>
      </c>
      <c r="N1401">
        <v>9031</v>
      </c>
      <c r="O1401" t="s">
        <v>55</v>
      </c>
      <c r="P1401">
        <v>88.8</v>
      </c>
      <c r="Q1401" t="s">
        <v>56</v>
      </c>
      <c r="R1401">
        <v>-12</v>
      </c>
      <c r="S1401">
        <v>15.2</v>
      </c>
      <c r="T1401">
        <v>15.3</v>
      </c>
      <c r="U1401">
        <v>3.2</v>
      </c>
      <c r="V1401">
        <v>7.8</v>
      </c>
      <c r="W1401">
        <v>7.3</v>
      </c>
      <c r="X1401" t="s">
        <v>116</v>
      </c>
    </row>
    <row r="1402" spans="2:24" x14ac:dyDescent="0.3">
      <c r="B1402" t="s">
        <v>1495</v>
      </c>
      <c r="C1402" t="s">
        <v>53</v>
      </c>
      <c r="D1402" t="s">
        <v>4</v>
      </c>
      <c r="E1402" t="s">
        <v>18</v>
      </c>
      <c r="F1402" t="s">
        <v>10</v>
      </c>
      <c r="G1402" t="s">
        <v>101</v>
      </c>
      <c r="H1402">
        <v>2026</v>
      </c>
      <c r="I1402">
        <v>18560</v>
      </c>
      <c r="J1402">
        <v>32.299999999999997</v>
      </c>
      <c r="K1402" t="s">
        <v>24</v>
      </c>
      <c r="L1402">
        <v>3.9</v>
      </c>
      <c r="M1402">
        <v>10</v>
      </c>
      <c r="N1402">
        <v>176</v>
      </c>
      <c r="O1402" t="s">
        <v>75</v>
      </c>
      <c r="P1402">
        <v>50.1</v>
      </c>
      <c r="Q1402" t="s">
        <v>79</v>
      </c>
      <c r="R1402">
        <v>-18.399999999999999</v>
      </c>
      <c r="S1402">
        <v>-14.2</v>
      </c>
      <c r="T1402">
        <v>-4.5999999999999996</v>
      </c>
      <c r="U1402">
        <v>5.4</v>
      </c>
      <c r="V1402">
        <v>4.4000000000000004</v>
      </c>
      <c r="W1402">
        <v>2.2999999999999998</v>
      </c>
      <c r="X1402" t="s">
        <v>66</v>
      </c>
    </row>
    <row r="1403" spans="2:24" x14ac:dyDescent="0.3">
      <c r="B1403" t="s">
        <v>1496</v>
      </c>
      <c r="C1403" t="s">
        <v>83</v>
      </c>
      <c r="D1403" t="s">
        <v>4</v>
      </c>
      <c r="E1403" t="s">
        <v>16</v>
      </c>
      <c r="F1403" t="s">
        <v>12</v>
      </c>
      <c r="G1403" t="s">
        <v>60</v>
      </c>
      <c r="H1403">
        <v>2025</v>
      </c>
      <c r="I1403">
        <v>2314</v>
      </c>
      <c r="J1403">
        <v>1.2</v>
      </c>
      <c r="K1403" t="s">
        <v>24</v>
      </c>
      <c r="L1403">
        <v>6</v>
      </c>
      <c r="M1403">
        <v>9.5</v>
      </c>
      <c r="N1403">
        <v>797</v>
      </c>
      <c r="O1403" t="s">
        <v>64</v>
      </c>
      <c r="P1403">
        <v>15.9</v>
      </c>
      <c r="Q1403" t="s">
        <v>56</v>
      </c>
      <c r="R1403">
        <v>-27.3</v>
      </c>
      <c r="S1403">
        <v>-11</v>
      </c>
      <c r="T1403">
        <v>-4.5999999999999996</v>
      </c>
      <c r="U1403">
        <v>6.7</v>
      </c>
      <c r="V1403">
        <v>4.8</v>
      </c>
      <c r="W1403">
        <v>6.2</v>
      </c>
      <c r="X1403" t="s">
        <v>116</v>
      </c>
    </row>
    <row r="1404" spans="2:24" x14ac:dyDescent="0.3">
      <c r="B1404" t="s">
        <v>1497</v>
      </c>
      <c r="C1404" t="s">
        <v>53</v>
      </c>
      <c r="D1404" t="s">
        <v>3</v>
      </c>
      <c r="E1404" t="s">
        <v>19</v>
      </c>
      <c r="F1404" t="s">
        <v>9</v>
      </c>
      <c r="G1404" t="s">
        <v>104</v>
      </c>
      <c r="H1404">
        <v>2025</v>
      </c>
      <c r="I1404">
        <v>1275</v>
      </c>
      <c r="J1404">
        <v>9.6999999999999993</v>
      </c>
      <c r="K1404" t="s">
        <v>23</v>
      </c>
      <c r="L1404">
        <v>1.5</v>
      </c>
      <c r="M1404">
        <v>1.7</v>
      </c>
      <c r="N1404">
        <v>2355</v>
      </c>
      <c r="O1404" t="s">
        <v>64</v>
      </c>
      <c r="P1404">
        <v>27.1</v>
      </c>
      <c r="Q1404" t="s">
        <v>88</v>
      </c>
      <c r="R1404">
        <v>-35.1</v>
      </c>
      <c r="S1404">
        <v>52.8</v>
      </c>
      <c r="T1404">
        <v>19.3</v>
      </c>
      <c r="U1404">
        <v>1.2</v>
      </c>
      <c r="V1404">
        <v>6.2</v>
      </c>
      <c r="W1404">
        <v>8.1</v>
      </c>
      <c r="X1404" t="s">
        <v>57</v>
      </c>
    </row>
    <row r="1405" spans="2:24" x14ac:dyDescent="0.3">
      <c r="B1405" t="s">
        <v>1498</v>
      </c>
      <c r="C1405" t="s">
        <v>106</v>
      </c>
      <c r="D1405" t="s">
        <v>4</v>
      </c>
      <c r="E1405" t="s">
        <v>19</v>
      </c>
      <c r="F1405" t="s">
        <v>9</v>
      </c>
      <c r="G1405" t="s">
        <v>112</v>
      </c>
      <c r="H1405">
        <v>2025</v>
      </c>
      <c r="I1405">
        <v>8972</v>
      </c>
      <c r="J1405">
        <v>19.3</v>
      </c>
      <c r="K1405" t="s">
        <v>23</v>
      </c>
      <c r="L1405">
        <v>4.0999999999999996</v>
      </c>
      <c r="M1405">
        <v>6.5</v>
      </c>
      <c r="N1405">
        <v>1005</v>
      </c>
      <c r="O1405" t="s">
        <v>64</v>
      </c>
      <c r="P1405">
        <v>25.7</v>
      </c>
      <c r="Q1405" t="s">
        <v>84</v>
      </c>
      <c r="R1405">
        <v>89.9</v>
      </c>
      <c r="S1405">
        <v>36</v>
      </c>
      <c r="T1405">
        <v>10.3</v>
      </c>
      <c r="U1405">
        <v>4.5999999999999996</v>
      </c>
      <c r="V1405">
        <v>8.5</v>
      </c>
      <c r="W1405">
        <v>4.9000000000000004</v>
      </c>
      <c r="X1405" t="s">
        <v>66</v>
      </c>
    </row>
    <row r="1406" spans="2:24" x14ac:dyDescent="0.3">
      <c r="B1406" t="s">
        <v>1499</v>
      </c>
      <c r="C1406" t="s">
        <v>90</v>
      </c>
      <c r="D1406" t="s">
        <v>6</v>
      </c>
      <c r="E1406" t="s">
        <v>19</v>
      </c>
      <c r="F1406" t="s">
        <v>10</v>
      </c>
      <c r="G1406" t="s">
        <v>74</v>
      </c>
      <c r="H1406">
        <v>2026</v>
      </c>
      <c r="I1406">
        <v>4166</v>
      </c>
      <c r="J1406">
        <v>18.8</v>
      </c>
      <c r="K1406" t="s">
        <v>23</v>
      </c>
      <c r="L1406">
        <v>4.9000000000000004</v>
      </c>
      <c r="M1406">
        <v>7.6</v>
      </c>
      <c r="N1406">
        <v>466</v>
      </c>
      <c r="O1406" t="s">
        <v>64</v>
      </c>
      <c r="P1406">
        <v>50.9</v>
      </c>
      <c r="Q1406" t="s">
        <v>88</v>
      </c>
      <c r="R1406">
        <v>27.9</v>
      </c>
      <c r="S1406">
        <v>43</v>
      </c>
      <c r="T1406">
        <v>20.5</v>
      </c>
      <c r="U1406">
        <v>4.9000000000000004</v>
      </c>
      <c r="V1406">
        <v>8.6999999999999993</v>
      </c>
      <c r="W1406">
        <v>6</v>
      </c>
      <c r="X1406" t="s">
        <v>66</v>
      </c>
    </row>
    <row r="1407" spans="2:24" x14ac:dyDescent="0.3">
      <c r="B1407" t="s">
        <v>1500</v>
      </c>
      <c r="C1407" t="s">
        <v>106</v>
      </c>
      <c r="D1407" t="s">
        <v>4</v>
      </c>
      <c r="E1407" t="s">
        <v>19</v>
      </c>
      <c r="F1407" t="s">
        <v>10</v>
      </c>
      <c r="G1407" t="s">
        <v>69</v>
      </c>
      <c r="H1407">
        <v>2025</v>
      </c>
      <c r="I1407">
        <v>1967</v>
      </c>
      <c r="J1407">
        <v>13.1</v>
      </c>
      <c r="K1407" t="s">
        <v>22</v>
      </c>
      <c r="L1407">
        <v>3.6</v>
      </c>
      <c r="M1407">
        <v>5.5</v>
      </c>
      <c r="N1407">
        <v>570</v>
      </c>
      <c r="O1407" t="s">
        <v>64</v>
      </c>
      <c r="P1407">
        <v>45.3</v>
      </c>
      <c r="Q1407" t="s">
        <v>65</v>
      </c>
      <c r="R1407">
        <v>12.5</v>
      </c>
      <c r="S1407">
        <v>43.7</v>
      </c>
      <c r="T1407">
        <v>25.2</v>
      </c>
      <c r="U1407">
        <v>4.0999999999999996</v>
      </c>
      <c r="V1407">
        <v>5.8</v>
      </c>
      <c r="W1407">
        <v>7.4</v>
      </c>
      <c r="X1407" t="s">
        <v>116</v>
      </c>
    </row>
    <row r="1408" spans="2:24" x14ac:dyDescent="0.3">
      <c r="B1408" t="s">
        <v>1501</v>
      </c>
      <c r="C1408" t="s">
        <v>73</v>
      </c>
      <c r="D1408" t="s">
        <v>2</v>
      </c>
      <c r="E1408" t="s">
        <v>18</v>
      </c>
      <c r="F1408" t="s">
        <v>11</v>
      </c>
      <c r="G1408" t="s">
        <v>101</v>
      </c>
      <c r="H1408">
        <v>2025</v>
      </c>
      <c r="I1408">
        <v>1708</v>
      </c>
      <c r="J1408">
        <v>5.9</v>
      </c>
      <c r="K1408" t="s">
        <v>21</v>
      </c>
      <c r="L1408">
        <v>2.2999999999999998</v>
      </c>
      <c r="M1408">
        <v>5.4</v>
      </c>
      <c r="N1408">
        <v>8401</v>
      </c>
      <c r="O1408" t="s">
        <v>55</v>
      </c>
      <c r="P1408">
        <v>50.9</v>
      </c>
      <c r="Q1408" t="s">
        <v>76</v>
      </c>
      <c r="R1408">
        <v>43.8</v>
      </c>
      <c r="S1408">
        <v>51.1</v>
      </c>
      <c r="T1408">
        <v>26.9</v>
      </c>
      <c r="U1408">
        <v>3.9</v>
      </c>
      <c r="V1408">
        <v>6.6</v>
      </c>
      <c r="W1408">
        <v>8.5</v>
      </c>
      <c r="X1408" t="s">
        <v>57</v>
      </c>
    </row>
    <row r="1409" spans="2:24" x14ac:dyDescent="0.3">
      <c r="B1409" t="s">
        <v>1502</v>
      </c>
      <c r="C1409" t="s">
        <v>53</v>
      </c>
      <c r="D1409" t="s">
        <v>4</v>
      </c>
      <c r="E1409" t="s">
        <v>15</v>
      </c>
      <c r="F1409" t="s">
        <v>9</v>
      </c>
      <c r="G1409" t="s">
        <v>54</v>
      </c>
      <c r="H1409">
        <v>2025</v>
      </c>
      <c r="I1409">
        <v>688</v>
      </c>
      <c r="J1409">
        <v>9.6</v>
      </c>
      <c r="K1409" t="s">
        <v>25</v>
      </c>
      <c r="L1409">
        <v>10.9</v>
      </c>
      <c r="M1409">
        <v>7.4</v>
      </c>
      <c r="N1409">
        <v>306</v>
      </c>
      <c r="O1409" t="s">
        <v>64</v>
      </c>
      <c r="P1409">
        <v>82.5</v>
      </c>
      <c r="Q1409" t="s">
        <v>88</v>
      </c>
      <c r="R1409">
        <v>58.3</v>
      </c>
      <c r="S1409">
        <v>-21</v>
      </c>
      <c r="T1409">
        <v>-10.7</v>
      </c>
      <c r="U1409">
        <v>8.6</v>
      </c>
      <c r="V1409">
        <v>7</v>
      </c>
      <c r="W1409">
        <v>4.8</v>
      </c>
      <c r="X1409" t="s">
        <v>116</v>
      </c>
    </row>
    <row r="1410" spans="2:24" x14ac:dyDescent="0.3">
      <c r="B1410" t="s">
        <v>1503</v>
      </c>
      <c r="C1410" t="s">
        <v>159</v>
      </c>
      <c r="D1410" t="s">
        <v>2</v>
      </c>
      <c r="E1410" t="s">
        <v>15</v>
      </c>
      <c r="F1410" t="s">
        <v>10</v>
      </c>
      <c r="G1410" t="s">
        <v>74</v>
      </c>
      <c r="H1410">
        <v>2026</v>
      </c>
      <c r="I1410">
        <v>5841</v>
      </c>
      <c r="J1410">
        <v>11.1</v>
      </c>
      <c r="K1410" t="s">
        <v>23</v>
      </c>
      <c r="L1410">
        <v>5.7</v>
      </c>
      <c r="M1410">
        <v>5.0999999999999996</v>
      </c>
      <c r="N1410">
        <v>5775</v>
      </c>
      <c r="O1410" t="s">
        <v>55</v>
      </c>
      <c r="P1410">
        <v>82.3</v>
      </c>
      <c r="Q1410" t="s">
        <v>76</v>
      </c>
      <c r="R1410">
        <v>65.400000000000006</v>
      </c>
      <c r="S1410">
        <v>-6.9</v>
      </c>
      <c r="T1410">
        <v>-8.1999999999999993</v>
      </c>
      <c r="U1410">
        <v>7.3</v>
      </c>
      <c r="V1410">
        <v>6.9</v>
      </c>
      <c r="W1410">
        <v>6</v>
      </c>
      <c r="X1410" t="s">
        <v>116</v>
      </c>
    </row>
    <row r="1411" spans="2:24" x14ac:dyDescent="0.3">
      <c r="B1411" t="s">
        <v>1504</v>
      </c>
      <c r="C1411" t="s">
        <v>68</v>
      </c>
      <c r="D1411" t="s">
        <v>8</v>
      </c>
      <c r="E1411" t="s">
        <v>17</v>
      </c>
      <c r="F1411" t="s">
        <v>10</v>
      </c>
      <c r="G1411" t="s">
        <v>104</v>
      </c>
      <c r="H1411">
        <v>2025</v>
      </c>
      <c r="I1411">
        <v>4561</v>
      </c>
      <c r="J1411">
        <v>15.4</v>
      </c>
      <c r="K1411" t="s">
        <v>25</v>
      </c>
      <c r="L1411">
        <v>1.3</v>
      </c>
      <c r="M1411">
        <v>5.6</v>
      </c>
      <c r="N1411">
        <v>3677</v>
      </c>
      <c r="O1411" t="s">
        <v>64</v>
      </c>
      <c r="P1411">
        <v>84</v>
      </c>
      <c r="Q1411" t="s">
        <v>56</v>
      </c>
      <c r="R1411">
        <v>41.7</v>
      </c>
      <c r="S1411">
        <v>34.4</v>
      </c>
      <c r="T1411">
        <v>5.6</v>
      </c>
      <c r="U1411">
        <v>1.4</v>
      </c>
      <c r="V1411">
        <v>6.3</v>
      </c>
      <c r="W1411">
        <v>6.5</v>
      </c>
      <c r="X1411" t="s">
        <v>116</v>
      </c>
    </row>
    <row r="1412" spans="2:24" x14ac:dyDescent="0.3">
      <c r="B1412" t="s">
        <v>1505</v>
      </c>
      <c r="C1412" t="s">
        <v>142</v>
      </c>
      <c r="D1412" t="s">
        <v>8</v>
      </c>
      <c r="E1412" t="s">
        <v>14</v>
      </c>
      <c r="F1412" t="s">
        <v>12</v>
      </c>
      <c r="G1412" t="s">
        <v>104</v>
      </c>
      <c r="H1412">
        <v>2024</v>
      </c>
      <c r="I1412">
        <v>10926</v>
      </c>
      <c r="J1412">
        <v>16.899999999999999</v>
      </c>
      <c r="K1412" t="s">
        <v>25</v>
      </c>
      <c r="L1412">
        <v>7.3</v>
      </c>
      <c r="M1412">
        <v>8</v>
      </c>
      <c r="N1412">
        <v>1423</v>
      </c>
      <c r="O1412" t="s">
        <v>75</v>
      </c>
      <c r="P1412">
        <v>44.6</v>
      </c>
      <c r="Q1412" t="s">
        <v>76</v>
      </c>
      <c r="R1412">
        <v>-17.5</v>
      </c>
      <c r="S1412">
        <v>45.3</v>
      </c>
      <c r="T1412">
        <v>20.6</v>
      </c>
      <c r="U1412">
        <v>4.8</v>
      </c>
      <c r="V1412">
        <v>5.9</v>
      </c>
      <c r="W1412">
        <v>5.3</v>
      </c>
      <c r="X1412" t="s">
        <v>66</v>
      </c>
    </row>
    <row r="1413" spans="2:24" x14ac:dyDescent="0.3">
      <c r="B1413" t="s">
        <v>1506</v>
      </c>
      <c r="C1413" t="s">
        <v>106</v>
      </c>
      <c r="D1413" t="s">
        <v>8</v>
      </c>
      <c r="E1413" t="s">
        <v>18</v>
      </c>
      <c r="F1413" t="s">
        <v>9</v>
      </c>
      <c r="G1413" t="s">
        <v>78</v>
      </c>
      <c r="H1413">
        <v>2026</v>
      </c>
      <c r="I1413">
        <v>10184</v>
      </c>
      <c r="J1413">
        <v>29.3</v>
      </c>
      <c r="K1413" t="s">
        <v>23</v>
      </c>
      <c r="L1413">
        <v>7.6</v>
      </c>
      <c r="M1413">
        <v>10</v>
      </c>
      <c r="N1413">
        <v>1342</v>
      </c>
      <c r="O1413" t="s">
        <v>64</v>
      </c>
      <c r="P1413">
        <v>32</v>
      </c>
      <c r="Q1413" t="s">
        <v>79</v>
      </c>
      <c r="R1413">
        <v>17.3</v>
      </c>
      <c r="S1413">
        <v>31.1</v>
      </c>
      <c r="T1413">
        <v>13.8</v>
      </c>
      <c r="U1413">
        <v>6.1</v>
      </c>
      <c r="V1413">
        <v>4.0999999999999996</v>
      </c>
      <c r="W1413">
        <v>3.1</v>
      </c>
      <c r="X1413" t="s">
        <v>66</v>
      </c>
    </row>
    <row r="1414" spans="2:24" x14ac:dyDescent="0.3">
      <c r="B1414" t="s">
        <v>1507</v>
      </c>
      <c r="C1414" t="s">
        <v>122</v>
      </c>
      <c r="D1414" t="s">
        <v>2</v>
      </c>
      <c r="E1414" t="s">
        <v>17</v>
      </c>
      <c r="F1414" t="s">
        <v>10</v>
      </c>
      <c r="G1414" t="s">
        <v>115</v>
      </c>
      <c r="H1414">
        <v>2025</v>
      </c>
      <c r="I1414">
        <v>1876</v>
      </c>
      <c r="J1414">
        <v>7.8</v>
      </c>
      <c r="K1414" t="s">
        <v>21</v>
      </c>
      <c r="L1414">
        <v>5.6</v>
      </c>
      <c r="M1414">
        <v>6.7</v>
      </c>
      <c r="N1414">
        <v>6022</v>
      </c>
      <c r="O1414" t="s">
        <v>55</v>
      </c>
      <c r="P1414">
        <v>49.5</v>
      </c>
      <c r="Q1414" t="s">
        <v>76</v>
      </c>
      <c r="R1414">
        <v>29.6</v>
      </c>
      <c r="S1414">
        <v>9.1</v>
      </c>
      <c r="T1414">
        <v>4.9000000000000004</v>
      </c>
      <c r="U1414">
        <v>7</v>
      </c>
      <c r="V1414">
        <v>5</v>
      </c>
      <c r="W1414">
        <v>7</v>
      </c>
      <c r="X1414" t="s">
        <v>116</v>
      </c>
    </row>
    <row r="1415" spans="2:24" x14ac:dyDescent="0.3">
      <c r="B1415" t="s">
        <v>1508</v>
      </c>
      <c r="C1415" t="s">
        <v>90</v>
      </c>
      <c r="D1415" t="s">
        <v>6</v>
      </c>
      <c r="E1415" t="s">
        <v>18</v>
      </c>
      <c r="F1415" t="s">
        <v>10</v>
      </c>
      <c r="G1415" t="s">
        <v>101</v>
      </c>
      <c r="H1415">
        <v>2026</v>
      </c>
      <c r="I1415">
        <v>6738</v>
      </c>
      <c r="J1415">
        <v>10.5</v>
      </c>
      <c r="K1415" t="s">
        <v>22</v>
      </c>
      <c r="L1415">
        <v>2.2999999999999998</v>
      </c>
      <c r="M1415">
        <v>2</v>
      </c>
      <c r="N1415">
        <v>2689</v>
      </c>
      <c r="O1415" t="s">
        <v>64</v>
      </c>
      <c r="P1415">
        <v>12.1</v>
      </c>
      <c r="Q1415" t="s">
        <v>84</v>
      </c>
      <c r="R1415">
        <v>-24.1</v>
      </c>
      <c r="S1415">
        <v>4.2</v>
      </c>
      <c r="T1415">
        <v>-6.6</v>
      </c>
      <c r="U1415">
        <v>1.5</v>
      </c>
      <c r="V1415">
        <v>4.7</v>
      </c>
      <c r="W1415">
        <v>7.3</v>
      </c>
      <c r="X1415" t="s">
        <v>116</v>
      </c>
    </row>
    <row r="1416" spans="2:24" x14ac:dyDescent="0.3">
      <c r="B1416" t="s">
        <v>1509</v>
      </c>
      <c r="C1416" t="s">
        <v>159</v>
      </c>
      <c r="D1416" t="s">
        <v>7</v>
      </c>
      <c r="E1416" t="s">
        <v>17</v>
      </c>
      <c r="F1416" t="s">
        <v>9</v>
      </c>
      <c r="G1416" t="s">
        <v>69</v>
      </c>
      <c r="H1416">
        <v>2026</v>
      </c>
      <c r="I1416">
        <v>535</v>
      </c>
      <c r="J1416">
        <v>8.1</v>
      </c>
      <c r="K1416" t="s">
        <v>25</v>
      </c>
      <c r="L1416">
        <v>7.7</v>
      </c>
      <c r="M1416">
        <v>10</v>
      </c>
      <c r="N1416">
        <v>5840</v>
      </c>
      <c r="O1416" t="s">
        <v>55</v>
      </c>
      <c r="P1416">
        <v>15.6</v>
      </c>
      <c r="Q1416" t="s">
        <v>79</v>
      </c>
      <c r="R1416">
        <v>14.4</v>
      </c>
      <c r="S1416">
        <v>35.700000000000003</v>
      </c>
      <c r="T1416">
        <v>23.1</v>
      </c>
      <c r="U1416">
        <v>6.9</v>
      </c>
      <c r="V1416">
        <v>6.8</v>
      </c>
      <c r="W1416">
        <v>5.7</v>
      </c>
      <c r="X1416" t="s">
        <v>57</v>
      </c>
    </row>
    <row r="1417" spans="2:24" x14ac:dyDescent="0.3">
      <c r="B1417" t="s">
        <v>1510</v>
      </c>
      <c r="C1417" t="s">
        <v>159</v>
      </c>
      <c r="D1417" t="s">
        <v>2</v>
      </c>
      <c r="E1417" t="s">
        <v>16</v>
      </c>
      <c r="F1417" t="s">
        <v>9</v>
      </c>
      <c r="G1417" t="s">
        <v>98</v>
      </c>
      <c r="H1417">
        <v>2024</v>
      </c>
      <c r="I1417">
        <v>2936</v>
      </c>
      <c r="J1417">
        <v>4.5</v>
      </c>
      <c r="K1417" t="s">
        <v>23</v>
      </c>
      <c r="L1417">
        <v>14.9</v>
      </c>
      <c r="M1417">
        <v>10</v>
      </c>
      <c r="N1417">
        <v>9644</v>
      </c>
      <c r="O1417" t="s">
        <v>118</v>
      </c>
      <c r="P1417">
        <v>73.900000000000006</v>
      </c>
      <c r="Q1417" t="s">
        <v>56</v>
      </c>
      <c r="R1417">
        <v>86.5</v>
      </c>
      <c r="S1417">
        <v>32</v>
      </c>
      <c r="T1417">
        <v>7.4</v>
      </c>
      <c r="U1417">
        <v>10</v>
      </c>
      <c r="V1417">
        <v>5.6</v>
      </c>
      <c r="W1417">
        <v>6.7</v>
      </c>
      <c r="X1417" t="s">
        <v>116</v>
      </c>
    </row>
    <row r="1418" spans="2:24" x14ac:dyDescent="0.3">
      <c r="B1418" t="s">
        <v>1511</v>
      </c>
      <c r="C1418" t="s">
        <v>90</v>
      </c>
      <c r="D1418" t="s">
        <v>6</v>
      </c>
      <c r="E1418" t="s">
        <v>15</v>
      </c>
      <c r="F1418" t="s">
        <v>9</v>
      </c>
      <c r="G1418" t="s">
        <v>115</v>
      </c>
      <c r="H1418">
        <v>2026</v>
      </c>
      <c r="I1418">
        <v>17315</v>
      </c>
      <c r="J1418">
        <v>30.9</v>
      </c>
      <c r="K1418" t="s">
        <v>22</v>
      </c>
      <c r="L1418">
        <v>1.6</v>
      </c>
      <c r="M1418">
        <v>10</v>
      </c>
      <c r="N1418">
        <v>783</v>
      </c>
      <c r="O1418" t="s">
        <v>75</v>
      </c>
      <c r="P1418">
        <v>42.8</v>
      </c>
      <c r="Q1418" t="s">
        <v>88</v>
      </c>
      <c r="R1418">
        <v>44.4</v>
      </c>
      <c r="S1418">
        <v>2.7</v>
      </c>
      <c r="T1418">
        <v>-15.5</v>
      </c>
      <c r="U1418">
        <v>2.5</v>
      </c>
      <c r="V1418">
        <v>2.8</v>
      </c>
      <c r="W1418">
        <v>2.5</v>
      </c>
      <c r="X1418" t="s">
        <v>66</v>
      </c>
    </row>
    <row r="1419" spans="2:24" x14ac:dyDescent="0.3">
      <c r="B1419" t="s">
        <v>1512</v>
      </c>
      <c r="C1419" t="s">
        <v>27</v>
      </c>
      <c r="D1419" t="s">
        <v>3</v>
      </c>
      <c r="E1419" t="s">
        <v>16</v>
      </c>
      <c r="F1419" t="s">
        <v>9</v>
      </c>
      <c r="G1419" t="s">
        <v>112</v>
      </c>
      <c r="H1419">
        <v>2026</v>
      </c>
      <c r="I1419">
        <v>10759</v>
      </c>
      <c r="J1419">
        <v>16.100000000000001</v>
      </c>
      <c r="K1419" t="s">
        <v>25</v>
      </c>
      <c r="L1419">
        <v>8</v>
      </c>
      <c r="M1419">
        <v>10</v>
      </c>
      <c r="N1419">
        <v>1281</v>
      </c>
      <c r="O1419" t="s">
        <v>64</v>
      </c>
      <c r="P1419">
        <v>78</v>
      </c>
      <c r="Q1419" t="s">
        <v>56</v>
      </c>
      <c r="R1419">
        <v>35</v>
      </c>
      <c r="S1419">
        <v>42.5</v>
      </c>
      <c r="T1419">
        <v>22.7</v>
      </c>
      <c r="U1419">
        <v>7.4</v>
      </c>
      <c r="V1419">
        <v>6.6</v>
      </c>
      <c r="W1419">
        <v>5.7</v>
      </c>
      <c r="X1419" t="s">
        <v>66</v>
      </c>
    </row>
    <row r="1420" spans="2:24" x14ac:dyDescent="0.3">
      <c r="B1420" t="s">
        <v>1513</v>
      </c>
      <c r="C1420" t="s">
        <v>53</v>
      </c>
      <c r="D1420" t="s">
        <v>4</v>
      </c>
      <c r="E1420" t="s">
        <v>19</v>
      </c>
      <c r="F1420" t="s">
        <v>12</v>
      </c>
      <c r="G1420" t="s">
        <v>98</v>
      </c>
      <c r="H1420">
        <v>2026</v>
      </c>
      <c r="I1420">
        <v>14622</v>
      </c>
      <c r="J1420">
        <v>37</v>
      </c>
      <c r="K1420" t="s">
        <v>25</v>
      </c>
      <c r="L1420">
        <v>6.1</v>
      </c>
      <c r="M1420">
        <v>10</v>
      </c>
      <c r="N1420">
        <v>877</v>
      </c>
      <c r="O1420" t="s">
        <v>75</v>
      </c>
      <c r="P1420">
        <v>75.599999999999994</v>
      </c>
      <c r="Q1420" t="s">
        <v>65</v>
      </c>
      <c r="R1420">
        <v>41.8</v>
      </c>
      <c r="S1420">
        <v>-11.3</v>
      </c>
      <c r="T1420">
        <v>-20.9</v>
      </c>
      <c r="U1420">
        <v>3.6</v>
      </c>
      <c r="V1420">
        <v>3.5</v>
      </c>
      <c r="W1420">
        <v>1.9</v>
      </c>
      <c r="X1420" t="s">
        <v>66</v>
      </c>
    </row>
    <row r="1421" spans="2:24" x14ac:dyDescent="0.3">
      <c r="B1421" t="s">
        <v>1514</v>
      </c>
      <c r="C1421" t="s">
        <v>106</v>
      </c>
      <c r="D1421" t="s">
        <v>7</v>
      </c>
      <c r="E1421" t="s">
        <v>16</v>
      </c>
      <c r="F1421" t="s">
        <v>11</v>
      </c>
      <c r="G1421" t="s">
        <v>69</v>
      </c>
      <c r="H1421">
        <v>2026</v>
      </c>
      <c r="I1421">
        <v>8209</v>
      </c>
      <c r="J1421">
        <v>30.5</v>
      </c>
      <c r="K1421" t="s">
        <v>23</v>
      </c>
      <c r="L1421">
        <v>5.5</v>
      </c>
      <c r="M1421">
        <v>10</v>
      </c>
      <c r="N1421">
        <v>1381</v>
      </c>
      <c r="O1421" t="s">
        <v>64</v>
      </c>
      <c r="P1421">
        <v>49.4</v>
      </c>
      <c r="Q1421" t="s">
        <v>88</v>
      </c>
      <c r="R1421">
        <v>25.1</v>
      </c>
      <c r="S1421">
        <v>27.8</v>
      </c>
      <c r="T1421">
        <v>2.4</v>
      </c>
      <c r="U1421">
        <v>4.9000000000000004</v>
      </c>
      <c r="V1421">
        <v>6.3</v>
      </c>
      <c r="W1421">
        <v>3.7</v>
      </c>
      <c r="X1421" t="s">
        <v>66</v>
      </c>
    </row>
    <row r="1422" spans="2:24" x14ac:dyDescent="0.3">
      <c r="B1422" t="s">
        <v>1515</v>
      </c>
      <c r="C1422" t="s">
        <v>90</v>
      </c>
      <c r="D1422" t="s">
        <v>5</v>
      </c>
      <c r="E1422" t="s">
        <v>14</v>
      </c>
      <c r="F1422" t="s">
        <v>11</v>
      </c>
      <c r="G1422" t="s">
        <v>54</v>
      </c>
      <c r="H1422">
        <v>2025</v>
      </c>
      <c r="I1422">
        <v>987</v>
      </c>
      <c r="J1422">
        <v>6.5</v>
      </c>
      <c r="K1422" t="s">
        <v>21</v>
      </c>
      <c r="L1422">
        <v>6</v>
      </c>
      <c r="M1422">
        <v>6.6</v>
      </c>
      <c r="N1422">
        <v>774</v>
      </c>
      <c r="O1422" t="s">
        <v>64</v>
      </c>
      <c r="P1422">
        <v>62.8</v>
      </c>
      <c r="Q1422" t="s">
        <v>65</v>
      </c>
      <c r="R1422">
        <v>6.8</v>
      </c>
      <c r="S1422">
        <v>-2.5</v>
      </c>
      <c r="T1422">
        <v>-9.3000000000000007</v>
      </c>
      <c r="U1422">
        <v>5.0999999999999996</v>
      </c>
      <c r="V1422">
        <v>8.1999999999999993</v>
      </c>
      <c r="W1422">
        <v>5.2</v>
      </c>
      <c r="X1422" t="s">
        <v>57</v>
      </c>
    </row>
    <row r="1423" spans="2:24" x14ac:dyDescent="0.3">
      <c r="B1423" t="s">
        <v>1516</v>
      </c>
      <c r="C1423" t="s">
        <v>27</v>
      </c>
      <c r="D1423" t="s">
        <v>2</v>
      </c>
      <c r="E1423" t="s">
        <v>15</v>
      </c>
      <c r="F1423" t="s">
        <v>9</v>
      </c>
      <c r="G1423" t="s">
        <v>104</v>
      </c>
      <c r="H1423">
        <v>2025</v>
      </c>
      <c r="I1423">
        <v>4855</v>
      </c>
      <c r="J1423">
        <v>25.8</v>
      </c>
      <c r="K1423" t="s">
        <v>22</v>
      </c>
      <c r="L1423">
        <v>5.5</v>
      </c>
      <c r="M1423">
        <v>7.4</v>
      </c>
      <c r="N1423">
        <v>8473</v>
      </c>
      <c r="O1423" t="s">
        <v>55</v>
      </c>
      <c r="P1423">
        <v>56.8</v>
      </c>
      <c r="Q1423" t="s">
        <v>56</v>
      </c>
      <c r="R1423">
        <v>28.3</v>
      </c>
      <c r="S1423">
        <v>41.5</v>
      </c>
      <c r="T1423">
        <v>18.3</v>
      </c>
      <c r="U1423">
        <v>3.4</v>
      </c>
      <c r="V1423">
        <v>5.8</v>
      </c>
      <c r="W1423">
        <v>5</v>
      </c>
      <c r="X1423" t="s">
        <v>66</v>
      </c>
    </row>
    <row r="1424" spans="2:24" x14ac:dyDescent="0.3">
      <c r="B1424" t="s">
        <v>1517</v>
      </c>
      <c r="C1424" t="s">
        <v>62</v>
      </c>
      <c r="D1424" t="s">
        <v>2</v>
      </c>
      <c r="E1424" t="s">
        <v>16</v>
      </c>
      <c r="F1424" t="s">
        <v>12</v>
      </c>
      <c r="G1424" t="s">
        <v>112</v>
      </c>
      <c r="H1424">
        <v>2024</v>
      </c>
      <c r="I1424">
        <v>3109</v>
      </c>
      <c r="J1424">
        <v>8.9</v>
      </c>
      <c r="K1424" t="s">
        <v>21</v>
      </c>
      <c r="L1424">
        <v>5.2</v>
      </c>
      <c r="M1424">
        <v>6.5</v>
      </c>
      <c r="N1424">
        <v>8430</v>
      </c>
      <c r="O1424" t="s">
        <v>118</v>
      </c>
      <c r="P1424">
        <v>55.4</v>
      </c>
      <c r="Q1424" t="s">
        <v>56</v>
      </c>
      <c r="R1424">
        <v>61.2</v>
      </c>
      <c r="S1424">
        <v>18.3</v>
      </c>
      <c r="T1424">
        <v>4.2</v>
      </c>
      <c r="U1424">
        <v>6.6</v>
      </c>
      <c r="V1424">
        <v>7.9</v>
      </c>
      <c r="W1424">
        <v>6.2</v>
      </c>
      <c r="X1424" t="s">
        <v>116</v>
      </c>
    </row>
    <row r="1425" spans="2:24" x14ac:dyDescent="0.3">
      <c r="B1425" t="s">
        <v>1518</v>
      </c>
      <c r="C1425" t="s">
        <v>142</v>
      </c>
      <c r="D1425" t="s">
        <v>8</v>
      </c>
      <c r="E1425" t="s">
        <v>17</v>
      </c>
      <c r="F1425" t="s">
        <v>12</v>
      </c>
      <c r="G1425" t="s">
        <v>112</v>
      </c>
      <c r="H1425">
        <v>2026</v>
      </c>
      <c r="I1425">
        <v>11597</v>
      </c>
      <c r="J1425">
        <v>36.299999999999997</v>
      </c>
      <c r="K1425" t="s">
        <v>24</v>
      </c>
      <c r="L1425">
        <v>4.4000000000000004</v>
      </c>
      <c r="M1425">
        <v>10</v>
      </c>
      <c r="N1425">
        <v>1408</v>
      </c>
      <c r="O1425" t="s">
        <v>64</v>
      </c>
      <c r="P1425">
        <v>63.6</v>
      </c>
      <c r="Q1425" t="s">
        <v>86</v>
      </c>
      <c r="R1425">
        <v>41.7</v>
      </c>
      <c r="S1425">
        <v>20.3</v>
      </c>
      <c r="T1425">
        <v>0.7</v>
      </c>
      <c r="U1425">
        <v>6.9</v>
      </c>
      <c r="V1425">
        <v>5.0999999999999996</v>
      </c>
      <c r="W1425">
        <v>3.4</v>
      </c>
      <c r="X1425" t="s">
        <v>66</v>
      </c>
    </row>
    <row r="1426" spans="2:24" x14ac:dyDescent="0.3">
      <c r="B1426" t="s">
        <v>1519</v>
      </c>
      <c r="C1426" t="s">
        <v>90</v>
      </c>
      <c r="D1426" t="s">
        <v>5</v>
      </c>
      <c r="E1426" t="s">
        <v>18</v>
      </c>
      <c r="F1426" t="s">
        <v>9</v>
      </c>
      <c r="G1426" t="s">
        <v>63</v>
      </c>
      <c r="H1426">
        <v>2024</v>
      </c>
      <c r="I1426">
        <v>685</v>
      </c>
      <c r="J1426">
        <v>7.1</v>
      </c>
      <c r="K1426" t="s">
        <v>24</v>
      </c>
      <c r="L1426">
        <v>13.5</v>
      </c>
      <c r="M1426">
        <v>10</v>
      </c>
      <c r="N1426">
        <v>2305</v>
      </c>
      <c r="O1426" t="s">
        <v>55</v>
      </c>
      <c r="P1426">
        <v>12.2</v>
      </c>
      <c r="Q1426" t="s">
        <v>86</v>
      </c>
      <c r="R1426">
        <v>-32.9</v>
      </c>
      <c r="S1426">
        <v>50.7</v>
      </c>
      <c r="T1426">
        <v>13.1</v>
      </c>
      <c r="U1426">
        <v>8.1999999999999993</v>
      </c>
      <c r="V1426">
        <v>6.5</v>
      </c>
      <c r="W1426">
        <v>6.4</v>
      </c>
      <c r="X1426" t="s">
        <v>57</v>
      </c>
    </row>
    <row r="1427" spans="2:24" x14ac:dyDescent="0.3">
      <c r="B1427" t="s">
        <v>1520</v>
      </c>
      <c r="C1427" t="s">
        <v>106</v>
      </c>
      <c r="D1427" t="s">
        <v>2</v>
      </c>
      <c r="E1427" t="s">
        <v>15</v>
      </c>
      <c r="F1427" t="s">
        <v>12</v>
      </c>
      <c r="G1427" t="s">
        <v>69</v>
      </c>
      <c r="H1427">
        <v>2025</v>
      </c>
      <c r="I1427">
        <v>1075</v>
      </c>
      <c r="J1427">
        <v>6.2</v>
      </c>
      <c r="K1427" t="s">
        <v>22</v>
      </c>
      <c r="L1427">
        <v>4.8</v>
      </c>
      <c r="M1427">
        <v>9.4</v>
      </c>
      <c r="N1427">
        <v>7283</v>
      </c>
      <c r="O1427" t="s">
        <v>55</v>
      </c>
      <c r="P1427">
        <v>69.8</v>
      </c>
      <c r="Q1427" t="s">
        <v>76</v>
      </c>
      <c r="R1427">
        <v>25.5</v>
      </c>
      <c r="S1427">
        <v>-5.6</v>
      </c>
      <c r="T1427">
        <v>3.3</v>
      </c>
      <c r="U1427">
        <v>6.6</v>
      </c>
      <c r="V1427">
        <v>8.3000000000000007</v>
      </c>
      <c r="W1427">
        <v>5.2</v>
      </c>
      <c r="X1427" t="s">
        <v>57</v>
      </c>
    </row>
    <row r="1428" spans="2:24" x14ac:dyDescent="0.3">
      <c r="B1428" t="s">
        <v>1521</v>
      </c>
      <c r="C1428" t="s">
        <v>106</v>
      </c>
      <c r="D1428" t="s">
        <v>7</v>
      </c>
      <c r="E1428" t="s">
        <v>19</v>
      </c>
      <c r="F1428" t="s">
        <v>10</v>
      </c>
      <c r="G1428" t="s">
        <v>60</v>
      </c>
      <c r="H1428">
        <v>2025</v>
      </c>
      <c r="I1428">
        <v>429</v>
      </c>
      <c r="J1428">
        <v>5</v>
      </c>
      <c r="K1428" t="s">
        <v>24</v>
      </c>
      <c r="L1428">
        <v>4.3</v>
      </c>
      <c r="M1428">
        <v>5.8</v>
      </c>
      <c r="N1428">
        <v>3391</v>
      </c>
      <c r="O1428" t="s">
        <v>55</v>
      </c>
      <c r="P1428">
        <v>74.900000000000006</v>
      </c>
      <c r="Q1428" t="s">
        <v>88</v>
      </c>
      <c r="R1428">
        <v>48.8</v>
      </c>
      <c r="S1428">
        <v>5.3</v>
      </c>
      <c r="T1428">
        <v>-0.2</v>
      </c>
      <c r="U1428">
        <v>3.4</v>
      </c>
      <c r="V1428">
        <v>6.7</v>
      </c>
      <c r="W1428">
        <v>6.3</v>
      </c>
      <c r="X1428" t="s">
        <v>116</v>
      </c>
    </row>
    <row r="1429" spans="2:24" x14ac:dyDescent="0.3">
      <c r="B1429" t="s">
        <v>1522</v>
      </c>
      <c r="C1429" t="s">
        <v>90</v>
      </c>
      <c r="D1429" t="s">
        <v>6</v>
      </c>
      <c r="E1429" t="s">
        <v>18</v>
      </c>
      <c r="F1429" t="s">
        <v>11</v>
      </c>
      <c r="G1429" t="s">
        <v>54</v>
      </c>
      <c r="H1429">
        <v>2026</v>
      </c>
      <c r="I1429">
        <v>19761</v>
      </c>
      <c r="J1429">
        <v>12.6</v>
      </c>
      <c r="K1429" t="s">
        <v>23</v>
      </c>
      <c r="L1429">
        <v>5.0999999999999996</v>
      </c>
      <c r="M1429">
        <v>5.2</v>
      </c>
      <c r="N1429">
        <v>92</v>
      </c>
      <c r="O1429" t="s">
        <v>64</v>
      </c>
      <c r="P1429">
        <v>27.8</v>
      </c>
      <c r="Q1429" t="s">
        <v>84</v>
      </c>
      <c r="R1429">
        <v>69.900000000000006</v>
      </c>
      <c r="S1429">
        <v>-20.7</v>
      </c>
      <c r="T1429">
        <v>-9.3000000000000007</v>
      </c>
      <c r="U1429">
        <v>3.4</v>
      </c>
      <c r="V1429">
        <v>6.3</v>
      </c>
      <c r="W1429">
        <v>4.8</v>
      </c>
      <c r="X1429" t="s">
        <v>66</v>
      </c>
    </row>
    <row r="1430" spans="2:24" x14ac:dyDescent="0.3">
      <c r="B1430" t="s">
        <v>1523</v>
      </c>
      <c r="C1430" t="s">
        <v>90</v>
      </c>
      <c r="D1430" t="s">
        <v>6</v>
      </c>
      <c r="E1430" t="s">
        <v>19</v>
      </c>
      <c r="F1430" t="s">
        <v>11</v>
      </c>
      <c r="G1430" t="s">
        <v>54</v>
      </c>
      <c r="H1430">
        <v>2025</v>
      </c>
      <c r="I1430">
        <v>2708</v>
      </c>
      <c r="J1430">
        <v>3.5</v>
      </c>
      <c r="K1430" t="s">
        <v>22</v>
      </c>
      <c r="L1430">
        <v>1.2</v>
      </c>
      <c r="M1430">
        <v>2.4</v>
      </c>
      <c r="N1430">
        <v>3475</v>
      </c>
      <c r="O1430" t="s">
        <v>55</v>
      </c>
      <c r="P1430">
        <v>80.400000000000006</v>
      </c>
      <c r="Q1430" t="s">
        <v>65</v>
      </c>
      <c r="R1430">
        <v>-11.2</v>
      </c>
      <c r="S1430">
        <v>-10.199999999999999</v>
      </c>
      <c r="T1430">
        <v>2.5</v>
      </c>
      <c r="U1430">
        <v>1.6</v>
      </c>
      <c r="V1430">
        <v>4.7</v>
      </c>
      <c r="W1430">
        <v>7.3</v>
      </c>
      <c r="X1430" t="s">
        <v>116</v>
      </c>
    </row>
    <row r="1431" spans="2:24" x14ac:dyDescent="0.3">
      <c r="B1431" t="s">
        <v>1524</v>
      </c>
      <c r="C1431" t="s">
        <v>81</v>
      </c>
      <c r="D1431" t="s">
        <v>5</v>
      </c>
      <c r="E1431" t="s">
        <v>18</v>
      </c>
      <c r="F1431" t="s">
        <v>9</v>
      </c>
      <c r="G1431" t="s">
        <v>104</v>
      </c>
      <c r="H1431">
        <v>2026</v>
      </c>
      <c r="I1431">
        <v>139</v>
      </c>
      <c r="J1431">
        <v>2</v>
      </c>
      <c r="K1431" t="s">
        <v>23</v>
      </c>
      <c r="L1431">
        <v>7.5</v>
      </c>
      <c r="M1431">
        <v>9.1</v>
      </c>
      <c r="N1431">
        <v>1571</v>
      </c>
      <c r="O1431" t="s">
        <v>55</v>
      </c>
      <c r="P1431">
        <v>50.4</v>
      </c>
      <c r="Q1431" t="s">
        <v>79</v>
      </c>
      <c r="R1431">
        <v>-35.5</v>
      </c>
      <c r="S1431">
        <v>0.8</v>
      </c>
      <c r="T1431">
        <v>7.4</v>
      </c>
      <c r="U1431">
        <v>5.3</v>
      </c>
      <c r="V1431">
        <v>8.3000000000000007</v>
      </c>
      <c r="W1431">
        <v>5.3</v>
      </c>
      <c r="X1431" t="s">
        <v>57</v>
      </c>
    </row>
    <row r="1432" spans="2:24" x14ac:dyDescent="0.3">
      <c r="B1432" t="s">
        <v>1525</v>
      </c>
      <c r="C1432" t="s">
        <v>83</v>
      </c>
      <c r="D1432" t="s">
        <v>4</v>
      </c>
      <c r="E1432" t="s">
        <v>15</v>
      </c>
      <c r="F1432" t="s">
        <v>11</v>
      </c>
      <c r="G1432" t="s">
        <v>115</v>
      </c>
      <c r="H1432">
        <v>2025</v>
      </c>
      <c r="I1432">
        <v>1348</v>
      </c>
      <c r="J1432">
        <v>8.1</v>
      </c>
      <c r="K1432" t="s">
        <v>21</v>
      </c>
      <c r="L1432">
        <v>9.8000000000000007</v>
      </c>
      <c r="M1432">
        <v>10</v>
      </c>
      <c r="N1432">
        <v>1338</v>
      </c>
      <c r="O1432" t="s">
        <v>64</v>
      </c>
      <c r="P1432">
        <v>46.5</v>
      </c>
      <c r="Q1432" t="s">
        <v>65</v>
      </c>
      <c r="R1432">
        <v>5</v>
      </c>
      <c r="S1432">
        <v>55.9</v>
      </c>
      <c r="T1432">
        <v>27.4</v>
      </c>
      <c r="U1432">
        <v>8</v>
      </c>
      <c r="V1432">
        <v>9.6999999999999993</v>
      </c>
      <c r="W1432">
        <v>6.3</v>
      </c>
      <c r="X1432" t="s">
        <v>57</v>
      </c>
    </row>
    <row r="1433" spans="2:24" x14ac:dyDescent="0.3">
      <c r="B1433" t="s">
        <v>1526</v>
      </c>
      <c r="C1433" t="s">
        <v>83</v>
      </c>
      <c r="D1433" t="s">
        <v>4</v>
      </c>
      <c r="E1433" t="s">
        <v>19</v>
      </c>
      <c r="F1433" t="s">
        <v>10</v>
      </c>
      <c r="G1433" t="s">
        <v>115</v>
      </c>
      <c r="H1433">
        <v>2025</v>
      </c>
      <c r="I1433">
        <v>1753</v>
      </c>
      <c r="J1433">
        <v>9.9</v>
      </c>
      <c r="K1433" t="s">
        <v>21</v>
      </c>
      <c r="L1433">
        <v>6.1</v>
      </c>
      <c r="M1433">
        <v>4.7</v>
      </c>
      <c r="N1433">
        <v>1280</v>
      </c>
      <c r="O1433" t="s">
        <v>64</v>
      </c>
      <c r="P1433">
        <v>58.8</v>
      </c>
      <c r="Q1433" t="s">
        <v>65</v>
      </c>
      <c r="R1433">
        <v>38.299999999999997</v>
      </c>
      <c r="S1433">
        <v>-15.1</v>
      </c>
      <c r="T1433">
        <v>-4.3</v>
      </c>
      <c r="U1433">
        <v>4.0999999999999996</v>
      </c>
      <c r="V1433">
        <v>7.3</v>
      </c>
      <c r="W1433">
        <v>5.6</v>
      </c>
      <c r="X1433" t="s">
        <v>57</v>
      </c>
    </row>
    <row r="1434" spans="2:24" x14ac:dyDescent="0.3">
      <c r="B1434" t="s">
        <v>1527</v>
      </c>
      <c r="C1434" t="s">
        <v>71</v>
      </c>
      <c r="D1434" t="s">
        <v>5</v>
      </c>
      <c r="E1434" t="s">
        <v>19</v>
      </c>
      <c r="F1434" t="s">
        <v>11</v>
      </c>
      <c r="G1434" t="s">
        <v>74</v>
      </c>
      <c r="H1434">
        <v>2026</v>
      </c>
      <c r="I1434">
        <v>4594</v>
      </c>
      <c r="J1434">
        <v>14.6</v>
      </c>
      <c r="K1434" t="s">
        <v>23</v>
      </c>
      <c r="L1434">
        <v>4.5</v>
      </c>
      <c r="M1434">
        <v>10</v>
      </c>
      <c r="N1434">
        <v>2096</v>
      </c>
      <c r="O1434" t="s">
        <v>64</v>
      </c>
      <c r="P1434">
        <v>45.1</v>
      </c>
      <c r="Q1434" t="s">
        <v>79</v>
      </c>
      <c r="R1434">
        <v>5</v>
      </c>
      <c r="S1434">
        <v>-2.1</v>
      </c>
      <c r="T1434">
        <v>2.4</v>
      </c>
      <c r="U1434">
        <v>5.5</v>
      </c>
      <c r="V1434">
        <v>5.4</v>
      </c>
      <c r="W1434">
        <v>4.9000000000000004</v>
      </c>
      <c r="X1434" t="s">
        <v>116</v>
      </c>
    </row>
    <row r="1435" spans="2:24" x14ac:dyDescent="0.3">
      <c r="B1435" t="s">
        <v>1528</v>
      </c>
      <c r="C1435" t="s">
        <v>53</v>
      </c>
      <c r="D1435" t="s">
        <v>3</v>
      </c>
      <c r="E1435" t="s">
        <v>19</v>
      </c>
      <c r="F1435" t="s">
        <v>12</v>
      </c>
      <c r="G1435" t="s">
        <v>60</v>
      </c>
      <c r="H1435">
        <v>2026</v>
      </c>
      <c r="I1435">
        <v>1653</v>
      </c>
      <c r="J1435">
        <v>7.6</v>
      </c>
      <c r="K1435" t="s">
        <v>22</v>
      </c>
      <c r="L1435">
        <v>6</v>
      </c>
      <c r="M1435">
        <v>8.1999999999999993</v>
      </c>
      <c r="N1435">
        <v>3715</v>
      </c>
      <c r="O1435" t="s">
        <v>55</v>
      </c>
      <c r="P1435">
        <v>16.8</v>
      </c>
      <c r="Q1435" t="s">
        <v>88</v>
      </c>
      <c r="R1435">
        <v>32.5</v>
      </c>
      <c r="S1435">
        <v>54</v>
      </c>
      <c r="T1435">
        <v>15.5</v>
      </c>
      <c r="U1435">
        <v>9.5</v>
      </c>
      <c r="V1435">
        <v>8.8000000000000007</v>
      </c>
      <c r="W1435">
        <v>7.3</v>
      </c>
      <c r="X1435" t="s">
        <v>116</v>
      </c>
    </row>
    <row r="1436" spans="2:24" x14ac:dyDescent="0.3">
      <c r="B1436" t="s">
        <v>1529</v>
      </c>
      <c r="C1436" t="s">
        <v>142</v>
      </c>
      <c r="D1436" t="s">
        <v>2</v>
      </c>
      <c r="E1436" t="s">
        <v>16</v>
      </c>
      <c r="F1436" t="s">
        <v>10</v>
      </c>
      <c r="G1436" t="s">
        <v>115</v>
      </c>
      <c r="H1436">
        <v>2024</v>
      </c>
      <c r="I1436">
        <v>423</v>
      </c>
      <c r="J1436">
        <v>8.1</v>
      </c>
      <c r="K1436" t="s">
        <v>21</v>
      </c>
      <c r="L1436">
        <v>13.6</v>
      </c>
      <c r="M1436">
        <v>10</v>
      </c>
      <c r="N1436">
        <v>8334</v>
      </c>
      <c r="O1436" t="s">
        <v>55</v>
      </c>
      <c r="P1436">
        <v>69.7</v>
      </c>
      <c r="Q1436" t="s">
        <v>76</v>
      </c>
      <c r="R1436">
        <v>66.900000000000006</v>
      </c>
      <c r="S1436">
        <v>16</v>
      </c>
      <c r="T1436">
        <v>1</v>
      </c>
      <c r="U1436">
        <v>8.3000000000000007</v>
      </c>
      <c r="V1436">
        <v>8.6999999999999993</v>
      </c>
      <c r="W1436">
        <v>6</v>
      </c>
      <c r="X1436" t="s">
        <v>57</v>
      </c>
    </row>
    <row r="1437" spans="2:24" x14ac:dyDescent="0.3">
      <c r="B1437" t="s">
        <v>1530</v>
      </c>
      <c r="C1437" t="s">
        <v>53</v>
      </c>
      <c r="D1437" t="s">
        <v>3</v>
      </c>
      <c r="E1437" t="s">
        <v>14</v>
      </c>
      <c r="F1437" t="s">
        <v>12</v>
      </c>
      <c r="G1437" t="s">
        <v>60</v>
      </c>
      <c r="H1437">
        <v>2026</v>
      </c>
      <c r="I1437">
        <v>8641</v>
      </c>
      <c r="J1437">
        <v>29.3</v>
      </c>
      <c r="K1437" t="s">
        <v>21</v>
      </c>
      <c r="L1437">
        <v>7.7</v>
      </c>
      <c r="M1437">
        <v>10</v>
      </c>
      <c r="N1437">
        <v>214</v>
      </c>
      <c r="O1437" t="s">
        <v>64</v>
      </c>
      <c r="P1437">
        <v>28</v>
      </c>
      <c r="Q1437" t="s">
        <v>84</v>
      </c>
      <c r="R1437">
        <v>65.7</v>
      </c>
      <c r="S1437">
        <v>-10.5</v>
      </c>
      <c r="T1437">
        <v>-3.3</v>
      </c>
      <c r="U1437">
        <v>7.9</v>
      </c>
      <c r="V1437">
        <v>6.3</v>
      </c>
      <c r="W1437">
        <v>2.5</v>
      </c>
      <c r="X1437" t="s">
        <v>66</v>
      </c>
    </row>
    <row r="1438" spans="2:24" x14ac:dyDescent="0.3">
      <c r="B1438" t="s">
        <v>1531</v>
      </c>
      <c r="C1438" t="s">
        <v>92</v>
      </c>
      <c r="D1438" t="s">
        <v>7</v>
      </c>
      <c r="E1438" t="s">
        <v>15</v>
      </c>
      <c r="F1438" t="s">
        <v>10</v>
      </c>
      <c r="G1438" t="s">
        <v>131</v>
      </c>
      <c r="H1438">
        <v>2025</v>
      </c>
      <c r="I1438">
        <v>439</v>
      </c>
      <c r="J1438">
        <v>6.2</v>
      </c>
      <c r="K1438" t="s">
        <v>22</v>
      </c>
      <c r="L1438">
        <v>7.8</v>
      </c>
      <c r="M1438">
        <v>7.3</v>
      </c>
      <c r="N1438">
        <v>5576</v>
      </c>
      <c r="O1438" t="s">
        <v>55</v>
      </c>
      <c r="P1438">
        <v>84</v>
      </c>
      <c r="Q1438" t="s">
        <v>79</v>
      </c>
      <c r="R1438">
        <v>-20.100000000000001</v>
      </c>
      <c r="S1438">
        <v>43.7</v>
      </c>
      <c r="T1438">
        <v>16.100000000000001</v>
      </c>
      <c r="U1438">
        <v>6.3</v>
      </c>
      <c r="V1438">
        <v>6.6</v>
      </c>
      <c r="W1438">
        <v>7.9</v>
      </c>
      <c r="X1438" t="s">
        <v>116</v>
      </c>
    </row>
    <row r="1439" spans="2:24" x14ac:dyDescent="0.3">
      <c r="B1439" t="s">
        <v>1532</v>
      </c>
      <c r="C1439" t="s">
        <v>90</v>
      </c>
      <c r="D1439" t="s">
        <v>3</v>
      </c>
      <c r="E1439" t="s">
        <v>18</v>
      </c>
      <c r="F1439" t="s">
        <v>12</v>
      </c>
      <c r="G1439" t="s">
        <v>63</v>
      </c>
      <c r="H1439">
        <v>2026</v>
      </c>
      <c r="I1439">
        <v>1173</v>
      </c>
      <c r="J1439">
        <v>1.6</v>
      </c>
      <c r="K1439" t="s">
        <v>25</v>
      </c>
      <c r="L1439">
        <v>8.6</v>
      </c>
      <c r="M1439">
        <v>9.8000000000000007</v>
      </c>
      <c r="N1439">
        <v>3540</v>
      </c>
      <c r="O1439" t="s">
        <v>118</v>
      </c>
      <c r="P1439">
        <v>44.6</v>
      </c>
      <c r="Q1439" t="s">
        <v>86</v>
      </c>
      <c r="R1439">
        <v>-34.299999999999997</v>
      </c>
      <c r="S1439">
        <v>21.2</v>
      </c>
      <c r="T1439">
        <v>9.4</v>
      </c>
      <c r="U1439">
        <v>9.4</v>
      </c>
      <c r="V1439">
        <v>7.6</v>
      </c>
      <c r="W1439">
        <v>5.7</v>
      </c>
      <c r="X1439" t="s">
        <v>57</v>
      </c>
    </row>
    <row r="1440" spans="2:24" x14ac:dyDescent="0.3">
      <c r="B1440" t="s">
        <v>1533</v>
      </c>
      <c r="C1440" t="s">
        <v>73</v>
      </c>
      <c r="D1440" t="s">
        <v>2</v>
      </c>
      <c r="E1440" t="s">
        <v>16</v>
      </c>
      <c r="F1440" t="s">
        <v>10</v>
      </c>
      <c r="G1440" t="s">
        <v>104</v>
      </c>
      <c r="H1440">
        <v>2024</v>
      </c>
      <c r="I1440">
        <v>7044</v>
      </c>
      <c r="J1440">
        <v>22.5</v>
      </c>
      <c r="K1440" t="s">
        <v>23</v>
      </c>
      <c r="L1440">
        <v>4.7</v>
      </c>
      <c r="M1440">
        <v>9.9</v>
      </c>
      <c r="N1440">
        <v>9752</v>
      </c>
      <c r="O1440" t="s">
        <v>55</v>
      </c>
      <c r="P1440">
        <v>61.5</v>
      </c>
      <c r="Q1440" t="s">
        <v>56</v>
      </c>
      <c r="R1440">
        <v>-43.3</v>
      </c>
      <c r="S1440">
        <v>14.5</v>
      </c>
      <c r="T1440">
        <v>1.5</v>
      </c>
      <c r="U1440">
        <v>4.3</v>
      </c>
      <c r="V1440">
        <v>7.6</v>
      </c>
      <c r="W1440">
        <v>4.5999999999999996</v>
      </c>
      <c r="X1440" t="s">
        <v>66</v>
      </c>
    </row>
    <row r="1441" spans="2:24" x14ac:dyDescent="0.3">
      <c r="B1441" t="s">
        <v>1534</v>
      </c>
      <c r="C1441" t="s">
        <v>59</v>
      </c>
      <c r="D1441" t="s">
        <v>4</v>
      </c>
      <c r="E1441" t="s">
        <v>15</v>
      </c>
      <c r="F1441" t="s">
        <v>9</v>
      </c>
      <c r="G1441" t="s">
        <v>98</v>
      </c>
      <c r="H1441">
        <v>2024</v>
      </c>
      <c r="I1441">
        <v>2050</v>
      </c>
      <c r="J1441">
        <v>5.8</v>
      </c>
      <c r="K1441" t="s">
        <v>24</v>
      </c>
      <c r="L1441">
        <v>14.2</v>
      </c>
      <c r="M1441">
        <v>5.6</v>
      </c>
      <c r="N1441">
        <v>3450</v>
      </c>
      <c r="O1441" t="s">
        <v>55</v>
      </c>
      <c r="P1441">
        <v>23.5</v>
      </c>
      <c r="Q1441" t="s">
        <v>79</v>
      </c>
      <c r="R1441">
        <v>68.7</v>
      </c>
      <c r="S1441">
        <v>-20.3</v>
      </c>
      <c r="T1441">
        <v>-3.2</v>
      </c>
      <c r="U1441">
        <v>9</v>
      </c>
      <c r="V1441">
        <v>7</v>
      </c>
      <c r="W1441">
        <v>6.3</v>
      </c>
      <c r="X1441" t="s">
        <v>57</v>
      </c>
    </row>
    <row r="1442" spans="2:24" x14ac:dyDescent="0.3">
      <c r="B1442" t="s">
        <v>1535</v>
      </c>
      <c r="C1442" t="s">
        <v>106</v>
      </c>
      <c r="D1442" t="s">
        <v>4</v>
      </c>
      <c r="E1442" t="s">
        <v>17</v>
      </c>
      <c r="F1442" t="s">
        <v>11</v>
      </c>
      <c r="G1442" t="s">
        <v>112</v>
      </c>
      <c r="H1442">
        <v>2024</v>
      </c>
      <c r="I1442">
        <v>5542</v>
      </c>
      <c r="J1442">
        <v>16</v>
      </c>
      <c r="K1442" t="s">
        <v>21</v>
      </c>
      <c r="L1442">
        <v>8.3000000000000007</v>
      </c>
      <c r="M1442">
        <v>9.6</v>
      </c>
      <c r="N1442">
        <v>362</v>
      </c>
      <c r="O1442" t="s">
        <v>64</v>
      </c>
      <c r="P1442">
        <v>36.700000000000003</v>
      </c>
      <c r="Q1442" t="s">
        <v>88</v>
      </c>
      <c r="R1442">
        <v>80.099999999999994</v>
      </c>
      <c r="S1442">
        <v>51.4</v>
      </c>
      <c r="T1442">
        <v>18.7</v>
      </c>
      <c r="U1442">
        <v>6.9</v>
      </c>
      <c r="V1442">
        <v>7.7</v>
      </c>
      <c r="W1442">
        <v>6.3</v>
      </c>
      <c r="X1442" t="s">
        <v>116</v>
      </c>
    </row>
    <row r="1443" spans="2:24" x14ac:dyDescent="0.3">
      <c r="B1443" t="s">
        <v>1536</v>
      </c>
      <c r="C1443" t="s">
        <v>27</v>
      </c>
      <c r="D1443" t="s">
        <v>3</v>
      </c>
      <c r="E1443" t="s">
        <v>14</v>
      </c>
      <c r="F1443" t="s">
        <v>9</v>
      </c>
      <c r="G1443" t="s">
        <v>131</v>
      </c>
      <c r="H1443">
        <v>2025</v>
      </c>
      <c r="I1443">
        <v>1026</v>
      </c>
      <c r="J1443">
        <v>10.8</v>
      </c>
      <c r="K1443" t="s">
        <v>23</v>
      </c>
      <c r="L1443">
        <v>5.3</v>
      </c>
      <c r="M1443">
        <v>8.4</v>
      </c>
      <c r="N1443">
        <v>2421</v>
      </c>
      <c r="O1443" t="s">
        <v>55</v>
      </c>
      <c r="P1443">
        <v>76.3</v>
      </c>
      <c r="Q1443" t="s">
        <v>65</v>
      </c>
      <c r="R1443">
        <v>50.9</v>
      </c>
      <c r="S1443">
        <v>52.5</v>
      </c>
      <c r="T1443">
        <v>23.8</v>
      </c>
      <c r="U1443">
        <v>6.9</v>
      </c>
      <c r="V1443">
        <v>7.6</v>
      </c>
      <c r="W1443">
        <v>6.7</v>
      </c>
      <c r="X1443" t="s">
        <v>116</v>
      </c>
    </row>
    <row r="1444" spans="2:24" x14ac:dyDescent="0.3">
      <c r="B1444" t="s">
        <v>1537</v>
      </c>
      <c r="C1444" t="s">
        <v>159</v>
      </c>
      <c r="D1444" t="s">
        <v>7</v>
      </c>
      <c r="E1444" t="s">
        <v>14</v>
      </c>
      <c r="F1444" t="s">
        <v>12</v>
      </c>
      <c r="G1444" t="s">
        <v>104</v>
      </c>
      <c r="H1444">
        <v>2024</v>
      </c>
      <c r="I1444">
        <v>1258</v>
      </c>
      <c r="J1444">
        <v>8.9</v>
      </c>
      <c r="K1444" t="s">
        <v>25</v>
      </c>
      <c r="L1444">
        <v>3.4</v>
      </c>
      <c r="M1444">
        <v>3.9</v>
      </c>
      <c r="N1444">
        <v>3438</v>
      </c>
      <c r="O1444" t="s">
        <v>64</v>
      </c>
      <c r="P1444">
        <v>48.8</v>
      </c>
      <c r="Q1444" t="s">
        <v>86</v>
      </c>
      <c r="R1444">
        <v>28.2</v>
      </c>
      <c r="S1444">
        <v>22.6</v>
      </c>
      <c r="T1444">
        <v>14.7</v>
      </c>
      <c r="U1444">
        <v>3.1</v>
      </c>
      <c r="V1444">
        <v>6.5</v>
      </c>
      <c r="W1444">
        <v>6.7</v>
      </c>
      <c r="X1444" t="s">
        <v>57</v>
      </c>
    </row>
    <row r="1445" spans="2:24" x14ac:dyDescent="0.3">
      <c r="B1445" t="s">
        <v>1538</v>
      </c>
      <c r="C1445" t="s">
        <v>71</v>
      </c>
      <c r="D1445" t="s">
        <v>6</v>
      </c>
      <c r="E1445" t="s">
        <v>15</v>
      </c>
      <c r="F1445" t="s">
        <v>10</v>
      </c>
      <c r="G1445" t="s">
        <v>78</v>
      </c>
      <c r="H1445">
        <v>2025</v>
      </c>
      <c r="I1445">
        <v>3545</v>
      </c>
      <c r="J1445">
        <v>15.5</v>
      </c>
      <c r="K1445" t="s">
        <v>24</v>
      </c>
      <c r="L1445">
        <v>9.6</v>
      </c>
      <c r="M1445">
        <v>9.6</v>
      </c>
      <c r="N1445">
        <v>102</v>
      </c>
      <c r="O1445" t="s">
        <v>64</v>
      </c>
      <c r="P1445">
        <v>68</v>
      </c>
      <c r="Q1445" t="s">
        <v>65</v>
      </c>
      <c r="R1445">
        <v>10.8</v>
      </c>
      <c r="S1445">
        <v>45.8</v>
      </c>
      <c r="T1445">
        <v>25.4</v>
      </c>
      <c r="U1445">
        <v>6.1</v>
      </c>
      <c r="V1445">
        <v>8.3000000000000007</v>
      </c>
      <c r="W1445">
        <v>5.2</v>
      </c>
      <c r="X1445" t="s">
        <v>66</v>
      </c>
    </row>
    <row r="1446" spans="2:24" x14ac:dyDescent="0.3">
      <c r="B1446" t="s">
        <v>1539</v>
      </c>
      <c r="C1446" t="s">
        <v>159</v>
      </c>
      <c r="D1446" t="s">
        <v>2</v>
      </c>
      <c r="E1446" t="s">
        <v>16</v>
      </c>
      <c r="F1446" t="s">
        <v>12</v>
      </c>
      <c r="G1446" t="s">
        <v>98</v>
      </c>
      <c r="H1446">
        <v>2026</v>
      </c>
      <c r="I1446">
        <v>2119</v>
      </c>
      <c r="J1446">
        <v>3.9</v>
      </c>
      <c r="K1446" t="s">
        <v>21</v>
      </c>
      <c r="L1446">
        <v>7.1</v>
      </c>
      <c r="M1446">
        <v>8.5</v>
      </c>
      <c r="N1446">
        <v>7084</v>
      </c>
      <c r="O1446" t="s">
        <v>55</v>
      </c>
      <c r="P1446">
        <v>31.1</v>
      </c>
      <c r="Q1446" t="s">
        <v>56</v>
      </c>
      <c r="R1446">
        <v>-22.3</v>
      </c>
      <c r="S1446">
        <v>18.7</v>
      </c>
      <c r="T1446">
        <v>18.600000000000001</v>
      </c>
      <c r="U1446">
        <v>8.1</v>
      </c>
      <c r="V1446">
        <v>8.5</v>
      </c>
      <c r="W1446">
        <v>5.8</v>
      </c>
      <c r="X1446" t="s">
        <v>57</v>
      </c>
    </row>
    <row r="1447" spans="2:24" x14ac:dyDescent="0.3">
      <c r="B1447" t="s">
        <v>1540</v>
      </c>
      <c r="C1447" t="s">
        <v>106</v>
      </c>
      <c r="D1447" t="s">
        <v>7</v>
      </c>
      <c r="E1447" t="s">
        <v>17</v>
      </c>
      <c r="F1447" t="s">
        <v>11</v>
      </c>
      <c r="G1447" t="s">
        <v>98</v>
      </c>
      <c r="H1447">
        <v>2025</v>
      </c>
      <c r="I1447">
        <v>6971</v>
      </c>
      <c r="J1447">
        <v>17.2</v>
      </c>
      <c r="K1447" t="s">
        <v>24</v>
      </c>
      <c r="L1447">
        <v>11.3</v>
      </c>
      <c r="M1447">
        <v>9.9</v>
      </c>
      <c r="N1447">
        <v>2389</v>
      </c>
      <c r="O1447" t="s">
        <v>55</v>
      </c>
      <c r="P1447">
        <v>74.7</v>
      </c>
      <c r="Q1447" t="s">
        <v>56</v>
      </c>
      <c r="R1447">
        <v>64.599999999999994</v>
      </c>
      <c r="S1447">
        <v>-6.1</v>
      </c>
      <c r="T1447">
        <v>-1.1000000000000001</v>
      </c>
      <c r="U1447">
        <v>9.1999999999999993</v>
      </c>
      <c r="V1447">
        <v>4.0999999999999996</v>
      </c>
      <c r="W1447">
        <v>3.8</v>
      </c>
      <c r="X1447" t="s">
        <v>116</v>
      </c>
    </row>
    <row r="1448" spans="2:24" x14ac:dyDescent="0.3">
      <c r="B1448" t="s">
        <v>1541</v>
      </c>
      <c r="C1448" t="s">
        <v>106</v>
      </c>
      <c r="D1448" t="s">
        <v>7</v>
      </c>
      <c r="E1448" t="s">
        <v>19</v>
      </c>
      <c r="F1448" t="s">
        <v>10</v>
      </c>
      <c r="G1448" t="s">
        <v>112</v>
      </c>
      <c r="H1448">
        <v>2025</v>
      </c>
      <c r="I1448">
        <v>1957</v>
      </c>
      <c r="J1448">
        <v>7.2</v>
      </c>
      <c r="K1448" t="s">
        <v>23</v>
      </c>
      <c r="L1448">
        <v>8.8000000000000007</v>
      </c>
      <c r="M1448">
        <v>5.4</v>
      </c>
      <c r="N1448">
        <v>4949</v>
      </c>
      <c r="O1448" t="s">
        <v>55</v>
      </c>
      <c r="P1448">
        <v>63.2</v>
      </c>
      <c r="Q1448" t="s">
        <v>86</v>
      </c>
      <c r="R1448">
        <v>68.5</v>
      </c>
      <c r="S1448">
        <v>-23.1</v>
      </c>
      <c r="T1448">
        <v>-10.6</v>
      </c>
      <c r="U1448">
        <v>5.5</v>
      </c>
      <c r="V1448">
        <v>7.6</v>
      </c>
      <c r="W1448">
        <v>4.5999999999999996</v>
      </c>
      <c r="X1448" t="s">
        <v>116</v>
      </c>
    </row>
    <row r="1449" spans="2:24" x14ac:dyDescent="0.3">
      <c r="B1449" t="s">
        <v>1542</v>
      </c>
      <c r="C1449" t="s">
        <v>137</v>
      </c>
      <c r="D1449" t="s">
        <v>3</v>
      </c>
      <c r="E1449" t="s">
        <v>14</v>
      </c>
      <c r="F1449" t="s">
        <v>9</v>
      </c>
      <c r="G1449" t="s">
        <v>101</v>
      </c>
      <c r="H1449">
        <v>2024</v>
      </c>
      <c r="I1449">
        <v>5654</v>
      </c>
      <c r="J1449">
        <v>13.5</v>
      </c>
      <c r="K1449" t="s">
        <v>25</v>
      </c>
      <c r="L1449">
        <v>3.4</v>
      </c>
      <c r="M1449">
        <v>2.7</v>
      </c>
      <c r="N1449">
        <v>3543</v>
      </c>
      <c r="O1449" t="s">
        <v>64</v>
      </c>
      <c r="P1449">
        <v>12.2</v>
      </c>
      <c r="Q1449" t="s">
        <v>76</v>
      </c>
      <c r="R1449">
        <v>75.8</v>
      </c>
      <c r="S1449">
        <v>-0.5</v>
      </c>
      <c r="T1449">
        <v>-0.7</v>
      </c>
      <c r="U1449">
        <v>2.2000000000000002</v>
      </c>
      <c r="V1449">
        <v>4.5999999999999996</v>
      </c>
      <c r="W1449">
        <v>6.7</v>
      </c>
      <c r="X1449" t="s">
        <v>116</v>
      </c>
    </row>
    <row r="1450" spans="2:24" x14ac:dyDescent="0.3">
      <c r="B1450" t="s">
        <v>1543</v>
      </c>
      <c r="C1450" t="s">
        <v>92</v>
      </c>
      <c r="D1450" t="s">
        <v>7</v>
      </c>
      <c r="E1450" t="s">
        <v>15</v>
      </c>
      <c r="F1450" t="s">
        <v>9</v>
      </c>
      <c r="G1450" t="s">
        <v>98</v>
      </c>
      <c r="H1450">
        <v>2024</v>
      </c>
      <c r="I1450">
        <v>3670</v>
      </c>
      <c r="J1450">
        <v>6.6</v>
      </c>
      <c r="K1450" t="s">
        <v>22</v>
      </c>
      <c r="L1450">
        <v>3.6</v>
      </c>
      <c r="M1450">
        <v>6.5</v>
      </c>
      <c r="N1450">
        <v>261</v>
      </c>
      <c r="O1450" t="s">
        <v>64</v>
      </c>
      <c r="P1450">
        <v>32.6</v>
      </c>
      <c r="Q1450" t="s">
        <v>65</v>
      </c>
      <c r="R1450">
        <v>-38.700000000000003</v>
      </c>
      <c r="S1450">
        <v>57.1</v>
      </c>
      <c r="T1450">
        <v>30.3</v>
      </c>
      <c r="U1450">
        <v>3.4</v>
      </c>
      <c r="V1450">
        <v>7.4</v>
      </c>
      <c r="W1450">
        <v>7.8</v>
      </c>
      <c r="X1450" t="s">
        <v>116</v>
      </c>
    </row>
    <row r="1451" spans="2:24" x14ac:dyDescent="0.3">
      <c r="B1451" t="s">
        <v>1544</v>
      </c>
      <c r="C1451" t="s">
        <v>100</v>
      </c>
      <c r="D1451" t="s">
        <v>3</v>
      </c>
      <c r="E1451" t="s">
        <v>14</v>
      </c>
      <c r="F1451" t="s">
        <v>11</v>
      </c>
      <c r="G1451" t="s">
        <v>60</v>
      </c>
      <c r="H1451">
        <v>2025</v>
      </c>
      <c r="I1451">
        <v>1493</v>
      </c>
      <c r="J1451">
        <v>7.2</v>
      </c>
      <c r="K1451" t="s">
        <v>25</v>
      </c>
      <c r="L1451">
        <v>9.6999999999999993</v>
      </c>
      <c r="M1451">
        <v>7.7</v>
      </c>
      <c r="N1451">
        <v>1479</v>
      </c>
      <c r="O1451" t="s">
        <v>64</v>
      </c>
      <c r="P1451">
        <v>57.5</v>
      </c>
      <c r="Q1451" t="s">
        <v>88</v>
      </c>
      <c r="R1451">
        <v>51.9</v>
      </c>
      <c r="S1451">
        <v>14.2</v>
      </c>
      <c r="T1451">
        <v>5.2</v>
      </c>
      <c r="U1451">
        <v>6.4</v>
      </c>
      <c r="V1451">
        <v>8.6</v>
      </c>
      <c r="W1451">
        <v>6.1</v>
      </c>
      <c r="X1451" t="s">
        <v>57</v>
      </c>
    </row>
    <row r="1452" spans="2:24" x14ac:dyDescent="0.3">
      <c r="B1452" t="s">
        <v>1545</v>
      </c>
      <c r="C1452" t="s">
        <v>142</v>
      </c>
      <c r="D1452" t="s">
        <v>8</v>
      </c>
      <c r="E1452" t="s">
        <v>15</v>
      </c>
      <c r="F1452" t="s">
        <v>12</v>
      </c>
      <c r="G1452" t="s">
        <v>74</v>
      </c>
      <c r="H1452">
        <v>2026</v>
      </c>
      <c r="I1452">
        <v>7779</v>
      </c>
      <c r="J1452">
        <v>21</v>
      </c>
      <c r="K1452" t="s">
        <v>24</v>
      </c>
      <c r="L1452">
        <v>4.5999999999999996</v>
      </c>
      <c r="M1452">
        <v>6.2</v>
      </c>
      <c r="N1452">
        <v>1470</v>
      </c>
      <c r="O1452" t="s">
        <v>64</v>
      </c>
      <c r="P1452">
        <v>17.399999999999999</v>
      </c>
      <c r="Q1452" t="s">
        <v>88</v>
      </c>
      <c r="R1452">
        <v>27.9</v>
      </c>
      <c r="S1452">
        <v>32.6</v>
      </c>
      <c r="T1452">
        <v>3.1</v>
      </c>
      <c r="U1452">
        <v>3.9</v>
      </c>
      <c r="V1452">
        <v>4.3</v>
      </c>
      <c r="W1452">
        <v>5.3</v>
      </c>
      <c r="X1452" t="s">
        <v>66</v>
      </c>
    </row>
    <row r="1453" spans="2:24" x14ac:dyDescent="0.3">
      <c r="B1453" t="s">
        <v>1546</v>
      </c>
      <c r="C1453" t="s">
        <v>53</v>
      </c>
      <c r="D1453" t="s">
        <v>3</v>
      </c>
      <c r="E1453" t="s">
        <v>14</v>
      </c>
      <c r="F1453" t="s">
        <v>11</v>
      </c>
      <c r="G1453" t="s">
        <v>60</v>
      </c>
      <c r="H1453">
        <v>2024</v>
      </c>
      <c r="I1453">
        <v>2233</v>
      </c>
      <c r="J1453">
        <v>1.2</v>
      </c>
      <c r="K1453" t="s">
        <v>23</v>
      </c>
      <c r="L1453">
        <v>6.6</v>
      </c>
      <c r="M1453">
        <v>10</v>
      </c>
      <c r="N1453">
        <v>2985</v>
      </c>
      <c r="O1453" t="s">
        <v>55</v>
      </c>
      <c r="P1453">
        <v>82.4</v>
      </c>
      <c r="Q1453" t="s">
        <v>76</v>
      </c>
      <c r="R1453">
        <v>26</v>
      </c>
      <c r="S1453">
        <v>-11.9</v>
      </c>
      <c r="T1453">
        <v>0.1</v>
      </c>
      <c r="U1453">
        <v>6.1</v>
      </c>
      <c r="V1453">
        <v>6</v>
      </c>
      <c r="W1453">
        <v>5.2</v>
      </c>
      <c r="X1453" t="s">
        <v>57</v>
      </c>
    </row>
    <row r="1454" spans="2:24" x14ac:dyDescent="0.3">
      <c r="B1454" t="s">
        <v>1547</v>
      </c>
      <c r="C1454" t="s">
        <v>62</v>
      </c>
      <c r="D1454" t="s">
        <v>2</v>
      </c>
      <c r="E1454" t="s">
        <v>18</v>
      </c>
      <c r="F1454" t="s">
        <v>9</v>
      </c>
      <c r="G1454" t="s">
        <v>131</v>
      </c>
      <c r="H1454">
        <v>2026</v>
      </c>
      <c r="I1454">
        <v>1703</v>
      </c>
      <c r="J1454">
        <v>4.8</v>
      </c>
      <c r="K1454" t="s">
        <v>24</v>
      </c>
      <c r="L1454">
        <v>0.9</v>
      </c>
      <c r="M1454">
        <v>1</v>
      </c>
      <c r="N1454">
        <v>5649</v>
      </c>
      <c r="O1454" t="s">
        <v>55</v>
      </c>
      <c r="P1454">
        <v>61.7</v>
      </c>
      <c r="Q1454" t="s">
        <v>76</v>
      </c>
      <c r="R1454">
        <v>10.9</v>
      </c>
      <c r="S1454">
        <v>-3.2</v>
      </c>
      <c r="T1454">
        <v>2.1</v>
      </c>
      <c r="U1454">
        <v>1.2</v>
      </c>
      <c r="V1454">
        <v>5.9</v>
      </c>
      <c r="W1454">
        <v>6.3</v>
      </c>
      <c r="X1454" t="s">
        <v>57</v>
      </c>
    </row>
    <row r="1455" spans="2:24" x14ac:dyDescent="0.3">
      <c r="B1455" t="s">
        <v>1548</v>
      </c>
      <c r="C1455" t="s">
        <v>100</v>
      </c>
      <c r="D1455" t="s">
        <v>3</v>
      </c>
      <c r="E1455" t="s">
        <v>15</v>
      </c>
      <c r="F1455" t="s">
        <v>9</v>
      </c>
      <c r="G1455" t="s">
        <v>54</v>
      </c>
      <c r="H1455">
        <v>2026</v>
      </c>
      <c r="I1455">
        <v>4081</v>
      </c>
      <c r="J1455">
        <v>18.100000000000001</v>
      </c>
      <c r="K1455" t="s">
        <v>22</v>
      </c>
      <c r="L1455">
        <v>4.5999999999999996</v>
      </c>
      <c r="M1455">
        <v>6</v>
      </c>
      <c r="N1455">
        <v>1102</v>
      </c>
      <c r="O1455" t="s">
        <v>64</v>
      </c>
      <c r="P1455">
        <v>22.8</v>
      </c>
      <c r="Q1455" t="s">
        <v>79</v>
      </c>
      <c r="R1455">
        <v>-44.4</v>
      </c>
      <c r="S1455">
        <v>-9.4</v>
      </c>
      <c r="T1455">
        <v>-5.3</v>
      </c>
      <c r="U1455">
        <v>2.7</v>
      </c>
      <c r="V1455">
        <v>4.2</v>
      </c>
      <c r="W1455">
        <v>5.3</v>
      </c>
      <c r="X1455" t="s">
        <v>66</v>
      </c>
    </row>
    <row r="1456" spans="2:24" x14ac:dyDescent="0.3">
      <c r="B1456" t="s">
        <v>1549</v>
      </c>
      <c r="C1456" t="s">
        <v>139</v>
      </c>
      <c r="D1456" t="s">
        <v>8</v>
      </c>
      <c r="E1456" t="s">
        <v>18</v>
      </c>
      <c r="F1456" t="s">
        <v>11</v>
      </c>
      <c r="G1456" t="s">
        <v>54</v>
      </c>
      <c r="H1456">
        <v>2026</v>
      </c>
      <c r="I1456">
        <v>8245</v>
      </c>
      <c r="J1456">
        <v>38</v>
      </c>
      <c r="K1456" t="s">
        <v>21</v>
      </c>
      <c r="L1456">
        <v>6.2</v>
      </c>
      <c r="M1456">
        <v>10</v>
      </c>
      <c r="N1456">
        <v>885</v>
      </c>
      <c r="O1456" t="s">
        <v>75</v>
      </c>
      <c r="P1456">
        <v>55.3</v>
      </c>
      <c r="Q1456" t="s">
        <v>86</v>
      </c>
      <c r="R1456">
        <v>7.5</v>
      </c>
      <c r="S1456">
        <v>-10.6</v>
      </c>
      <c r="T1456">
        <v>-10</v>
      </c>
      <c r="U1456">
        <v>9</v>
      </c>
      <c r="V1456">
        <v>4.0999999999999996</v>
      </c>
      <c r="W1456">
        <v>1.3</v>
      </c>
      <c r="X1456" t="s">
        <v>66</v>
      </c>
    </row>
    <row r="1457" spans="2:24" x14ac:dyDescent="0.3">
      <c r="B1457" t="s">
        <v>1550</v>
      </c>
      <c r="C1457" t="s">
        <v>68</v>
      </c>
      <c r="D1457" t="s">
        <v>8</v>
      </c>
      <c r="E1457" t="s">
        <v>14</v>
      </c>
      <c r="F1457" t="s">
        <v>10</v>
      </c>
      <c r="G1457" t="s">
        <v>98</v>
      </c>
      <c r="H1457">
        <v>2025</v>
      </c>
      <c r="I1457">
        <v>1215</v>
      </c>
      <c r="J1457">
        <v>3</v>
      </c>
      <c r="K1457" t="s">
        <v>25</v>
      </c>
      <c r="L1457">
        <v>4.7</v>
      </c>
      <c r="M1457">
        <v>6.1</v>
      </c>
      <c r="N1457">
        <v>911</v>
      </c>
      <c r="O1457" t="s">
        <v>64</v>
      </c>
      <c r="P1457">
        <v>73.599999999999994</v>
      </c>
      <c r="Q1457" t="s">
        <v>65</v>
      </c>
      <c r="R1457">
        <v>40.700000000000003</v>
      </c>
      <c r="S1457">
        <v>30</v>
      </c>
      <c r="T1457">
        <v>19</v>
      </c>
      <c r="U1457">
        <v>3.6</v>
      </c>
      <c r="V1457">
        <v>7.7</v>
      </c>
      <c r="W1457">
        <v>7.1</v>
      </c>
      <c r="X1457" t="s">
        <v>57</v>
      </c>
    </row>
    <row r="1458" spans="2:24" x14ac:dyDescent="0.3">
      <c r="B1458" t="s">
        <v>1551</v>
      </c>
      <c r="C1458" t="s">
        <v>106</v>
      </c>
      <c r="D1458" t="s">
        <v>3</v>
      </c>
      <c r="E1458" t="s">
        <v>19</v>
      </c>
      <c r="F1458" t="s">
        <v>9</v>
      </c>
      <c r="G1458" t="s">
        <v>101</v>
      </c>
      <c r="H1458">
        <v>2025</v>
      </c>
      <c r="I1458">
        <v>1118</v>
      </c>
      <c r="J1458">
        <v>3</v>
      </c>
      <c r="K1458" t="s">
        <v>25</v>
      </c>
      <c r="L1458">
        <v>13.6</v>
      </c>
      <c r="M1458">
        <v>4.9000000000000004</v>
      </c>
      <c r="N1458">
        <v>713</v>
      </c>
      <c r="O1458" t="s">
        <v>55</v>
      </c>
      <c r="P1458">
        <v>40.200000000000003</v>
      </c>
      <c r="Q1458" t="s">
        <v>56</v>
      </c>
      <c r="R1458">
        <v>-7.3</v>
      </c>
      <c r="S1458">
        <v>6</v>
      </c>
      <c r="T1458">
        <v>10.4</v>
      </c>
      <c r="U1458">
        <v>8.6999999999999993</v>
      </c>
      <c r="V1458">
        <v>7.8</v>
      </c>
      <c r="W1458">
        <v>6</v>
      </c>
      <c r="X1458" t="s">
        <v>116</v>
      </c>
    </row>
    <row r="1459" spans="2:24" x14ac:dyDescent="0.3">
      <c r="B1459" t="s">
        <v>1552</v>
      </c>
      <c r="C1459" t="s">
        <v>142</v>
      </c>
      <c r="D1459" t="s">
        <v>8</v>
      </c>
      <c r="E1459" t="s">
        <v>18</v>
      </c>
      <c r="F1459" t="s">
        <v>11</v>
      </c>
      <c r="G1459" t="s">
        <v>60</v>
      </c>
      <c r="H1459">
        <v>2024</v>
      </c>
      <c r="I1459">
        <v>2402</v>
      </c>
      <c r="J1459">
        <v>13</v>
      </c>
      <c r="K1459" t="s">
        <v>24</v>
      </c>
      <c r="L1459">
        <v>2.9</v>
      </c>
      <c r="M1459">
        <v>4.5999999999999996</v>
      </c>
      <c r="N1459">
        <v>4417</v>
      </c>
      <c r="O1459" t="s">
        <v>55</v>
      </c>
      <c r="P1459">
        <v>18.5</v>
      </c>
      <c r="Q1459" t="s">
        <v>88</v>
      </c>
      <c r="R1459">
        <v>19</v>
      </c>
      <c r="S1459">
        <v>29.4</v>
      </c>
      <c r="T1459">
        <v>16.3</v>
      </c>
      <c r="U1459">
        <v>2.7</v>
      </c>
      <c r="V1459">
        <v>6.1</v>
      </c>
      <c r="W1459">
        <v>7.4</v>
      </c>
      <c r="X1459" t="s">
        <v>116</v>
      </c>
    </row>
    <row r="1460" spans="2:24" x14ac:dyDescent="0.3">
      <c r="B1460" t="s">
        <v>1553</v>
      </c>
      <c r="C1460" t="s">
        <v>137</v>
      </c>
      <c r="D1460" t="s">
        <v>4</v>
      </c>
      <c r="E1460" t="s">
        <v>18</v>
      </c>
      <c r="F1460" t="s">
        <v>12</v>
      </c>
      <c r="G1460" t="s">
        <v>63</v>
      </c>
      <c r="H1460">
        <v>2024</v>
      </c>
      <c r="I1460">
        <v>7670</v>
      </c>
      <c r="J1460">
        <v>28.6</v>
      </c>
      <c r="K1460" t="s">
        <v>21</v>
      </c>
      <c r="L1460">
        <v>3.2</v>
      </c>
      <c r="M1460">
        <v>10</v>
      </c>
      <c r="N1460">
        <v>742</v>
      </c>
      <c r="O1460" t="s">
        <v>75</v>
      </c>
      <c r="P1460">
        <v>62.1</v>
      </c>
      <c r="Q1460" t="s">
        <v>56</v>
      </c>
      <c r="R1460">
        <v>-33.5</v>
      </c>
      <c r="S1460">
        <v>-22.7</v>
      </c>
      <c r="T1460">
        <v>-17.7</v>
      </c>
      <c r="U1460">
        <v>4.5999999999999996</v>
      </c>
      <c r="V1460">
        <v>5.8</v>
      </c>
      <c r="W1460">
        <v>2.8</v>
      </c>
      <c r="X1460" t="s">
        <v>66</v>
      </c>
    </row>
    <row r="1461" spans="2:24" x14ac:dyDescent="0.3">
      <c r="B1461" t="s">
        <v>1554</v>
      </c>
      <c r="C1461" t="s">
        <v>106</v>
      </c>
      <c r="D1461" t="s">
        <v>7</v>
      </c>
      <c r="E1461" t="s">
        <v>15</v>
      </c>
      <c r="F1461" t="s">
        <v>12</v>
      </c>
      <c r="G1461" t="s">
        <v>63</v>
      </c>
      <c r="H1461">
        <v>2025</v>
      </c>
      <c r="I1461">
        <v>2633</v>
      </c>
      <c r="J1461">
        <v>14.3</v>
      </c>
      <c r="K1461" t="s">
        <v>24</v>
      </c>
      <c r="L1461">
        <v>3</v>
      </c>
      <c r="M1461">
        <v>8.1999999999999993</v>
      </c>
      <c r="N1461">
        <v>4043</v>
      </c>
      <c r="O1461" t="s">
        <v>55</v>
      </c>
      <c r="P1461">
        <v>35.4</v>
      </c>
      <c r="Q1461" t="s">
        <v>125</v>
      </c>
      <c r="R1461">
        <v>32.1</v>
      </c>
      <c r="S1461">
        <v>29.9</v>
      </c>
      <c r="T1461">
        <v>6</v>
      </c>
      <c r="U1461">
        <v>2.4</v>
      </c>
      <c r="V1461">
        <v>6.6</v>
      </c>
      <c r="W1461">
        <v>5.7</v>
      </c>
      <c r="X1461" t="s">
        <v>116</v>
      </c>
    </row>
    <row r="1462" spans="2:24" x14ac:dyDescent="0.3">
      <c r="B1462" t="s">
        <v>1555</v>
      </c>
      <c r="C1462" t="s">
        <v>90</v>
      </c>
      <c r="D1462" t="s">
        <v>6</v>
      </c>
      <c r="E1462" t="s">
        <v>18</v>
      </c>
      <c r="F1462" t="s">
        <v>9</v>
      </c>
      <c r="G1462" t="s">
        <v>101</v>
      </c>
      <c r="H1462">
        <v>2024</v>
      </c>
      <c r="I1462">
        <v>2692</v>
      </c>
      <c r="J1462">
        <v>10.9</v>
      </c>
      <c r="K1462" t="s">
        <v>24</v>
      </c>
      <c r="L1462">
        <v>2.5</v>
      </c>
      <c r="M1462">
        <v>5.4</v>
      </c>
      <c r="N1462">
        <v>1948</v>
      </c>
      <c r="O1462" t="s">
        <v>75</v>
      </c>
      <c r="P1462">
        <v>65.900000000000006</v>
      </c>
      <c r="Q1462" t="s">
        <v>125</v>
      </c>
      <c r="R1462">
        <v>84.2</v>
      </c>
      <c r="S1462">
        <v>28.5</v>
      </c>
      <c r="T1462">
        <v>16.100000000000001</v>
      </c>
      <c r="U1462">
        <v>1.6</v>
      </c>
      <c r="V1462">
        <v>6.9</v>
      </c>
      <c r="W1462">
        <v>5.7</v>
      </c>
      <c r="X1462" t="s">
        <v>116</v>
      </c>
    </row>
    <row r="1463" spans="2:24" x14ac:dyDescent="0.3">
      <c r="B1463" t="s">
        <v>1556</v>
      </c>
      <c r="C1463" t="s">
        <v>71</v>
      </c>
      <c r="D1463" t="s">
        <v>5</v>
      </c>
      <c r="E1463" t="s">
        <v>15</v>
      </c>
      <c r="F1463" t="s">
        <v>11</v>
      </c>
      <c r="G1463" t="s">
        <v>60</v>
      </c>
      <c r="H1463">
        <v>2025</v>
      </c>
      <c r="I1463">
        <v>17707</v>
      </c>
      <c r="J1463">
        <v>13.5</v>
      </c>
      <c r="K1463" t="s">
        <v>23</v>
      </c>
      <c r="L1463">
        <v>4</v>
      </c>
      <c r="M1463">
        <v>9.5</v>
      </c>
      <c r="N1463">
        <v>332</v>
      </c>
      <c r="O1463" t="s">
        <v>64</v>
      </c>
      <c r="P1463">
        <v>59.1</v>
      </c>
      <c r="Q1463" t="s">
        <v>76</v>
      </c>
      <c r="R1463">
        <v>18.600000000000001</v>
      </c>
      <c r="S1463">
        <v>43.7</v>
      </c>
      <c r="T1463">
        <v>14.1</v>
      </c>
      <c r="U1463">
        <v>5.4</v>
      </c>
      <c r="V1463">
        <v>8.6999999999999993</v>
      </c>
      <c r="W1463">
        <v>5.4</v>
      </c>
      <c r="X1463" t="s">
        <v>66</v>
      </c>
    </row>
    <row r="1464" spans="2:24" x14ac:dyDescent="0.3">
      <c r="B1464" t="s">
        <v>1557</v>
      </c>
      <c r="C1464" t="s">
        <v>90</v>
      </c>
      <c r="D1464" t="s">
        <v>5</v>
      </c>
      <c r="E1464" t="s">
        <v>18</v>
      </c>
      <c r="F1464" t="s">
        <v>12</v>
      </c>
      <c r="G1464" t="s">
        <v>98</v>
      </c>
      <c r="H1464">
        <v>2026</v>
      </c>
      <c r="I1464">
        <v>6660</v>
      </c>
      <c r="J1464">
        <v>30.6</v>
      </c>
      <c r="K1464" t="s">
        <v>24</v>
      </c>
      <c r="L1464">
        <v>3.4</v>
      </c>
      <c r="M1464">
        <v>10</v>
      </c>
      <c r="N1464">
        <v>596</v>
      </c>
      <c r="O1464" t="s">
        <v>75</v>
      </c>
      <c r="P1464">
        <v>25.5</v>
      </c>
      <c r="Q1464" t="s">
        <v>84</v>
      </c>
      <c r="R1464">
        <v>60.8</v>
      </c>
      <c r="S1464">
        <v>23.3</v>
      </c>
      <c r="T1464">
        <v>2.2999999999999998</v>
      </c>
      <c r="U1464">
        <v>4.5999999999999996</v>
      </c>
      <c r="V1464">
        <v>7</v>
      </c>
      <c r="W1464">
        <v>4.0999999999999996</v>
      </c>
      <c r="X1464" t="s">
        <v>66</v>
      </c>
    </row>
    <row r="1465" spans="2:24" x14ac:dyDescent="0.3">
      <c r="B1465" t="s">
        <v>1558</v>
      </c>
      <c r="C1465" t="s">
        <v>73</v>
      </c>
      <c r="D1465" t="s">
        <v>2</v>
      </c>
      <c r="E1465" t="s">
        <v>18</v>
      </c>
      <c r="F1465" t="s">
        <v>9</v>
      </c>
      <c r="G1465" t="s">
        <v>112</v>
      </c>
      <c r="H1465">
        <v>2026</v>
      </c>
      <c r="I1465">
        <v>15935</v>
      </c>
      <c r="J1465">
        <v>33.700000000000003</v>
      </c>
      <c r="K1465" t="s">
        <v>25</v>
      </c>
      <c r="L1465">
        <v>1.3</v>
      </c>
      <c r="M1465">
        <v>6.2</v>
      </c>
      <c r="N1465">
        <v>1046</v>
      </c>
      <c r="O1465" t="s">
        <v>75</v>
      </c>
      <c r="P1465">
        <v>13.4</v>
      </c>
      <c r="Q1465" t="s">
        <v>76</v>
      </c>
      <c r="R1465">
        <v>30.8</v>
      </c>
      <c r="S1465">
        <v>-16.3</v>
      </c>
      <c r="T1465">
        <v>-22.7</v>
      </c>
      <c r="U1465">
        <v>1.7</v>
      </c>
      <c r="V1465">
        <v>4.5999999999999996</v>
      </c>
      <c r="W1465">
        <v>3.1</v>
      </c>
      <c r="X1465" t="s">
        <v>66</v>
      </c>
    </row>
    <row r="1466" spans="2:24" x14ac:dyDescent="0.3">
      <c r="B1466" t="s">
        <v>1559</v>
      </c>
      <c r="C1466" t="s">
        <v>62</v>
      </c>
      <c r="D1466" t="s">
        <v>2</v>
      </c>
      <c r="E1466" t="s">
        <v>18</v>
      </c>
      <c r="F1466" t="s">
        <v>10</v>
      </c>
      <c r="G1466" t="s">
        <v>98</v>
      </c>
      <c r="H1466">
        <v>2025</v>
      </c>
      <c r="I1466">
        <v>2361</v>
      </c>
      <c r="J1466">
        <v>2.2000000000000002</v>
      </c>
      <c r="K1466" t="s">
        <v>23</v>
      </c>
      <c r="L1466">
        <v>14.2</v>
      </c>
      <c r="M1466">
        <v>9.6999999999999993</v>
      </c>
      <c r="N1466">
        <v>6976</v>
      </c>
      <c r="O1466" t="s">
        <v>118</v>
      </c>
      <c r="P1466">
        <v>84.1</v>
      </c>
      <c r="Q1466" t="s">
        <v>76</v>
      </c>
      <c r="R1466">
        <v>-37.4</v>
      </c>
      <c r="S1466">
        <v>-22</v>
      </c>
      <c r="T1466">
        <v>-1.8</v>
      </c>
      <c r="U1466">
        <v>9.4</v>
      </c>
      <c r="V1466">
        <v>5.0999999999999996</v>
      </c>
      <c r="W1466">
        <v>4.2</v>
      </c>
      <c r="X1466" t="s">
        <v>57</v>
      </c>
    </row>
    <row r="1467" spans="2:24" x14ac:dyDescent="0.3">
      <c r="B1467" t="s">
        <v>1560</v>
      </c>
      <c r="C1467" t="s">
        <v>53</v>
      </c>
      <c r="D1467" t="s">
        <v>2</v>
      </c>
      <c r="E1467" t="s">
        <v>15</v>
      </c>
      <c r="F1467" t="s">
        <v>9</v>
      </c>
      <c r="G1467" t="s">
        <v>104</v>
      </c>
      <c r="H1467">
        <v>2025</v>
      </c>
      <c r="I1467">
        <v>6620</v>
      </c>
      <c r="J1467">
        <v>31.3</v>
      </c>
      <c r="K1467" t="s">
        <v>24</v>
      </c>
      <c r="L1467">
        <v>13.4</v>
      </c>
      <c r="M1467">
        <v>10</v>
      </c>
      <c r="N1467">
        <v>8318</v>
      </c>
      <c r="O1467" t="s">
        <v>55</v>
      </c>
      <c r="P1467">
        <v>62</v>
      </c>
      <c r="Q1467" t="s">
        <v>56</v>
      </c>
      <c r="R1467">
        <v>23.1</v>
      </c>
      <c r="S1467">
        <v>-15.5</v>
      </c>
      <c r="T1467">
        <v>-3.5</v>
      </c>
      <c r="U1467">
        <v>8.5</v>
      </c>
      <c r="V1467">
        <v>5.6</v>
      </c>
      <c r="W1467">
        <v>2.2000000000000002</v>
      </c>
      <c r="X1467" t="s">
        <v>66</v>
      </c>
    </row>
    <row r="1468" spans="2:24" x14ac:dyDescent="0.3">
      <c r="B1468" t="s">
        <v>1561</v>
      </c>
      <c r="C1468" t="s">
        <v>83</v>
      </c>
      <c r="D1468" t="s">
        <v>4</v>
      </c>
      <c r="E1468" t="s">
        <v>16</v>
      </c>
      <c r="F1468" t="s">
        <v>10</v>
      </c>
      <c r="G1468" t="s">
        <v>112</v>
      </c>
      <c r="H1468">
        <v>2026</v>
      </c>
      <c r="I1468">
        <v>12752</v>
      </c>
      <c r="J1468">
        <v>10.9</v>
      </c>
      <c r="K1468" t="s">
        <v>23</v>
      </c>
      <c r="L1468">
        <v>1.4</v>
      </c>
      <c r="M1468">
        <v>1.6</v>
      </c>
      <c r="N1468">
        <v>99</v>
      </c>
      <c r="O1468" t="s">
        <v>64</v>
      </c>
      <c r="P1468">
        <v>84.9</v>
      </c>
      <c r="Q1468" t="s">
        <v>88</v>
      </c>
      <c r="R1468">
        <v>-17.8</v>
      </c>
      <c r="S1468">
        <v>46</v>
      </c>
      <c r="T1468">
        <v>11.4</v>
      </c>
      <c r="U1468">
        <v>1.7</v>
      </c>
      <c r="V1468">
        <v>8.6999999999999993</v>
      </c>
      <c r="W1468">
        <v>7</v>
      </c>
      <c r="X1468" t="s">
        <v>66</v>
      </c>
    </row>
    <row r="1469" spans="2:24" x14ac:dyDescent="0.3">
      <c r="B1469" t="s">
        <v>1562</v>
      </c>
      <c r="C1469" t="s">
        <v>142</v>
      </c>
      <c r="D1469" t="s">
        <v>2</v>
      </c>
      <c r="E1469" t="s">
        <v>19</v>
      </c>
      <c r="F1469" t="s">
        <v>11</v>
      </c>
      <c r="G1469" t="s">
        <v>63</v>
      </c>
      <c r="H1469">
        <v>2025</v>
      </c>
      <c r="I1469">
        <v>5313</v>
      </c>
      <c r="J1469">
        <v>13.3</v>
      </c>
      <c r="K1469" t="s">
        <v>22</v>
      </c>
      <c r="L1469">
        <v>6.9</v>
      </c>
      <c r="M1469">
        <v>7.3</v>
      </c>
      <c r="N1469">
        <v>9253</v>
      </c>
      <c r="O1469" t="s">
        <v>55</v>
      </c>
      <c r="P1469">
        <v>70</v>
      </c>
      <c r="Q1469" t="s">
        <v>56</v>
      </c>
      <c r="R1469">
        <v>-11.2</v>
      </c>
      <c r="S1469">
        <v>26.7</v>
      </c>
      <c r="T1469">
        <v>2.1</v>
      </c>
      <c r="U1469">
        <v>6.1</v>
      </c>
      <c r="V1469">
        <v>7.8</v>
      </c>
      <c r="W1469">
        <v>5.9</v>
      </c>
      <c r="X1469" t="s">
        <v>116</v>
      </c>
    </row>
    <row r="1470" spans="2:24" x14ac:dyDescent="0.3">
      <c r="B1470" t="s">
        <v>1563</v>
      </c>
      <c r="C1470" t="s">
        <v>94</v>
      </c>
      <c r="D1470" t="s">
        <v>6</v>
      </c>
      <c r="E1470" t="s">
        <v>17</v>
      </c>
      <c r="F1470" t="s">
        <v>11</v>
      </c>
      <c r="G1470" t="s">
        <v>63</v>
      </c>
      <c r="H1470">
        <v>2026</v>
      </c>
      <c r="I1470">
        <v>685</v>
      </c>
      <c r="J1470">
        <v>4.3</v>
      </c>
      <c r="K1470" t="s">
        <v>25</v>
      </c>
      <c r="L1470">
        <v>11.2</v>
      </c>
      <c r="M1470">
        <v>7.6</v>
      </c>
      <c r="N1470">
        <v>5810</v>
      </c>
      <c r="O1470" t="s">
        <v>55</v>
      </c>
      <c r="P1470">
        <v>20.100000000000001</v>
      </c>
      <c r="Q1470" t="s">
        <v>56</v>
      </c>
      <c r="R1470">
        <v>80.900000000000006</v>
      </c>
      <c r="S1470">
        <v>48.4</v>
      </c>
      <c r="T1470">
        <v>22.7</v>
      </c>
      <c r="U1470">
        <v>7</v>
      </c>
      <c r="V1470">
        <v>8.6999999999999993</v>
      </c>
      <c r="W1470">
        <v>8.5</v>
      </c>
      <c r="X1470" t="s">
        <v>116</v>
      </c>
    </row>
    <row r="1471" spans="2:24" x14ac:dyDescent="0.3">
      <c r="B1471" t="s">
        <v>1564</v>
      </c>
      <c r="C1471" t="s">
        <v>106</v>
      </c>
      <c r="D1471" t="s">
        <v>2</v>
      </c>
      <c r="E1471" t="s">
        <v>19</v>
      </c>
      <c r="F1471" t="s">
        <v>10</v>
      </c>
      <c r="G1471" t="s">
        <v>115</v>
      </c>
      <c r="H1471">
        <v>2025</v>
      </c>
      <c r="I1471">
        <v>8256</v>
      </c>
      <c r="J1471">
        <v>20.3</v>
      </c>
      <c r="K1471" t="s">
        <v>22</v>
      </c>
      <c r="L1471">
        <v>5.9</v>
      </c>
      <c r="M1471">
        <v>10</v>
      </c>
      <c r="N1471">
        <v>3781</v>
      </c>
      <c r="O1471" t="s">
        <v>55</v>
      </c>
      <c r="P1471">
        <v>88.1</v>
      </c>
      <c r="Q1471" t="s">
        <v>76</v>
      </c>
      <c r="R1471">
        <v>12.5</v>
      </c>
      <c r="S1471">
        <v>17.899999999999999</v>
      </c>
      <c r="T1471">
        <v>-2.7</v>
      </c>
      <c r="U1471">
        <v>4.8</v>
      </c>
      <c r="V1471">
        <v>5.7</v>
      </c>
      <c r="W1471">
        <v>5</v>
      </c>
      <c r="X1471" t="s">
        <v>66</v>
      </c>
    </row>
    <row r="1472" spans="2:24" x14ac:dyDescent="0.3">
      <c r="B1472" t="s">
        <v>1565</v>
      </c>
      <c r="C1472" t="s">
        <v>137</v>
      </c>
      <c r="D1472" t="s">
        <v>3</v>
      </c>
      <c r="E1472" t="s">
        <v>14</v>
      </c>
      <c r="F1472" t="s">
        <v>12</v>
      </c>
      <c r="G1472" t="s">
        <v>63</v>
      </c>
      <c r="H1472">
        <v>2025</v>
      </c>
      <c r="I1472">
        <v>3060</v>
      </c>
      <c r="J1472">
        <v>14.4</v>
      </c>
      <c r="K1472" t="s">
        <v>21</v>
      </c>
      <c r="L1472">
        <v>5.9</v>
      </c>
      <c r="M1472">
        <v>6.9</v>
      </c>
      <c r="N1472">
        <v>3764</v>
      </c>
      <c r="O1472" t="s">
        <v>55</v>
      </c>
      <c r="P1472">
        <v>72.8</v>
      </c>
      <c r="Q1472" t="s">
        <v>79</v>
      </c>
      <c r="R1472">
        <v>74.2</v>
      </c>
      <c r="S1472">
        <v>35.299999999999997</v>
      </c>
      <c r="T1472">
        <v>22.4</v>
      </c>
      <c r="U1472">
        <v>8.1</v>
      </c>
      <c r="V1472">
        <v>7.9</v>
      </c>
      <c r="W1472">
        <v>6.7</v>
      </c>
      <c r="X1472" t="s">
        <v>116</v>
      </c>
    </row>
    <row r="1473" spans="2:24" x14ac:dyDescent="0.3">
      <c r="B1473" t="s">
        <v>1566</v>
      </c>
      <c r="C1473" t="s">
        <v>83</v>
      </c>
      <c r="D1473" t="s">
        <v>4</v>
      </c>
      <c r="E1473" t="s">
        <v>16</v>
      </c>
      <c r="F1473" t="s">
        <v>11</v>
      </c>
      <c r="G1473" t="s">
        <v>63</v>
      </c>
      <c r="H1473">
        <v>2026</v>
      </c>
      <c r="I1473">
        <v>1346</v>
      </c>
      <c r="J1473">
        <v>17.7</v>
      </c>
      <c r="K1473" t="s">
        <v>21</v>
      </c>
      <c r="L1473">
        <v>5.3</v>
      </c>
      <c r="M1473">
        <v>10</v>
      </c>
      <c r="N1473">
        <v>5742</v>
      </c>
      <c r="O1473" t="s">
        <v>64</v>
      </c>
      <c r="P1473">
        <v>53.2</v>
      </c>
      <c r="Q1473" t="s">
        <v>56</v>
      </c>
      <c r="R1473">
        <v>39.4</v>
      </c>
      <c r="S1473">
        <v>26.9</v>
      </c>
      <c r="T1473">
        <v>10.4</v>
      </c>
      <c r="U1473">
        <v>5.2</v>
      </c>
      <c r="V1473">
        <v>8</v>
      </c>
      <c r="W1473">
        <v>5.5</v>
      </c>
      <c r="X1473" t="s">
        <v>116</v>
      </c>
    </row>
    <row r="1474" spans="2:24" x14ac:dyDescent="0.3">
      <c r="B1474" t="s">
        <v>1567</v>
      </c>
      <c r="C1474" t="s">
        <v>159</v>
      </c>
      <c r="D1474" t="s">
        <v>7</v>
      </c>
      <c r="E1474" t="s">
        <v>18</v>
      </c>
      <c r="F1474" t="s">
        <v>9</v>
      </c>
      <c r="G1474" t="s">
        <v>63</v>
      </c>
      <c r="H1474">
        <v>2026</v>
      </c>
      <c r="I1474">
        <v>16826</v>
      </c>
      <c r="J1474">
        <v>26.9</v>
      </c>
      <c r="K1474" t="s">
        <v>23</v>
      </c>
      <c r="L1474">
        <v>3.9</v>
      </c>
      <c r="M1474">
        <v>9.1999999999999993</v>
      </c>
      <c r="N1474">
        <v>180</v>
      </c>
      <c r="O1474" t="s">
        <v>75</v>
      </c>
      <c r="P1474">
        <v>41.1</v>
      </c>
      <c r="Q1474" t="s">
        <v>125</v>
      </c>
      <c r="R1474">
        <v>-35.299999999999997</v>
      </c>
      <c r="S1474">
        <v>-13.1</v>
      </c>
      <c r="T1474">
        <v>-2.7</v>
      </c>
      <c r="U1474">
        <v>2.7</v>
      </c>
      <c r="V1474">
        <v>4.9000000000000004</v>
      </c>
      <c r="W1474">
        <v>2.1</v>
      </c>
      <c r="X1474" t="s">
        <v>66</v>
      </c>
    </row>
    <row r="1475" spans="2:24" x14ac:dyDescent="0.3">
      <c r="B1475" t="s">
        <v>1568</v>
      </c>
      <c r="C1475" t="s">
        <v>59</v>
      </c>
      <c r="D1475" t="s">
        <v>4</v>
      </c>
      <c r="E1475" t="s">
        <v>14</v>
      </c>
      <c r="F1475" t="s">
        <v>12</v>
      </c>
      <c r="G1475" t="s">
        <v>101</v>
      </c>
      <c r="H1475">
        <v>2026</v>
      </c>
      <c r="I1475">
        <v>15789</v>
      </c>
      <c r="J1475">
        <v>39.200000000000003</v>
      </c>
      <c r="K1475" t="s">
        <v>21</v>
      </c>
      <c r="L1475">
        <v>7.3</v>
      </c>
      <c r="M1475">
        <v>10</v>
      </c>
      <c r="N1475">
        <v>331</v>
      </c>
      <c r="O1475" t="s">
        <v>75</v>
      </c>
      <c r="P1475">
        <v>26.4</v>
      </c>
      <c r="Q1475" t="s">
        <v>65</v>
      </c>
      <c r="R1475">
        <v>-9.1999999999999993</v>
      </c>
      <c r="S1475">
        <v>31.2</v>
      </c>
      <c r="T1475">
        <v>-0.6</v>
      </c>
      <c r="U1475">
        <v>7.6</v>
      </c>
      <c r="V1475">
        <v>3.3</v>
      </c>
      <c r="W1475">
        <v>3.3</v>
      </c>
      <c r="X1475" t="s">
        <v>66</v>
      </c>
    </row>
    <row r="1476" spans="2:24" x14ac:dyDescent="0.3">
      <c r="B1476" t="s">
        <v>1569</v>
      </c>
      <c r="C1476" t="s">
        <v>90</v>
      </c>
      <c r="D1476" t="s">
        <v>2</v>
      </c>
      <c r="E1476" t="s">
        <v>15</v>
      </c>
      <c r="F1476" t="s">
        <v>12</v>
      </c>
      <c r="G1476" t="s">
        <v>63</v>
      </c>
      <c r="H1476">
        <v>2026</v>
      </c>
      <c r="I1476">
        <v>136</v>
      </c>
      <c r="J1476">
        <v>16.899999999999999</v>
      </c>
      <c r="K1476" t="s">
        <v>23</v>
      </c>
      <c r="L1476">
        <v>8.6999999999999993</v>
      </c>
      <c r="M1476">
        <v>9</v>
      </c>
      <c r="N1476">
        <v>5628</v>
      </c>
      <c r="O1476" t="s">
        <v>55</v>
      </c>
      <c r="P1476">
        <v>53.6</v>
      </c>
      <c r="Q1476" t="s">
        <v>56</v>
      </c>
      <c r="R1476">
        <v>79</v>
      </c>
      <c r="S1476">
        <v>7.2</v>
      </c>
      <c r="T1476">
        <v>8.5</v>
      </c>
      <c r="U1476">
        <v>6.4</v>
      </c>
      <c r="V1476">
        <v>6</v>
      </c>
      <c r="W1476">
        <v>5.2</v>
      </c>
      <c r="X1476" t="s">
        <v>116</v>
      </c>
    </row>
    <row r="1477" spans="2:24" x14ac:dyDescent="0.3">
      <c r="B1477" t="s">
        <v>1570</v>
      </c>
      <c r="C1477" t="s">
        <v>106</v>
      </c>
      <c r="D1477" t="s">
        <v>3</v>
      </c>
      <c r="E1477" t="s">
        <v>15</v>
      </c>
      <c r="F1477" t="s">
        <v>12</v>
      </c>
      <c r="G1477" t="s">
        <v>131</v>
      </c>
      <c r="H1477">
        <v>2026</v>
      </c>
      <c r="I1477">
        <v>12973</v>
      </c>
      <c r="J1477">
        <v>18.600000000000001</v>
      </c>
      <c r="K1477" t="s">
        <v>22</v>
      </c>
      <c r="L1477">
        <v>5.7</v>
      </c>
      <c r="M1477">
        <v>10</v>
      </c>
      <c r="N1477">
        <v>705</v>
      </c>
      <c r="O1477" t="s">
        <v>64</v>
      </c>
      <c r="P1477">
        <v>20.100000000000001</v>
      </c>
      <c r="Q1477" t="s">
        <v>125</v>
      </c>
      <c r="R1477">
        <v>46.6</v>
      </c>
      <c r="S1477">
        <v>9.8000000000000007</v>
      </c>
      <c r="T1477">
        <v>9.1999999999999993</v>
      </c>
      <c r="U1477">
        <v>5.3</v>
      </c>
      <c r="V1477">
        <v>7.6</v>
      </c>
      <c r="W1477">
        <v>5.2</v>
      </c>
      <c r="X1477" t="s">
        <v>66</v>
      </c>
    </row>
    <row r="1478" spans="2:24" x14ac:dyDescent="0.3">
      <c r="B1478" t="s">
        <v>1571</v>
      </c>
      <c r="C1478" t="s">
        <v>142</v>
      </c>
      <c r="D1478" t="s">
        <v>2</v>
      </c>
      <c r="E1478" t="s">
        <v>14</v>
      </c>
      <c r="F1478" t="s">
        <v>9</v>
      </c>
      <c r="G1478" t="s">
        <v>54</v>
      </c>
      <c r="H1478">
        <v>2026</v>
      </c>
      <c r="I1478">
        <v>2208</v>
      </c>
      <c r="J1478">
        <v>2.5</v>
      </c>
      <c r="K1478" t="s">
        <v>21</v>
      </c>
      <c r="L1478">
        <v>10.5</v>
      </c>
      <c r="M1478">
        <v>7.9</v>
      </c>
      <c r="N1478">
        <v>9338</v>
      </c>
      <c r="O1478" t="s">
        <v>118</v>
      </c>
      <c r="P1478">
        <v>85.4</v>
      </c>
      <c r="Q1478" t="s">
        <v>76</v>
      </c>
      <c r="R1478">
        <v>-34.799999999999997</v>
      </c>
      <c r="S1478">
        <v>50.1</v>
      </c>
      <c r="T1478">
        <v>17.8</v>
      </c>
      <c r="U1478">
        <v>9.8000000000000007</v>
      </c>
      <c r="V1478">
        <v>6.5</v>
      </c>
      <c r="W1478">
        <v>7.1</v>
      </c>
      <c r="X1478" t="s">
        <v>116</v>
      </c>
    </row>
    <row r="1479" spans="2:24" x14ac:dyDescent="0.3">
      <c r="B1479" t="s">
        <v>1572</v>
      </c>
      <c r="C1479" t="s">
        <v>137</v>
      </c>
      <c r="D1479" t="s">
        <v>3</v>
      </c>
      <c r="E1479" t="s">
        <v>19</v>
      </c>
      <c r="F1479" t="s">
        <v>10</v>
      </c>
      <c r="G1479" t="s">
        <v>69</v>
      </c>
      <c r="H1479">
        <v>2024</v>
      </c>
      <c r="I1479">
        <v>2140</v>
      </c>
      <c r="J1479">
        <v>4.3</v>
      </c>
      <c r="K1479" t="s">
        <v>23</v>
      </c>
      <c r="L1479">
        <v>5</v>
      </c>
      <c r="M1479">
        <v>4.8</v>
      </c>
      <c r="N1479">
        <v>1127</v>
      </c>
      <c r="O1479" t="s">
        <v>64</v>
      </c>
      <c r="P1479">
        <v>68.7</v>
      </c>
      <c r="Q1479" t="s">
        <v>65</v>
      </c>
      <c r="R1479">
        <v>-16.600000000000001</v>
      </c>
      <c r="S1479">
        <v>43.2</v>
      </c>
      <c r="T1479">
        <v>16.5</v>
      </c>
      <c r="U1479">
        <v>5.3</v>
      </c>
      <c r="V1479">
        <v>7.7</v>
      </c>
      <c r="W1479">
        <v>7.6</v>
      </c>
      <c r="X1479" t="s">
        <v>57</v>
      </c>
    </row>
    <row r="1480" spans="2:24" x14ac:dyDescent="0.3">
      <c r="B1480" t="s">
        <v>1573</v>
      </c>
      <c r="C1480" t="s">
        <v>106</v>
      </c>
      <c r="D1480" t="s">
        <v>7</v>
      </c>
      <c r="E1480" t="s">
        <v>19</v>
      </c>
      <c r="F1480" t="s">
        <v>9</v>
      </c>
      <c r="G1480" t="s">
        <v>69</v>
      </c>
      <c r="H1480">
        <v>2024</v>
      </c>
      <c r="I1480">
        <v>14236</v>
      </c>
      <c r="J1480">
        <v>28.1</v>
      </c>
      <c r="K1480" t="s">
        <v>24</v>
      </c>
      <c r="L1480">
        <v>3.1</v>
      </c>
      <c r="M1480">
        <v>8.1999999999999993</v>
      </c>
      <c r="N1480">
        <v>1358</v>
      </c>
      <c r="O1480" t="s">
        <v>64</v>
      </c>
      <c r="P1480">
        <v>52</v>
      </c>
      <c r="Q1480" t="s">
        <v>56</v>
      </c>
      <c r="R1480">
        <v>64.099999999999994</v>
      </c>
      <c r="S1480">
        <v>14.8</v>
      </c>
      <c r="T1480">
        <v>8.5</v>
      </c>
      <c r="U1480">
        <v>5.0999999999999996</v>
      </c>
      <c r="V1480">
        <v>6.4</v>
      </c>
      <c r="W1480">
        <v>3.9</v>
      </c>
      <c r="X1480" t="s">
        <v>66</v>
      </c>
    </row>
    <row r="1481" spans="2:24" x14ac:dyDescent="0.3">
      <c r="B1481" t="s">
        <v>1574</v>
      </c>
      <c r="C1481" t="s">
        <v>159</v>
      </c>
      <c r="D1481" t="s">
        <v>7</v>
      </c>
      <c r="E1481" t="s">
        <v>17</v>
      </c>
      <c r="F1481" t="s">
        <v>11</v>
      </c>
      <c r="G1481" t="s">
        <v>131</v>
      </c>
      <c r="H1481">
        <v>2026</v>
      </c>
      <c r="I1481">
        <v>1465</v>
      </c>
      <c r="J1481">
        <v>5.6</v>
      </c>
      <c r="K1481" t="s">
        <v>21</v>
      </c>
      <c r="L1481">
        <v>7</v>
      </c>
      <c r="M1481">
        <v>4.4000000000000004</v>
      </c>
      <c r="N1481">
        <v>2777</v>
      </c>
      <c r="O1481" t="s">
        <v>55</v>
      </c>
      <c r="P1481">
        <v>22.8</v>
      </c>
      <c r="Q1481" t="s">
        <v>79</v>
      </c>
      <c r="R1481">
        <v>10</v>
      </c>
      <c r="S1481">
        <v>27.7</v>
      </c>
      <c r="T1481">
        <v>16.5</v>
      </c>
      <c r="U1481">
        <v>4.2</v>
      </c>
      <c r="V1481">
        <v>7.1</v>
      </c>
      <c r="W1481">
        <v>8.3000000000000007</v>
      </c>
      <c r="X1481" t="s">
        <v>57</v>
      </c>
    </row>
    <row r="1482" spans="2:24" x14ac:dyDescent="0.3">
      <c r="B1482" t="s">
        <v>1575</v>
      </c>
      <c r="C1482" t="s">
        <v>90</v>
      </c>
      <c r="D1482" t="s">
        <v>3</v>
      </c>
      <c r="E1482" t="s">
        <v>17</v>
      </c>
      <c r="F1482" t="s">
        <v>9</v>
      </c>
      <c r="G1482" t="s">
        <v>101</v>
      </c>
      <c r="H1482">
        <v>2026</v>
      </c>
      <c r="I1482">
        <v>101</v>
      </c>
      <c r="J1482">
        <v>5.9</v>
      </c>
      <c r="K1482" t="s">
        <v>22</v>
      </c>
      <c r="L1482">
        <v>8.6999999999999993</v>
      </c>
      <c r="M1482">
        <v>10</v>
      </c>
      <c r="N1482">
        <v>4254</v>
      </c>
      <c r="O1482" t="s">
        <v>55</v>
      </c>
      <c r="P1482">
        <v>35</v>
      </c>
      <c r="Q1482" t="s">
        <v>56</v>
      </c>
      <c r="R1482">
        <v>80.099999999999994</v>
      </c>
      <c r="S1482">
        <v>-15.8</v>
      </c>
      <c r="T1482">
        <v>-1.6</v>
      </c>
      <c r="U1482">
        <v>9.4</v>
      </c>
      <c r="V1482">
        <v>6.1</v>
      </c>
      <c r="W1482">
        <v>5</v>
      </c>
      <c r="X1482" t="s">
        <v>57</v>
      </c>
    </row>
    <row r="1483" spans="2:24" x14ac:dyDescent="0.3">
      <c r="B1483" t="s">
        <v>1576</v>
      </c>
      <c r="C1483" t="s">
        <v>159</v>
      </c>
      <c r="D1483" t="s">
        <v>2</v>
      </c>
      <c r="E1483" t="s">
        <v>17</v>
      </c>
      <c r="F1483" t="s">
        <v>11</v>
      </c>
      <c r="G1483" t="s">
        <v>115</v>
      </c>
      <c r="H1483">
        <v>2025</v>
      </c>
      <c r="I1483">
        <v>2963</v>
      </c>
      <c r="J1483">
        <v>15.7</v>
      </c>
      <c r="K1483" t="s">
        <v>24</v>
      </c>
      <c r="L1483">
        <v>6.1</v>
      </c>
      <c r="M1483">
        <v>5.7</v>
      </c>
      <c r="N1483">
        <v>2635</v>
      </c>
      <c r="O1483" t="s">
        <v>55</v>
      </c>
      <c r="P1483">
        <v>32.299999999999997</v>
      </c>
      <c r="Q1483" t="s">
        <v>56</v>
      </c>
      <c r="R1483">
        <v>-20.100000000000001</v>
      </c>
      <c r="S1483">
        <v>12.1</v>
      </c>
      <c r="T1483">
        <v>-5.8</v>
      </c>
      <c r="U1483">
        <v>7.5</v>
      </c>
      <c r="V1483">
        <v>4.5</v>
      </c>
      <c r="W1483">
        <v>4.8</v>
      </c>
      <c r="X1483" t="s">
        <v>116</v>
      </c>
    </row>
    <row r="1484" spans="2:24" x14ac:dyDescent="0.3">
      <c r="B1484" t="s">
        <v>1577</v>
      </c>
      <c r="C1484" t="s">
        <v>90</v>
      </c>
      <c r="D1484" t="s">
        <v>2</v>
      </c>
      <c r="E1484" t="s">
        <v>18</v>
      </c>
      <c r="F1484" t="s">
        <v>10</v>
      </c>
      <c r="G1484" t="s">
        <v>115</v>
      </c>
      <c r="H1484">
        <v>2024</v>
      </c>
      <c r="I1484">
        <v>5765</v>
      </c>
      <c r="J1484">
        <v>3.5</v>
      </c>
      <c r="K1484" t="s">
        <v>21</v>
      </c>
      <c r="L1484">
        <v>3.9</v>
      </c>
      <c r="M1484">
        <v>5.9</v>
      </c>
      <c r="N1484">
        <v>9587</v>
      </c>
      <c r="O1484" t="s">
        <v>118</v>
      </c>
      <c r="P1484">
        <v>68.3</v>
      </c>
      <c r="Q1484" t="s">
        <v>56</v>
      </c>
      <c r="R1484">
        <v>28</v>
      </c>
      <c r="S1484">
        <v>50.7</v>
      </c>
      <c r="T1484">
        <v>30.8</v>
      </c>
      <c r="U1484">
        <v>5.0999999999999996</v>
      </c>
      <c r="V1484">
        <v>8.6999999999999993</v>
      </c>
      <c r="W1484">
        <v>7.3</v>
      </c>
      <c r="X1484" t="s">
        <v>116</v>
      </c>
    </row>
    <row r="1485" spans="2:24" x14ac:dyDescent="0.3">
      <c r="B1485" t="s">
        <v>1578</v>
      </c>
      <c r="C1485" t="s">
        <v>106</v>
      </c>
      <c r="D1485" t="s">
        <v>4</v>
      </c>
      <c r="E1485" t="s">
        <v>15</v>
      </c>
      <c r="F1485" t="s">
        <v>9</v>
      </c>
      <c r="G1485" t="s">
        <v>104</v>
      </c>
      <c r="H1485">
        <v>2024</v>
      </c>
      <c r="I1485">
        <v>576</v>
      </c>
      <c r="J1485">
        <v>5.7</v>
      </c>
      <c r="K1485" t="s">
        <v>25</v>
      </c>
      <c r="L1485">
        <v>6.1</v>
      </c>
      <c r="M1485">
        <v>3.5</v>
      </c>
      <c r="N1485">
        <v>5060</v>
      </c>
      <c r="O1485" t="s">
        <v>55</v>
      </c>
      <c r="P1485">
        <v>40</v>
      </c>
      <c r="Q1485" t="s">
        <v>88</v>
      </c>
      <c r="R1485">
        <v>-29.4</v>
      </c>
      <c r="S1485">
        <v>-22.8</v>
      </c>
      <c r="T1485">
        <v>-15.5</v>
      </c>
      <c r="U1485">
        <v>4.9000000000000004</v>
      </c>
      <c r="V1485">
        <v>5</v>
      </c>
      <c r="W1485">
        <v>5.6</v>
      </c>
      <c r="X1485" t="s">
        <v>57</v>
      </c>
    </row>
    <row r="1486" spans="2:24" x14ac:dyDescent="0.3">
      <c r="B1486" t="s">
        <v>1579</v>
      </c>
      <c r="C1486" t="s">
        <v>137</v>
      </c>
      <c r="D1486" t="s">
        <v>4</v>
      </c>
      <c r="E1486" t="s">
        <v>16</v>
      </c>
      <c r="F1486" t="s">
        <v>12</v>
      </c>
      <c r="G1486" t="s">
        <v>69</v>
      </c>
      <c r="H1486">
        <v>2024</v>
      </c>
      <c r="I1486">
        <v>1755</v>
      </c>
      <c r="J1486">
        <v>7.6</v>
      </c>
      <c r="K1486" t="s">
        <v>21</v>
      </c>
      <c r="L1486">
        <v>3.6</v>
      </c>
      <c r="M1486">
        <v>5.0999999999999996</v>
      </c>
      <c r="N1486">
        <v>4035</v>
      </c>
      <c r="O1486" t="s">
        <v>55</v>
      </c>
      <c r="P1486">
        <v>46.8</v>
      </c>
      <c r="Q1486" t="s">
        <v>65</v>
      </c>
      <c r="R1486">
        <v>68.8</v>
      </c>
      <c r="S1486">
        <v>12.1</v>
      </c>
      <c r="T1486">
        <v>14.3</v>
      </c>
      <c r="U1486">
        <v>4.3</v>
      </c>
      <c r="V1486">
        <v>6</v>
      </c>
      <c r="W1486">
        <v>7</v>
      </c>
      <c r="X1486" t="s">
        <v>116</v>
      </c>
    </row>
    <row r="1487" spans="2:24" x14ac:dyDescent="0.3">
      <c r="B1487" t="s">
        <v>1580</v>
      </c>
      <c r="C1487" t="s">
        <v>106</v>
      </c>
      <c r="D1487" t="s">
        <v>2</v>
      </c>
      <c r="E1487" t="s">
        <v>15</v>
      </c>
      <c r="F1487" t="s">
        <v>10</v>
      </c>
      <c r="G1487" t="s">
        <v>74</v>
      </c>
      <c r="H1487">
        <v>2026</v>
      </c>
      <c r="I1487">
        <v>950</v>
      </c>
      <c r="J1487">
        <v>1.2</v>
      </c>
      <c r="K1487" t="s">
        <v>21</v>
      </c>
      <c r="L1487">
        <v>2</v>
      </c>
      <c r="M1487">
        <v>4.3</v>
      </c>
      <c r="N1487">
        <v>7890</v>
      </c>
      <c r="O1487" t="s">
        <v>55</v>
      </c>
      <c r="P1487">
        <v>39.5</v>
      </c>
      <c r="Q1487" t="s">
        <v>56</v>
      </c>
      <c r="R1487">
        <v>51.4</v>
      </c>
      <c r="S1487">
        <v>-12.5</v>
      </c>
      <c r="T1487">
        <v>-0.1</v>
      </c>
      <c r="U1487">
        <v>2</v>
      </c>
      <c r="V1487">
        <v>8.3000000000000007</v>
      </c>
      <c r="W1487">
        <v>6</v>
      </c>
      <c r="X1487" t="s">
        <v>57</v>
      </c>
    </row>
    <row r="1488" spans="2:24" x14ac:dyDescent="0.3">
      <c r="B1488" t="s">
        <v>1581</v>
      </c>
      <c r="C1488" t="s">
        <v>73</v>
      </c>
      <c r="D1488" t="s">
        <v>2</v>
      </c>
      <c r="E1488" t="s">
        <v>15</v>
      </c>
      <c r="F1488" t="s">
        <v>10</v>
      </c>
      <c r="G1488" t="s">
        <v>69</v>
      </c>
      <c r="H1488">
        <v>2024</v>
      </c>
      <c r="I1488">
        <v>1722</v>
      </c>
      <c r="J1488">
        <v>6.7</v>
      </c>
      <c r="K1488" t="s">
        <v>22</v>
      </c>
      <c r="L1488">
        <v>4.8</v>
      </c>
      <c r="M1488">
        <v>5.3</v>
      </c>
      <c r="N1488">
        <v>1275</v>
      </c>
      <c r="O1488" t="s">
        <v>64</v>
      </c>
      <c r="P1488">
        <v>34.200000000000003</v>
      </c>
      <c r="Q1488" t="s">
        <v>76</v>
      </c>
      <c r="R1488">
        <v>-14.4</v>
      </c>
      <c r="S1488">
        <v>-1.9</v>
      </c>
      <c r="T1488">
        <v>8.6</v>
      </c>
      <c r="U1488">
        <v>4.5</v>
      </c>
      <c r="V1488">
        <v>8.3000000000000007</v>
      </c>
      <c r="W1488">
        <v>6.4</v>
      </c>
      <c r="X1488" t="s">
        <v>57</v>
      </c>
    </row>
    <row r="1489" spans="2:24" x14ac:dyDescent="0.3">
      <c r="B1489" t="s">
        <v>1582</v>
      </c>
      <c r="C1489" t="s">
        <v>27</v>
      </c>
      <c r="D1489" t="s">
        <v>3</v>
      </c>
      <c r="E1489" t="s">
        <v>17</v>
      </c>
      <c r="F1489" t="s">
        <v>9</v>
      </c>
      <c r="G1489" t="s">
        <v>131</v>
      </c>
      <c r="H1489">
        <v>2026</v>
      </c>
      <c r="I1489">
        <v>6801</v>
      </c>
      <c r="J1489">
        <v>7</v>
      </c>
      <c r="K1489" t="s">
        <v>22</v>
      </c>
      <c r="L1489">
        <v>7</v>
      </c>
      <c r="M1489">
        <v>6.8</v>
      </c>
      <c r="N1489">
        <v>5811</v>
      </c>
      <c r="O1489" t="s">
        <v>64</v>
      </c>
      <c r="P1489">
        <v>86.8</v>
      </c>
      <c r="Q1489" t="s">
        <v>65</v>
      </c>
      <c r="R1489">
        <v>-37.4</v>
      </c>
      <c r="S1489">
        <v>5.2</v>
      </c>
      <c r="T1489">
        <v>2.9</v>
      </c>
      <c r="U1489">
        <v>4.4000000000000004</v>
      </c>
      <c r="V1489">
        <v>5.9</v>
      </c>
      <c r="W1489">
        <v>6.8</v>
      </c>
      <c r="X1489" t="s">
        <v>116</v>
      </c>
    </row>
    <row r="1490" spans="2:24" x14ac:dyDescent="0.3">
      <c r="B1490" t="s">
        <v>1583</v>
      </c>
      <c r="C1490" t="s">
        <v>90</v>
      </c>
      <c r="D1490" t="s">
        <v>2</v>
      </c>
      <c r="E1490" t="s">
        <v>16</v>
      </c>
      <c r="F1490" t="s">
        <v>9</v>
      </c>
      <c r="G1490" t="s">
        <v>63</v>
      </c>
      <c r="H1490">
        <v>2025</v>
      </c>
      <c r="I1490">
        <v>9412</v>
      </c>
      <c r="J1490">
        <v>15.4</v>
      </c>
      <c r="K1490" t="s">
        <v>23</v>
      </c>
      <c r="L1490">
        <v>10.7</v>
      </c>
      <c r="M1490">
        <v>10</v>
      </c>
      <c r="N1490">
        <v>9206</v>
      </c>
      <c r="O1490" t="s">
        <v>118</v>
      </c>
      <c r="P1490">
        <v>56.3</v>
      </c>
      <c r="Q1490" t="s">
        <v>76</v>
      </c>
      <c r="R1490">
        <v>-21.3</v>
      </c>
      <c r="S1490">
        <v>46</v>
      </c>
      <c r="T1490">
        <v>18</v>
      </c>
      <c r="U1490">
        <v>8.8000000000000007</v>
      </c>
      <c r="V1490">
        <v>7.8</v>
      </c>
      <c r="W1490">
        <v>5.4</v>
      </c>
      <c r="X1490" t="s">
        <v>66</v>
      </c>
    </row>
    <row r="1491" spans="2:24" x14ac:dyDescent="0.3">
      <c r="B1491" t="s">
        <v>1584</v>
      </c>
      <c r="C1491" t="s">
        <v>159</v>
      </c>
      <c r="D1491" t="s">
        <v>7</v>
      </c>
      <c r="E1491" t="s">
        <v>18</v>
      </c>
      <c r="F1491" t="s">
        <v>12</v>
      </c>
      <c r="G1491" t="s">
        <v>54</v>
      </c>
      <c r="H1491">
        <v>2026</v>
      </c>
      <c r="I1491">
        <v>2028</v>
      </c>
      <c r="J1491">
        <v>5.3</v>
      </c>
      <c r="K1491" t="s">
        <v>23</v>
      </c>
      <c r="L1491">
        <v>2</v>
      </c>
      <c r="M1491">
        <v>2.7</v>
      </c>
      <c r="N1491">
        <v>811</v>
      </c>
      <c r="O1491" t="s">
        <v>64</v>
      </c>
      <c r="P1491">
        <v>26.8</v>
      </c>
      <c r="Q1491" t="s">
        <v>84</v>
      </c>
      <c r="R1491">
        <v>-28.4</v>
      </c>
      <c r="S1491">
        <v>44.9</v>
      </c>
      <c r="T1491">
        <v>11.4</v>
      </c>
      <c r="U1491">
        <v>1.9</v>
      </c>
      <c r="V1491">
        <v>7.6</v>
      </c>
      <c r="W1491">
        <v>8.9</v>
      </c>
      <c r="X1491" t="s">
        <v>116</v>
      </c>
    </row>
    <row r="1492" spans="2:24" x14ac:dyDescent="0.3">
      <c r="B1492" t="s">
        <v>1585</v>
      </c>
      <c r="C1492" t="s">
        <v>83</v>
      </c>
      <c r="D1492" t="s">
        <v>4</v>
      </c>
      <c r="E1492" t="s">
        <v>18</v>
      </c>
      <c r="F1492" t="s">
        <v>10</v>
      </c>
      <c r="G1492" t="s">
        <v>101</v>
      </c>
      <c r="H1492">
        <v>2024</v>
      </c>
      <c r="I1492">
        <v>34</v>
      </c>
      <c r="J1492">
        <v>6.7</v>
      </c>
      <c r="K1492" t="s">
        <v>22</v>
      </c>
      <c r="L1492">
        <v>3</v>
      </c>
      <c r="M1492">
        <v>4.0999999999999996</v>
      </c>
      <c r="N1492">
        <v>3857</v>
      </c>
      <c r="O1492" t="s">
        <v>64</v>
      </c>
      <c r="P1492">
        <v>44.9</v>
      </c>
      <c r="Q1492" t="s">
        <v>88</v>
      </c>
      <c r="R1492">
        <v>-33.299999999999997</v>
      </c>
      <c r="S1492">
        <v>-19.5</v>
      </c>
      <c r="T1492">
        <v>-1.7</v>
      </c>
      <c r="U1492">
        <v>2.5</v>
      </c>
      <c r="V1492">
        <v>5.5</v>
      </c>
      <c r="W1492">
        <v>5</v>
      </c>
      <c r="X1492" t="s">
        <v>57</v>
      </c>
    </row>
    <row r="1493" spans="2:24" x14ac:dyDescent="0.3">
      <c r="B1493" t="s">
        <v>1586</v>
      </c>
      <c r="C1493" t="s">
        <v>62</v>
      </c>
      <c r="D1493" t="s">
        <v>2</v>
      </c>
      <c r="E1493" t="s">
        <v>18</v>
      </c>
      <c r="F1493" t="s">
        <v>9</v>
      </c>
      <c r="G1493" t="s">
        <v>115</v>
      </c>
      <c r="H1493">
        <v>2024</v>
      </c>
      <c r="I1493">
        <v>2229</v>
      </c>
      <c r="J1493">
        <v>37.299999999999997</v>
      </c>
      <c r="K1493" t="s">
        <v>24</v>
      </c>
      <c r="L1493">
        <v>14.7</v>
      </c>
      <c r="M1493">
        <v>10</v>
      </c>
      <c r="N1493">
        <v>7268</v>
      </c>
      <c r="O1493" t="s">
        <v>64</v>
      </c>
      <c r="P1493">
        <v>36.799999999999997</v>
      </c>
      <c r="Q1493" t="s">
        <v>76</v>
      </c>
      <c r="R1493">
        <v>23.4</v>
      </c>
      <c r="S1493">
        <v>-17.899999999999999</v>
      </c>
      <c r="T1493">
        <v>-11.5</v>
      </c>
      <c r="U1493">
        <v>9</v>
      </c>
      <c r="V1493">
        <v>3</v>
      </c>
      <c r="W1493">
        <v>2.4</v>
      </c>
      <c r="X1493" t="s">
        <v>66</v>
      </c>
    </row>
    <row r="1494" spans="2:24" x14ac:dyDescent="0.3">
      <c r="B1494" t="s">
        <v>1587</v>
      </c>
      <c r="C1494" t="s">
        <v>71</v>
      </c>
      <c r="D1494" t="s">
        <v>5</v>
      </c>
      <c r="E1494" t="s">
        <v>19</v>
      </c>
      <c r="F1494" t="s">
        <v>9</v>
      </c>
      <c r="G1494" t="s">
        <v>115</v>
      </c>
      <c r="H1494">
        <v>2024</v>
      </c>
      <c r="I1494">
        <v>1449</v>
      </c>
      <c r="J1494">
        <v>7.1</v>
      </c>
      <c r="K1494" t="s">
        <v>23</v>
      </c>
      <c r="L1494">
        <v>11.4</v>
      </c>
      <c r="M1494">
        <v>9.6</v>
      </c>
      <c r="N1494">
        <v>4699</v>
      </c>
      <c r="O1494" t="s">
        <v>55</v>
      </c>
      <c r="P1494">
        <v>30.1</v>
      </c>
      <c r="Q1494" t="s">
        <v>76</v>
      </c>
      <c r="R1494">
        <v>-29.9</v>
      </c>
      <c r="S1494">
        <v>-10.1</v>
      </c>
      <c r="T1494">
        <v>-5.9</v>
      </c>
      <c r="U1494">
        <v>7.8</v>
      </c>
      <c r="V1494">
        <v>4.9000000000000004</v>
      </c>
      <c r="W1494">
        <v>6</v>
      </c>
      <c r="X1494" t="s">
        <v>116</v>
      </c>
    </row>
    <row r="1495" spans="2:24" x14ac:dyDescent="0.3">
      <c r="B1495" t="s">
        <v>1588</v>
      </c>
      <c r="C1495" t="s">
        <v>106</v>
      </c>
      <c r="D1495" t="s">
        <v>3</v>
      </c>
      <c r="E1495" t="s">
        <v>16</v>
      </c>
      <c r="F1495" t="s">
        <v>10</v>
      </c>
      <c r="G1495" t="s">
        <v>69</v>
      </c>
      <c r="H1495">
        <v>2024</v>
      </c>
      <c r="I1495">
        <v>1729</v>
      </c>
      <c r="J1495">
        <v>8.5</v>
      </c>
      <c r="K1495" t="s">
        <v>21</v>
      </c>
      <c r="L1495">
        <v>3.2</v>
      </c>
      <c r="M1495">
        <v>4.5</v>
      </c>
      <c r="N1495">
        <v>4369</v>
      </c>
      <c r="O1495" t="s">
        <v>64</v>
      </c>
      <c r="P1495">
        <v>47.1</v>
      </c>
      <c r="Q1495" t="s">
        <v>125</v>
      </c>
      <c r="R1495">
        <v>-39</v>
      </c>
      <c r="S1495">
        <v>54.4</v>
      </c>
      <c r="T1495">
        <v>27.4</v>
      </c>
      <c r="U1495">
        <v>3.3</v>
      </c>
      <c r="V1495">
        <v>7.5</v>
      </c>
      <c r="W1495">
        <v>7.8</v>
      </c>
      <c r="X1495" t="s">
        <v>57</v>
      </c>
    </row>
    <row r="1496" spans="2:24" x14ac:dyDescent="0.3">
      <c r="B1496" t="s">
        <v>1589</v>
      </c>
      <c r="C1496" t="s">
        <v>71</v>
      </c>
      <c r="D1496" t="s">
        <v>6</v>
      </c>
      <c r="E1496" t="s">
        <v>17</v>
      </c>
      <c r="F1496" t="s">
        <v>12</v>
      </c>
      <c r="G1496" t="s">
        <v>54</v>
      </c>
      <c r="H1496">
        <v>2024</v>
      </c>
      <c r="I1496">
        <v>380</v>
      </c>
      <c r="J1496">
        <v>17.8</v>
      </c>
      <c r="K1496" t="s">
        <v>22</v>
      </c>
      <c r="L1496">
        <v>10.199999999999999</v>
      </c>
      <c r="M1496">
        <v>10</v>
      </c>
      <c r="N1496">
        <v>614</v>
      </c>
      <c r="O1496" t="s">
        <v>64</v>
      </c>
      <c r="P1496">
        <v>53.2</v>
      </c>
      <c r="Q1496" t="s">
        <v>65</v>
      </c>
      <c r="R1496">
        <v>-15.5</v>
      </c>
      <c r="S1496">
        <v>-4</v>
      </c>
      <c r="T1496">
        <v>-8.3000000000000007</v>
      </c>
      <c r="U1496">
        <v>8.8000000000000007</v>
      </c>
      <c r="V1496">
        <v>5.8</v>
      </c>
      <c r="W1496">
        <v>4.5</v>
      </c>
      <c r="X1496" t="s">
        <v>116</v>
      </c>
    </row>
    <row r="1497" spans="2:24" x14ac:dyDescent="0.3">
      <c r="B1497" t="s">
        <v>1590</v>
      </c>
      <c r="C1497" t="s">
        <v>106</v>
      </c>
      <c r="D1497" t="s">
        <v>4</v>
      </c>
      <c r="E1497" t="s">
        <v>18</v>
      </c>
      <c r="F1497" t="s">
        <v>10</v>
      </c>
      <c r="G1497" t="s">
        <v>69</v>
      </c>
      <c r="H1497">
        <v>2025</v>
      </c>
      <c r="I1497">
        <v>367</v>
      </c>
      <c r="J1497">
        <v>6.3</v>
      </c>
      <c r="K1497" t="s">
        <v>21</v>
      </c>
      <c r="L1497">
        <v>3</v>
      </c>
      <c r="M1497">
        <v>5</v>
      </c>
      <c r="N1497">
        <v>4718</v>
      </c>
      <c r="O1497" t="s">
        <v>55</v>
      </c>
      <c r="P1497">
        <v>41.6</v>
      </c>
      <c r="Q1497" t="s">
        <v>86</v>
      </c>
      <c r="R1497">
        <v>-35.1</v>
      </c>
      <c r="S1497">
        <v>18.7</v>
      </c>
      <c r="T1497">
        <v>9.8000000000000007</v>
      </c>
      <c r="U1497">
        <v>3.1</v>
      </c>
      <c r="V1497">
        <v>6.4</v>
      </c>
      <c r="W1497">
        <v>6.1</v>
      </c>
      <c r="X1497" t="s">
        <v>57</v>
      </c>
    </row>
    <row r="1498" spans="2:24" x14ac:dyDescent="0.3">
      <c r="B1498" t="s">
        <v>1591</v>
      </c>
      <c r="C1498" t="s">
        <v>139</v>
      </c>
      <c r="D1498" t="s">
        <v>8</v>
      </c>
      <c r="E1498" t="s">
        <v>17</v>
      </c>
      <c r="F1498" t="s">
        <v>9</v>
      </c>
      <c r="G1498" t="s">
        <v>131</v>
      </c>
      <c r="H1498">
        <v>2024</v>
      </c>
      <c r="I1498">
        <v>1066</v>
      </c>
      <c r="J1498">
        <v>7.4</v>
      </c>
      <c r="K1498" t="s">
        <v>22</v>
      </c>
      <c r="L1498">
        <v>1.9</v>
      </c>
      <c r="M1498">
        <v>2.6</v>
      </c>
      <c r="N1498">
        <v>4461</v>
      </c>
      <c r="O1498" t="s">
        <v>55</v>
      </c>
      <c r="P1498">
        <v>72.7</v>
      </c>
      <c r="Q1498" t="s">
        <v>76</v>
      </c>
      <c r="R1498">
        <v>76.5</v>
      </c>
      <c r="S1498">
        <v>14.5</v>
      </c>
      <c r="T1498">
        <v>-3.4</v>
      </c>
      <c r="U1498">
        <v>2.1</v>
      </c>
      <c r="V1498">
        <v>6.2</v>
      </c>
      <c r="W1498">
        <v>7.4</v>
      </c>
      <c r="X1498" t="s">
        <v>116</v>
      </c>
    </row>
    <row r="1499" spans="2:24" x14ac:dyDescent="0.3">
      <c r="B1499" t="s">
        <v>1592</v>
      </c>
      <c r="C1499" t="s">
        <v>62</v>
      </c>
      <c r="D1499" t="s">
        <v>2</v>
      </c>
      <c r="E1499" t="s">
        <v>18</v>
      </c>
      <c r="F1499" t="s">
        <v>11</v>
      </c>
      <c r="G1499" t="s">
        <v>104</v>
      </c>
      <c r="H1499">
        <v>2024</v>
      </c>
      <c r="I1499">
        <v>9806</v>
      </c>
      <c r="J1499">
        <v>10.3</v>
      </c>
      <c r="K1499" t="s">
        <v>25</v>
      </c>
      <c r="L1499">
        <v>2.4</v>
      </c>
      <c r="M1499">
        <v>6.9</v>
      </c>
      <c r="N1499">
        <v>9651</v>
      </c>
      <c r="O1499" t="s">
        <v>118</v>
      </c>
      <c r="P1499">
        <v>29.3</v>
      </c>
      <c r="Q1499" t="s">
        <v>56</v>
      </c>
      <c r="R1499">
        <v>81</v>
      </c>
      <c r="S1499">
        <v>-6.9</v>
      </c>
      <c r="T1499">
        <v>-12.1</v>
      </c>
      <c r="U1499">
        <v>3.9</v>
      </c>
      <c r="V1499">
        <v>6</v>
      </c>
      <c r="W1499">
        <v>5.2</v>
      </c>
      <c r="X1499" t="s">
        <v>66</v>
      </c>
    </row>
    <row r="1500" spans="2:24" x14ac:dyDescent="0.3">
      <c r="B1500" t="s">
        <v>1593</v>
      </c>
      <c r="C1500" t="s">
        <v>137</v>
      </c>
      <c r="D1500" t="s">
        <v>3</v>
      </c>
      <c r="E1500" t="s">
        <v>16</v>
      </c>
      <c r="F1500" t="s">
        <v>9</v>
      </c>
      <c r="G1500" t="s">
        <v>112</v>
      </c>
      <c r="H1500">
        <v>2024</v>
      </c>
      <c r="I1500">
        <v>999</v>
      </c>
      <c r="J1500">
        <v>3.1</v>
      </c>
      <c r="K1500" t="s">
        <v>23</v>
      </c>
      <c r="L1500">
        <v>6</v>
      </c>
      <c r="M1500">
        <v>3.1</v>
      </c>
      <c r="N1500">
        <v>2413</v>
      </c>
      <c r="O1500" t="s">
        <v>55</v>
      </c>
      <c r="P1500">
        <v>85.5</v>
      </c>
      <c r="Q1500" t="s">
        <v>56</v>
      </c>
      <c r="R1500">
        <v>40.1</v>
      </c>
      <c r="S1500">
        <v>-2.5</v>
      </c>
      <c r="T1500">
        <v>-7.1</v>
      </c>
      <c r="U1500">
        <v>4</v>
      </c>
      <c r="V1500">
        <v>7.5</v>
      </c>
      <c r="W1500">
        <v>7</v>
      </c>
      <c r="X1500" t="s">
        <v>57</v>
      </c>
    </row>
    <row r="1501" spans="2:24" x14ac:dyDescent="0.3">
      <c r="B1501" t="s">
        <v>1594</v>
      </c>
      <c r="C1501" t="s">
        <v>81</v>
      </c>
      <c r="D1501" t="s">
        <v>5</v>
      </c>
      <c r="E1501" t="s">
        <v>18</v>
      </c>
      <c r="F1501" t="s">
        <v>11</v>
      </c>
      <c r="G1501" t="s">
        <v>131</v>
      </c>
      <c r="H1501">
        <v>2024</v>
      </c>
      <c r="I1501">
        <v>3918</v>
      </c>
      <c r="J1501">
        <v>10.9</v>
      </c>
      <c r="K1501" t="s">
        <v>21</v>
      </c>
      <c r="L1501">
        <v>14.4</v>
      </c>
      <c r="M1501">
        <v>10</v>
      </c>
      <c r="N1501">
        <v>1350</v>
      </c>
      <c r="O1501" t="s">
        <v>64</v>
      </c>
      <c r="P1501">
        <v>63.7</v>
      </c>
      <c r="Q1501" t="s">
        <v>79</v>
      </c>
      <c r="R1501">
        <v>73.5</v>
      </c>
      <c r="S1501">
        <v>28.6</v>
      </c>
      <c r="T1501">
        <v>21.3</v>
      </c>
      <c r="U1501">
        <v>9.1</v>
      </c>
      <c r="V1501">
        <v>8.6999999999999993</v>
      </c>
      <c r="W1501">
        <v>5.0999999999999996</v>
      </c>
      <c r="X1501" t="s">
        <v>116</v>
      </c>
    </row>
    <row r="1502" spans="2:24" x14ac:dyDescent="0.3">
      <c r="B1502" t="s">
        <v>1595</v>
      </c>
      <c r="C1502" t="s">
        <v>142</v>
      </c>
      <c r="D1502" t="s">
        <v>2</v>
      </c>
      <c r="E1502" t="s">
        <v>18</v>
      </c>
      <c r="F1502" t="s">
        <v>10</v>
      </c>
      <c r="G1502" t="s">
        <v>74</v>
      </c>
      <c r="H1502">
        <v>2025</v>
      </c>
      <c r="I1502">
        <v>4896</v>
      </c>
      <c r="J1502">
        <v>8.6999999999999993</v>
      </c>
      <c r="K1502" t="s">
        <v>23</v>
      </c>
      <c r="L1502">
        <v>9.8000000000000007</v>
      </c>
      <c r="M1502">
        <v>10</v>
      </c>
      <c r="N1502">
        <v>4610</v>
      </c>
      <c r="O1502" t="s">
        <v>55</v>
      </c>
      <c r="P1502">
        <v>77.3</v>
      </c>
      <c r="Q1502" t="s">
        <v>56</v>
      </c>
      <c r="R1502">
        <v>80.900000000000006</v>
      </c>
      <c r="S1502">
        <v>22.6</v>
      </c>
      <c r="T1502">
        <v>7.2</v>
      </c>
      <c r="U1502">
        <v>10</v>
      </c>
      <c r="V1502">
        <v>8.6</v>
      </c>
      <c r="W1502">
        <v>6.5</v>
      </c>
      <c r="X1502" t="s">
        <v>116</v>
      </c>
    </row>
    <row r="1503" spans="2:24" x14ac:dyDescent="0.3">
      <c r="B1503" t="s">
        <v>1596</v>
      </c>
      <c r="C1503" t="s">
        <v>106</v>
      </c>
      <c r="D1503" t="s">
        <v>4</v>
      </c>
      <c r="E1503" t="s">
        <v>14</v>
      </c>
      <c r="F1503" t="s">
        <v>12</v>
      </c>
      <c r="G1503" t="s">
        <v>60</v>
      </c>
      <c r="H1503">
        <v>2026</v>
      </c>
      <c r="I1503">
        <v>16922</v>
      </c>
      <c r="J1503">
        <v>39.6</v>
      </c>
      <c r="K1503" t="s">
        <v>22</v>
      </c>
      <c r="L1503">
        <v>7.5</v>
      </c>
      <c r="M1503">
        <v>10</v>
      </c>
      <c r="N1503">
        <v>1309</v>
      </c>
      <c r="O1503" t="s">
        <v>64</v>
      </c>
      <c r="P1503">
        <v>10.6</v>
      </c>
      <c r="Q1503" t="s">
        <v>84</v>
      </c>
      <c r="R1503">
        <v>70.3</v>
      </c>
      <c r="S1503">
        <v>26.4</v>
      </c>
      <c r="T1503">
        <v>-0.4</v>
      </c>
      <c r="U1503">
        <v>9.5</v>
      </c>
      <c r="V1503">
        <v>2.9</v>
      </c>
      <c r="W1503">
        <v>3.1</v>
      </c>
      <c r="X1503" t="s">
        <v>66</v>
      </c>
    </row>
    <row r="1504" spans="2:24" x14ac:dyDescent="0.3">
      <c r="B1504" t="s">
        <v>1597</v>
      </c>
      <c r="C1504" t="s">
        <v>59</v>
      </c>
      <c r="D1504" t="s">
        <v>4</v>
      </c>
      <c r="E1504" t="s">
        <v>16</v>
      </c>
      <c r="F1504" t="s">
        <v>9</v>
      </c>
      <c r="G1504" t="s">
        <v>63</v>
      </c>
      <c r="H1504">
        <v>2025</v>
      </c>
      <c r="I1504">
        <v>286</v>
      </c>
      <c r="J1504">
        <v>6.6</v>
      </c>
      <c r="K1504" t="s">
        <v>23</v>
      </c>
      <c r="L1504">
        <v>3.6</v>
      </c>
      <c r="M1504">
        <v>7.7</v>
      </c>
      <c r="N1504">
        <v>3925</v>
      </c>
      <c r="O1504" t="s">
        <v>55</v>
      </c>
      <c r="P1504">
        <v>21.3</v>
      </c>
      <c r="Q1504" t="s">
        <v>86</v>
      </c>
      <c r="R1504">
        <v>78.599999999999994</v>
      </c>
      <c r="S1504">
        <v>54.3</v>
      </c>
      <c r="T1504">
        <v>23.1</v>
      </c>
      <c r="U1504">
        <v>4.8</v>
      </c>
      <c r="V1504">
        <v>9.1999999999999993</v>
      </c>
      <c r="W1504">
        <v>6.4</v>
      </c>
      <c r="X1504" t="s">
        <v>57</v>
      </c>
    </row>
    <row r="1505" spans="2:24" x14ac:dyDescent="0.3">
      <c r="B1505" t="s">
        <v>1598</v>
      </c>
      <c r="C1505" t="s">
        <v>139</v>
      </c>
      <c r="D1505" t="s">
        <v>8</v>
      </c>
      <c r="E1505" t="s">
        <v>15</v>
      </c>
      <c r="F1505" t="s">
        <v>12</v>
      </c>
      <c r="G1505" t="s">
        <v>69</v>
      </c>
      <c r="H1505">
        <v>2025</v>
      </c>
      <c r="I1505">
        <v>4204</v>
      </c>
      <c r="J1505">
        <v>26.9</v>
      </c>
      <c r="K1505" t="s">
        <v>24</v>
      </c>
      <c r="L1505">
        <v>2.8</v>
      </c>
      <c r="M1505">
        <v>6.8</v>
      </c>
      <c r="N1505">
        <v>320</v>
      </c>
      <c r="O1505" t="s">
        <v>75</v>
      </c>
      <c r="P1505">
        <v>86.4</v>
      </c>
      <c r="Q1505" t="s">
        <v>76</v>
      </c>
      <c r="R1505">
        <v>49.6</v>
      </c>
      <c r="S1505">
        <v>46.4</v>
      </c>
      <c r="T1505">
        <v>15</v>
      </c>
      <c r="U1505">
        <v>3</v>
      </c>
      <c r="V1505">
        <v>4.7</v>
      </c>
      <c r="W1505">
        <v>5.7</v>
      </c>
      <c r="X1505" t="s">
        <v>66</v>
      </c>
    </row>
    <row r="1506" spans="2:24" x14ac:dyDescent="0.3">
      <c r="B1506" t="s">
        <v>1599</v>
      </c>
      <c r="C1506" t="s">
        <v>122</v>
      </c>
      <c r="D1506" t="s">
        <v>2</v>
      </c>
      <c r="E1506" t="s">
        <v>15</v>
      </c>
      <c r="F1506" t="s">
        <v>12</v>
      </c>
      <c r="G1506" t="s">
        <v>63</v>
      </c>
      <c r="H1506">
        <v>2026</v>
      </c>
      <c r="I1506">
        <v>14244</v>
      </c>
      <c r="J1506">
        <v>29</v>
      </c>
      <c r="K1506" t="s">
        <v>25</v>
      </c>
      <c r="L1506">
        <v>6.5</v>
      </c>
      <c r="M1506">
        <v>6.9</v>
      </c>
      <c r="N1506">
        <v>6694</v>
      </c>
      <c r="O1506" t="s">
        <v>64</v>
      </c>
      <c r="P1506">
        <v>78.3</v>
      </c>
      <c r="Q1506" t="s">
        <v>56</v>
      </c>
      <c r="R1506">
        <v>40.4</v>
      </c>
      <c r="S1506">
        <v>0.3</v>
      </c>
      <c r="T1506">
        <v>1.2</v>
      </c>
      <c r="U1506">
        <v>4.5</v>
      </c>
      <c r="V1506">
        <v>5.8</v>
      </c>
      <c r="W1506">
        <v>3.9</v>
      </c>
      <c r="X1506" t="s">
        <v>66</v>
      </c>
    </row>
    <row r="1507" spans="2:24" x14ac:dyDescent="0.3">
      <c r="B1507" t="s">
        <v>1600</v>
      </c>
      <c r="C1507" t="s">
        <v>94</v>
      </c>
      <c r="D1507" t="s">
        <v>6</v>
      </c>
      <c r="E1507" t="s">
        <v>16</v>
      </c>
      <c r="F1507" t="s">
        <v>9</v>
      </c>
      <c r="G1507" t="s">
        <v>63</v>
      </c>
      <c r="H1507">
        <v>2024</v>
      </c>
      <c r="I1507">
        <v>13008</v>
      </c>
      <c r="J1507">
        <v>22.7</v>
      </c>
      <c r="K1507" t="s">
        <v>21</v>
      </c>
      <c r="L1507">
        <v>7.2</v>
      </c>
      <c r="M1507">
        <v>10</v>
      </c>
      <c r="N1507">
        <v>1931</v>
      </c>
      <c r="O1507" t="s">
        <v>64</v>
      </c>
      <c r="P1507">
        <v>33.4</v>
      </c>
      <c r="Q1507" t="s">
        <v>56</v>
      </c>
      <c r="R1507">
        <v>-43.8</v>
      </c>
      <c r="S1507">
        <v>59.5</v>
      </c>
      <c r="T1507">
        <v>15.4</v>
      </c>
      <c r="U1507">
        <v>8.1</v>
      </c>
      <c r="V1507">
        <v>8.3000000000000007</v>
      </c>
      <c r="W1507">
        <v>6.2</v>
      </c>
      <c r="X1507" t="s">
        <v>66</v>
      </c>
    </row>
    <row r="1508" spans="2:24" x14ac:dyDescent="0.3">
      <c r="B1508" t="s">
        <v>1601</v>
      </c>
      <c r="C1508" t="s">
        <v>97</v>
      </c>
      <c r="D1508" t="s">
        <v>3</v>
      </c>
      <c r="E1508" t="s">
        <v>17</v>
      </c>
      <c r="F1508" t="s">
        <v>10</v>
      </c>
      <c r="G1508" t="s">
        <v>60</v>
      </c>
      <c r="H1508">
        <v>2026</v>
      </c>
      <c r="I1508">
        <v>5439</v>
      </c>
      <c r="J1508">
        <v>16.7</v>
      </c>
      <c r="K1508" t="s">
        <v>21</v>
      </c>
      <c r="L1508">
        <v>5.2</v>
      </c>
      <c r="M1508">
        <v>4.9000000000000004</v>
      </c>
      <c r="N1508">
        <v>89</v>
      </c>
      <c r="O1508" t="s">
        <v>75</v>
      </c>
      <c r="P1508">
        <v>37.4</v>
      </c>
      <c r="Q1508" t="s">
        <v>65</v>
      </c>
      <c r="R1508">
        <v>-25.2</v>
      </c>
      <c r="S1508">
        <v>34.6</v>
      </c>
      <c r="T1508">
        <v>1</v>
      </c>
      <c r="U1508">
        <v>3.1</v>
      </c>
      <c r="V1508">
        <v>8.1</v>
      </c>
      <c r="W1508">
        <v>6</v>
      </c>
      <c r="X1508" t="s">
        <v>66</v>
      </c>
    </row>
    <row r="1509" spans="2:24" x14ac:dyDescent="0.3">
      <c r="B1509" t="s">
        <v>1602</v>
      </c>
      <c r="C1509" t="s">
        <v>106</v>
      </c>
      <c r="D1509" t="s">
        <v>8</v>
      </c>
      <c r="E1509" t="s">
        <v>15</v>
      </c>
      <c r="F1509" t="s">
        <v>11</v>
      </c>
      <c r="G1509" t="s">
        <v>98</v>
      </c>
      <c r="H1509">
        <v>2024</v>
      </c>
      <c r="I1509">
        <v>19510</v>
      </c>
      <c r="J1509">
        <v>37.799999999999997</v>
      </c>
      <c r="K1509" t="s">
        <v>24</v>
      </c>
      <c r="L1509">
        <v>4</v>
      </c>
      <c r="M1509">
        <v>10</v>
      </c>
      <c r="N1509">
        <v>1168</v>
      </c>
      <c r="O1509" t="s">
        <v>75</v>
      </c>
      <c r="P1509">
        <v>51.1</v>
      </c>
      <c r="Q1509" t="s">
        <v>125</v>
      </c>
      <c r="R1509">
        <v>23.1</v>
      </c>
      <c r="S1509">
        <v>-6.1</v>
      </c>
      <c r="T1509">
        <v>-3.4</v>
      </c>
      <c r="U1509">
        <v>5.3</v>
      </c>
      <c r="V1509">
        <v>4.2</v>
      </c>
      <c r="W1509">
        <v>1.5</v>
      </c>
      <c r="X1509" t="s">
        <v>66</v>
      </c>
    </row>
    <row r="1510" spans="2:24" x14ac:dyDescent="0.3">
      <c r="B1510" t="s">
        <v>1603</v>
      </c>
      <c r="C1510" t="s">
        <v>137</v>
      </c>
      <c r="D1510" t="s">
        <v>4</v>
      </c>
      <c r="E1510" t="s">
        <v>14</v>
      </c>
      <c r="F1510" t="s">
        <v>12</v>
      </c>
      <c r="G1510" t="s">
        <v>115</v>
      </c>
      <c r="H1510">
        <v>2025</v>
      </c>
      <c r="I1510">
        <v>4235</v>
      </c>
      <c r="J1510">
        <v>14.4</v>
      </c>
      <c r="K1510" t="s">
        <v>21</v>
      </c>
      <c r="L1510">
        <v>1.8</v>
      </c>
      <c r="M1510">
        <v>4</v>
      </c>
      <c r="N1510">
        <v>5967</v>
      </c>
      <c r="O1510" t="s">
        <v>64</v>
      </c>
      <c r="P1510">
        <v>71.3</v>
      </c>
      <c r="Q1510" t="s">
        <v>125</v>
      </c>
      <c r="R1510">
        <v>73</v>
      </c>
      <c r="S1510">
        <v>48.3</v>
      </c>
      <c r="T1510">
        <v>20.2</v>
      </c>
      <c r="U1510">
        <v>1.8</v>
      </c>
      <c r="V1510">
        <v>5.7</v>
      </c>
      <c r="W1510">
        <v>6.5</v>
      </c>
      <c r="X1510" t="s">
        <v>116</v>
      </c>
    </row>
    <row r="1511" spans="2:24" x14ac:dyDescent="0.3">
      <c r="B1511" t="s">
        <v>1604</v>
      </c>
      <c r="C1511" t="s">
        <v>137</v>
      </c>
      <c r="D1511" t="s">
        <v>4</v>
      </c>
      <c r="E1511" t="s">
        <v>14</v>
      </c>
      <c r="F1511" t="s">
        <v>10</v>
      </c>
      <c r="G1511" t="s">
        <v>74</v>
      </c>
      <c r="H1511">
        <v>2025</v>
      </c>
      <c r="I1511">
        <v>6380</v>
      </c>
      <c r="J1511">
        <v>8.6999999999999993</v>
      </c>
      <c r="K1511" t="s">
        <v>24</v>
      </c>
      <c r="L1511">
        <v>10.7</v>
      </c>
      <c r="M1511">
        <v>10</v>
      </c>
      <c r="N1511">
        <v>1981</v>
      </c>
      <c r="O1511" t="s">
        <v>64</v>
      </c>
      <c r="P1511">
        <v>51.5</v>
      </c>
      <c r="Q1511" t="s">
        <v>79</v>
      </c>
      <c r="R1511">
        <v>-7.8</v>
      </c>
      <c r="S1511">
        <v>-20.6</v>
      </c>
      <c r="T1511">
        <v>-13.6</v>
      </c>
      <c r="U1511">
        <v>6.3</v>
      </c>
      <c r="V1511">
        <v>5.9</v>
      </c>
      <c r="W1511">
        <v>4.5999999999999996</v>
      </c>
      <c r="X1511" t="s">
        <v>66</v>
      </c>
    </row>
    <row r="1512" spans="2:24" x14ac:dyDescent="0.3">
      <c r="B1512" t="s">
        <v>1605</v>
      </c>
      <c r="C1512" t="s">
        <v>81</v>
      </c>
      <c r="D1512" t="s">
        <v>5</v>
      </c>
      <c r="E1512" t="s">
        <v>17</v>
      </c>
      <c r="F1512" t="s">
        <v>10</v>
      </c>
      <c r="G1512" t="s">
        <v>131</v>
      </c>
      <c r="H1512">
        <v>2025</v>
      </c>
      <c r="I1512">
        <v>3276</v>
      </c>
      <c r="J1512">
        <v>8.1999999999999993</v>
      </c>
      <c r="K1512" t="s">
        <v>25</v>
      </c>
      <c r="L1512">
        <v>2.9</v>
      </c>
      <c r="M1512">
        <v>3.9</v>
      </c>
      <c r="N1512">
        <v>1039</v>
      </c>
      <c r="O1512" t="s">
        <v>64</v>
      </c>
      <c r="P1512">
        <v>42.3</v>
      </c>
      <c r="Q1512" t="s">
        <v>76</v>
      </c>
      <c r="R1512">
        <v>-43</v>
      </c>
      <c r="S1512">
        <v>24.2</v>
      </c>
      <c r="T1512">
        <v>14.6</v>
      </c>
      <c r="U1512">
        <v>2.2000000000000002</v>
      </c>
      <c r="V1512">
        <v>8.5</v>
      </c>
      <c r="W1512">
        <v>8.1</v>
      </c>
      <c r="X1512" t="s">
        <v>116</v>
      </c>
    </row>
    <row r="1513" spans="2:24" x14ac:dyDescent="0.3">
      <c r="B1513" t="s">
        <v>1606</v>
      </c>
      <c r="C1513" t="s">
        <v>90</v>
      </c>
      <c r="D1513" t="s">
        <v>5</v>
      </c>
      <c r="E1513" t="s">
        <v>19</v>
      </c>
      <c r="F1513" t="s">
        <v>12</v>
      </c>
      <c r="G1513" t="s">
        <v>78</v>
      </c>
      <c r="H1513">
        <v>2025</v>
      </c>
      <c r="I1513">
        <v>627</v>
      </c>
      <c r="J1513">
        <v>7.4</v>
      </c>
      <c r="K1513" t="s">
        <v>24</v>
      </c>
      <c r="L1513">
        <v>2.9</v>
      </c>
      <c r="M1513">
        <v>6.1</v>
      </c>
      <c r="N1513">
        <v>2745</v>
      </c>
      <c r="O1513" t="s">
        <v>64</v>
      </c>
      <c r="P1513">
        <v>28.5</v>
      </c>
      <c r="Q1513" t="s">
        <v>86</v>
      </c>
      <c r="R1513">
        <v>-19.600000000000001</v>
      </c>
      <c r="S1513">
        <v>48.6</v>
      </c>
      <c r="T1513">
        <v>18.2</v>
      </c>
      <c r="U1513">
        <v>4.0999999999999996</v>
      </c>
      <c r="V1513">
        <v>9.1</v>
      </c>
      <c r="W1513">
        <v>8.4</v>
      </c>
      <c r="X1513" t="s">
        <v>57</v>
      </c>
    </row>
    <row r="1514" spans="2:24" x14ac:dyDescent="0.3">
      <c r="B1514" t="s">
        <v>1607</v>
      </c>
      <c r="C1514" t="s">
        <v>106</v>
      </c>
      <c r="D1514" t="s">
        <v>8</v>
      </c>
      <c r="E1514" t="s">
        <v>15</v>
      </c>
      <c r="F1514" t="s">
        <v>9</v>
      </c>
      <c r="G1514" t="s">
        <v>98</v>
      </c>
      <c r="H1514">
        <v>2024</v>
      </c>
      <c r="I1514">
        <v>2187</v>
      </c>
      <c r="J1514">
        <v>1.2</v>
      </c>
      <c r="K1514" t="s">
        <v>25</v>
      </c>
      <c r="L1514">
        <v>3.6</v>
      </c>
      <c r="M1514">
        <v>3.9</v>
      </c>
      <c r="N1514">
        <v>373</v>
      </c>
      <c r="O1514" t="s">
        <v>64</v>
      </c>
      <c r="P1514">
        <v>25.1</v>
      </c>
      <c r="Q1514" t="s">
        <v>65</v>
      </c>
      <c r="R1514">
        <v>35.200000000000003</v>
      </c>
      <c r="S1514">
        <v>21.2</v>
      </c>
      <c r="T1514">
        <v>4.5</v>
      </c>
      <c r="U1514">
        <v>2.7</v>
      </c>
      <c r="V1514">
        <v>6.6</v>
      </c>
      <c r="W1514">
        <v>8.5</v>
      </c>
      <c r="X1514" t="s">
        <v>57</v>
      </c>
    </row>
    <row r="1515" spans="2:24" x14ac:dyDescent="0.3">
      <c r="B1515" t="s">
        <v>1608</v>
      </c>
      <c r="C1515" t="s">
        <v>62</v>
      </c>
      <c r="D1515" t="s">
        <v>2</v>
      </c>
      <c r="E1515" t="s">
        <v>18</v>
      </c>
      <c r="F1515" t="s">
        <v>11</v>
      </c>
      <c r="G1515" t="s">
        <v>104</v>
      </c>
      <c r="H1515">
        <v>2025</v>
      </c>
      <c r="I1515">
        <v>488</v>
      </c>
      <c r="J1515">
        <v>5.3</v>
      </c>
      <c r="K1515" t="s">
        <v>25</v>
      </c>
      <c r="L1515">
        <v>3.3</v>
      </c>
      <c r="M1515">
        <v>5</v>
      </c>
      <c r="N1515">
        <v>2597</v>
      </c>
      <c r="O1515" t="s">
        <v>55</v>
      </c>
      <c r="P1515">
        <v>40.1</v>
      </c>
      <c r="Q1515" t="s">
        <v>76</v>
      </c>
      <c r="R1515">
        <v>67.599999999999994</v>
      </c>
      <c r="S1515">
        <v>31.9</v>
      </c>
      <c r="T1515">
        <v>5.3</v>
      </c>
      <c r="U1515">
        <v>3.9</v>
      </c>
      <c r="V1515">
        <v>7.8</v>
      </c>
      <c r="W1515">
        <v>8</v>
      </c>
      <c r="X1515" t="s">
        <v>57</v>
      </c>
    </row>
    <row r="1516" spans="2:24" x14ac:dyDescent="0.3">
      <c r="B1516" t="s">
        <v>1609</v>
      </c>
      <c r="C1516" t="s">
        <v>53</v>
      </c>
      <c r="D1516" t="s">
        <v>4</v>
      </c>
      <c r="E1516" t="s">
        <v>16</v>
      </c>
      <c r="F1516" t="s">
        <v>9</v>
      </c>
      <c r="G1516" t="s">
        <v>54</v>
      </c>
      <c r="H1516">
        <v>2024</v>
      </c>
      <c r="I1516">
        <v>6822</v>
      </c>
      <c r="J1516">
        <v>27.3</v>
      </c>
      <c r="K1516" t="s">
        <v>22</v>
      </c>
      <c r="L1516">
        <v>3.3</v>
      </c>
      <c r="M1516">
        <v>5.8</v>
      </c>
      <c r="N1516">
        <v>1832</v>
      </c>
      <c r="O1516" t="s">
        <v>64</v>
      </c>
      <c r="P1516">
        <v>33.9</v>
      </c>
      <c r="Q1516" t="s">
        <v>88</v>
      </c>
      <c r="R1516">
        <v>10.3</v>
      </c>
      <c r="S1516">
        <v>-22.4</v>
      </c>
      <c r="T1516">
        <v>-10.3</v>
      </c>
      <c r="U1516">
        <v>3</v>
      </c>
      <c r="V1516">
        <v>5.7</v>
      </c>
      <c r="W1516">
        <v>2.7</v>
      </c>
      <c r="X1516" t="s">
        <v>66</v>
      </c>
    </row>
    <row r="1517" spans="2:24" x14ac:dyDescent="0.3">
      <c r="B1517" t="s">
        <v>1610</v>
      </c>
      <c r="C1517" t="s">
        <v>53</v>
      </c>
      <c r="D1517" t="s">
        <v>7</v>
      </c>
      <c r="E1517" t="s">
        <v>19</v>
      </c>
      <c r="F1517" t="s">
        <v>10</v>
      </c>
      <c r="G1517" t="s">
        <v>74</v>
      </c>
      <c r="H1517">
        <v>2025</v>
      </c>
      <c r="I1517">
        <v>476</v>
      </c>
      <c r="J1517">
        <v>0.1</v>
      </c>
      <c r="K1517" t="s">
        <v>23</v>
      </c>
      <c r="L1517">
        <v>5.2</v>
      </c>
      <c r="M1517">
        <v>5.5</v>
      </c>
      <c r="N1517">
        <v>208</v>
      </c>
      <c r="O1517" t="s">
        <v>55</v>
      </c>
      <c r="P1517">
        <v>33.299999999999997</v>
      </c>
      <c r="Q1517" t="s">
        <v>79</v>
      </c>
      <c r="R1517">
        <v>-7.4</v>
      </c>
      <c r="S1517">
        <v>-15.8</v>
      </c>
      <c r="T1517">
        <v>-13.8</v>
      </c>
      <c r="U1517">
        <v>4.0999999999999996</v>
      </c>
      <c r="V1517">
        <v>7.7</v>
      </c>
      <c r="W1517">
        <v>6.1</v>
      </c>
      <c r="X1517" t="s">
        <v>57</v>
      </c>
    </row>
    <row r="1518" spans="2:24" x14ac:dyDescent="0.3">
      <c r="B1518" t="s">
        <v>1611</v>
      </c>
      <c r="C1518" t="s">
        <v>90</v>
      </c>
      <c r="D1518" t="s">
        <v>2</v>
      </c>
      <c r="E1518" t="s">
        <v>14</v>
      </c>
      <c r="F1518" t="s">
        <v>10</v>
      </c>
      <c r="G1518" t="s">
        <v>98</v>
      </c>
      <c r="H1518">
        <v>2024</v>
      </c>
      <c r="I1518">
        <v>285</v>
      </c>
      <c r="J1518">
        <v>5.0999999999999996</v>
      </c>
      <c r="K1518" t="s">
        <v>22</v>
      </c>
      <c r="L1518">
        <v>11</v>
      </c>
      <c r="M1518">
        <v>8.6</v>
      </c>
      <c r="N1518">
        <v>9690</v>
      </c>
      <c r="O1518" t="s">
        <v>118</v>
      </c>
      <c r="P1518">
        <v>57.4</v>
      </c>
      <c r="Q1518" t="s">
        <v>76</v>
      </c>
      <c r="R1518">
        <v>-37.4</v>
      </c>
      <c r="S1518">
        <v>-0.9</v>
      </c>
      <c r="T1518">
        <v>9.3000000000000007</v>
      </c>
      <c r="U1518">
        <v>7.7</v>
      </c>
      <c r="V1518">
        <v>5.9</v>
      </c>
      <c r="W1518">
        <v>6.3</v>
      </c>
      <c r="X1518" t="s">
        <v>116</v>
      </c>
    </row>
    <row r="1519" spans="2:24" x14ac:dyDescent="0.3">
      <c r="B1519" t="s">
        <v>1612</v>
      </c>
      <c r="C1519" t="s">
        <v>106</v>
      </c>
      <c r="D1519" t="s">
        <v>3</v>
      </c>
      <c r="E1519" t="s">
        <v>18</v>
      </c>
      <c r="F1519" t="s">
        <v>9</v>
      </c>
      <c r="G1519" t="s">
        <v>98</v>
      </c>
      <c r="H1519">
        <v>2024</v>
      </c>
      <c r="I1519">
        <v>17873</v>
      </c>
      <c r="J1519">
        <v>39.799999999999997</v>
      </c>
      <c r="K1519" t="s">
        <v>22</v>
      </c>
      <c r="L1519">
        <v>1.7</v>
      </c>
      <c r="M1519">
        <v>10</v>
      </c>
      <c r="N1519">
        <v>1964</v>
      </c>
      <c r="O1519" t="s">
        <v>75</v>
      </c>
      <c r="P1519">
        <v>55.5</v>
      </c>
      <c r="Q1519" t="s">
        <v>76</v>
      </c>
      <c r="R1519">
        <v>32</v>
      </c>
      <c r="S1519">
        <v>-7.7</v>
      </c>
      <c r="T1519">
        <v>-9.4</v>
      </c>
      <c r="U1519">
        <v>1.9</v>
      </c>
      <c r="V1519">
        <v>2.2999999999999998</v>
      </c>
      <c r="W1519">
        <v>2.2999999999999998</v>
      </c>
      <c r="X1519" t="s">
        <v>66</v>
      </c>
    </row>
    <row r="1520" spans="2:24" x14ac:dyDescent="0.3">
      <c r="B1520" t="s">
        <v>1613</v>
      </c>
      <c r="C1520" t="s">
        <v>83</v>
      </c>
      <c r="D1520" t="s">
        <v>4</v>
      </c>
      <c r="E1520" t="s">
        <v>15</v>
      </c>
      <c r="F1520" t="s">
        <v>9</v>
      </c>
      <c r="G1520" t="s">
        <v>78</v>
      </c>
      <c r="H1520">
        <v>2025</v>
      </c>
      <c r="I1520">
        <v>1264</v>
      </c>
      <c r="J1520">
        <v>6.1</v>
      </c>
      <c r="K1520" t="s">
        <v>25</v>
      </c>
      <c r="L1520">
        <v>8.3000000000000007</v>
      </c>
      <c r="M1520">
        <v>8.3000000000000007</v>
      </c>
      <c r="N1520">
        <v>659</v>
      </c>
      <c r="O1520" t="s">
        <v>64</v>
      </c>
      <c r="P1520">
        <v>81.599999999999994</v>
      </c>
      <c r="Q1520" t="s">
        <v>88</v>
      </c>
      <c r="R1520">
        <v>7.9</v>
      </c>
      <c r="S1520">
        <v>-4.4000000000000004</v>
      </c>
      <c r="T1520">
        <v>5.6</v>
      </c>
      <c r="U1520">
        <v>5.9</v>
      </c>
      <c r="V1520">
        <v>8.1999999999999993</v>
      </c>
      <c r="W1520">
        <v>5</v>
      </c>
      <c r="X1520" t="s">
        <v>116</v>
      </c>
    </row>
    <row r="1521" spans="2:24" x14ac:dyDescent="0.3">
      <c r="B1521" t="s">
        <v>1614</v>
      </c>
      <c r="C1521" t="s">
        <v>106</v>
      </c>
      <c r="D1521" t="s">
        <v>2</v>
      </c>
      <c r="E1521" t="s">
        <v>16</v>
      </c>
      <c r="F1521" t="s">
        <v>11</v>
      </c>
      <c r="G1521" t="s">
        <v>69</v>
      </c>
      <c r="H1521">
        <v>2025</v>
      </c>
      <c r="I1521">
        <v>14846</v>
      </c>
      <c r="J1521">
        <v>25.6</v>
      </c>
      <c r="K1521" t="s">
        <v>23</v>
      </c>
      <c r="L1521">
        <v>7.7</v>
      </c>
      <c r="M1521">
        <v>10</v>
      </c>
      <c r="N1521">
        <v>2684</v>
      </c>
      <c r="O1521" t="s">
        <v>75</v>
      </c>
      <c r="P1521">
        <v>45.6</v>
      </c>
      <c r="Q1521" t="s">
        <v>56</v>
      </c>
      <c r="R1521">
        <v>80.3</v>
      </c>
      <c r="S1521">
        <v>-1.6</v>
      </c>
      <c r="T1521">
        <v>-8.3000000000000007</v>
      </c>
      <c r="U1521">
        <v>5.0999999999999996</v>
      </c>
      <c r="V1521">
        <v>6.5</v>
      </c>
      <c r="W1521">
        <v>3.5</v>
      </c>
      <c r="X1521" t="s">
        <v>66</v>
      </c>
    </row>
    <row r="1522" spans="2:24" x14ac:dyDescent="0.3">
      <c r="B1522" t="s">
        <v>1615</v>
      </c>
      <c r="C1522" t="s">
        <v>122</v>
      </c>
      <c r="D1522" t="s">
        <v>2</v>
      </c>
      <c r="E1522" t="s">
        <v>14</v>
      </c>
      <c r="F1522" t="s">
        <v>9</v>
      </c>
      <c r="G1522" t="s">
        <v>74</v>
      </c>
      <c r="H1522">
        <v>2026</v>
      </c>
      <c r="I1522">
        <v>411</v>
      </c>
      <c r="J1522">
        <v>4.5</v>
      </c>
      <c r="K1522" t="s">
        <v>23</v>
      </c>
      <c r="L1522">
        <v>14.2</v>
      </c>
      <c r="M1522">
        <v>10</v>
      </c>
      <c r="N1522">
        <v>5447</v>
      </c>
      <c r="O1522" t="s">
        <v>118</v>
      </c>
      <c r="P1522">
        <v>63.4</v>
      </c>
      <c r="Q1522" t="s">
        <v>76</v>
      </c>
      <c r="R1522">
        <v>89</v>
      </c>
      <c r="S1522">
        <v>35.4</v>
      </c>
      <c r="T1522">
        <v>23.9</v>
      </c>
      <c r="U1522">
        <v>9.4</v>
      </c>
      <c r="V1522">
        <v>6.4</v>
      </c>
      <c r="W1522">
        <v>7.1</v>
      </c>
      <c r="X1522" t="s">
        <v>57</v>
      </c>
    </row>
    <row r="1523" spans="2:24" x14ac:dyDescent="0.3">
      <c r="B1523" t="s">
        <v>1616</v>
      </c>
      <c r="C1523" t="s">
        <v>90</v>
      </c>
      <c r="D1523" t="s">
        <v>5</v>
      </c>
      <c r="E1523" t="s">
        <v>17</v>
      </c>
      <c r="F1523" t="s">
        <v>11</v>
      </c>
      <c r="G1523" t="s">
        <v>101</v>
      </c>
      <c r="H1523">
        <v>2026</v>
      </c>
      <c r="I1523">
        <v>1641</v>
      </c>
      <c r="J1523">
        <v>34.200000000000003</v>
      </c>
      <c r="K1523" t="s">
        <v>23</v>
      </c>
      <c r="L1523">
        <v>8.1</v>
      </c>
      <c r="M1523">
        <v>10</v>
      </c>
      <c r="N1523">
        <v>1394</v>
      </c>
      <c r="O1523" t="s">
        <v>75</v>
      </c>
      <c r="P1523">
        <v>35</v>
      </c>
      <c r="Q1523" t="s">
        <v>125</v>
      </c>
      <c r="R1523">
        <v>35.6</v>
      </c>
      <c r="S1523">
        <v>-23</v>
      </c>
      <c r="T1523">
        <v>-6.3</v>
      </c>
      <c r="U1523">
        <v>7.9</v>
      </c>
      <c r="V1523">
        <v>3</v>
      </c>
      <c r="W1523">
        <v>1.5</v>
      </c>
      <c r="X1523" t="s">
        <v>66</v>
      </c>
    </row>
    <row r="1524" spans="2:24" x14ac:dyDescent="0.3">
      <c r="B1524" t="s">
        <v>1617</v>
      </c>
      <c r="C1524" t="s">
        <v>27</v>
      </c>
      <c r="D1524" t="s">
        <v>2</v>
      </c>
      <c r="E1524" t="s">
        <v>19</v>
      </c>
      <c r="F1524" t="s">
        <v>11</v>
      </c>
      <c r="G1524" t="s">
        <v>60</v>
      </c>
      <c r="H1524">
        <v>2026</v>
      </c>
      <c r="I1524">
        <v>549</v>
      </c>
      <c r="J1524">
        <v>5.6</v>
      </c>
      <c r="K1524" t="s">
        <v>23</v>
      </c>
      <c r="L1524">
        <v>1.5</v>
      </c>
      <c r="M1524">
        <v>4.9000000000000004</v>
      </c>
      <c r="N1524">
        <v>4905</v>
      </c>
      <c r="O1524" t="s">
        <v>55</v>
      </c>
      <c r="P1524">
        <v>75.599999999999994</v>
      </c>
      <c r="Q1524" t="s">
        <v>76</v>
      </c>
      <c r="R1524">
        <v>32.299999999999997</v>
      </c>
      <c r="S1524">
        <v>39</v>
      </c>
      <c r="T1524">
        <v>17.399999999999999</v>
      </c>
      <c r="U1524">
        <v>2.4</v>
      </c>
      <c r="V1524">
        <v>6.2</v>
      </c>
      <c r="W1524">
        <v>8.5</v>
      </c>
      <c r="X1524" t="s">
        <v>57</v>
      </c>
    </row>
    <row r="1525" spans="2:24" x14ac:dyDescent="0.3">
      <c r="B1525" t="s">
        <v>1618</v>
      </c>
      <c r="C1525" t="s">
        <v>90</v>
      </c>
      <c r="D1525" t="s">
        <v>3</v>
      </c>
      <c r="E1525" t="s">
        <v>17</v>
      </c>
      <c r="F1525" t="s">
        <v>10</v>
      </c>
      <c r="G1525" t="s">
        <v>98</v>
      </c>
      <c r="H1525">
        <v>2025</v>
      </c>
      <c r="I1525">
        <v>670</v>
      </c>
      <c r="J1525">
        <v>5.5</v>
      </c>
      <c r="K1525" t="s">
        <v>22</v>
      </c>
      <c r="L1525">
        <v>4.5</v>
      </c>
      <c r="M1525">
        <v>4.4000000000000004</v>
      </c>
      <c r="N1525">
        <v>3318</v>
      </c>
      <c r="O1525" t="s">
        <v>64</v>
      </c>
      <c r="P1525">
        <v>15.9</v>
      </c>
      <c r="Q1525" t="s">
        <v>86</v>
      </c>
      <c r="R1525">
        <v>23.2</v>
      </c>
      <c r="S1525">
        <v>-3.7</v>
      </c>
      <c r="T1525">
        <v>6.8</v>
      </c>
      <c r="U1525">
        <v>5</v>
      </c>
      <c r="V1525">
        <v>7</v>
      </c>
      <c r="W1525">
        <v>6.4</v>
      </c>
      <c r="X1525" t="s">
        <v>57</v>
      </c>
    </row>
    <row r="1526" spans="2:24" x14ac:dyDescent="0.3">
      <c r="B1526" t="s">
        <v>1619</v>
      </c>
      <c r="C1526" t="s">
        <v>106</v>
      </c>
      <c r="D1526" t="s">
        <v>3</v>
      </c>
      <c r="E1526" t="s">
        <v>19</v>
      </c>
      <c r="F1526" t="s">
        <v>10</v>
      </c>
      <c r="G1526" t="s">
        <v>74</v>
      </c>
      <c r="H1526">
        <v>2025</v>
      </c>
      <c r="I1526">
        <v>8813</v>
      </c>
      <c r="J1526">
        <v>22.4</v>
      </c>
      <c r="K1526" t="s">
        <v>24</v>
      </c>
      <c r="L1526">
        <v>9.6999999999999993</v>
      </c>
      <c r="M1526">
        <v>10</v>
      </c>
      <c r="N1526">
        <v>700</v>
      </c>
      <c r="O1526" t="s">
        <v>64</v>
      </c>
      <c r="P1526">
        <v>58.2</v>
      </c>
      <c r="Q1526" t="s">
        <v>84</v>
      </c>
      <c r="R1526">
        <v>15.7</v>
      </c>
      <c r="S1526">
        <v>-17.3</v>
      </c>
      <c r="T1526">
        <v>-12.3</v>
      </c>
      <c r="U1526">
        <v>7.9</v>
      </c>
      <c r="V1526">
        <v>5.8</v>
      </c>
      <c r="W1526">
        <v>2.2999999999999998</v>
      </c>
      <c r="X1526" t="s">
        <v>66</v>
      </c>
    </row>
    <row r="1527" spans="2:24" x14ac:dyDescent="0.3">
      <c r="B1527" t="s">
        <v>1620</v>
      </c>
      <c r="C1527" t="s">
        <v>106</v>
      </c>
      <c r="D1527" t="s">
        <v>2</v>
      </c>
      <c r="E1527" t="s">
        <v>14</v>
      </c>
      <c r="F1527" t="s">
        <v>11</v>
      </c>
      <c r="G1527" t="s">
        <v>60</v>
      </c>
      <c r="H1527">
        <v>2026</v>
      </c>
      <c r="I1527">
        <v>3624</v>
      </c>
      <c r="J1527">
        <v>32.799999999999997</v>
      </c>
      <c r="K1527" t="s">
        <v>25</v>
      </c>
      <c r="L1527">
        <v>8.6999999999999993</v>
      </c>
      <c r="M1527">
        <v>10</v>
      </c>
      <c r="N1527">
        <v>9875</v>
      </c>
      <c r="O1527" t="s">
        <v>55</v>
      </c>
      <c r="P1527">
        <v>51.6</v>
      </c>
      <c r="Q1527" t="s">
        <v>56</v>
      </c>
      <c r="R1527">
        <v>38.5</v>
      </c>
      <c r="S1527">
        <v>54.4</v>
      </c>
      <c r="T1527">
        <v>25.9</v>
      </c>
      <c r="U1527">
        <v>9.4</v>
      </c>
      <c r="V1527">
        <v>6.9</v>
      </c>
      <c r="W1527">
        <v>4.7</v>
      </c>
      <c r="X1527" t="s">
        <v>66</v>
      </c>
    </row>
    <row r="1528" spans="2:24" x14ac:dyDescent="0.3">
      <c r="B1528" t="s">
        <v>1621</v>
      </c>
      <c r="C1528" t="s">
        <v>159</v>
      </c>
      <c r="D1528" t="s">
        <v>7</v>
      </c>
      <c r="E1528" t="s">
        <v>16</v>
      </c>
      <c r="F1528" t="s">
        <v>10</v>
      </c>
      <c r="G1528" t="s">
        <v>69</v>
      </c>
      <c r="H1528">
        <v>2025</v>
      </c>
      <c r="I1528">
        <v>4729</v>
      </c>
      <c r="J1528">
        <v>12.2</v>
      </c>
      <c r="K1528" t="s">
        <v>25</v>
      </c>
      <c r="L1528">
        <v>6.4</v>
      </c>
      <c r="M1528">
        <v>6.2</v>
      </c>
      <c r="N1528">
        <v>1346</v>
      </c>
      <c r="O1528" t="s">
        <v>64</v>
      </c>
      <c r="P1528">
        <v>42.1</v>
      </c>
      <c r="Q1528" t="s">
        <v>86</v>
      </c>
      <c r="R1528">
        <v>-10.7</v>
      </c>
      <c r="S1528">
        <v>54.6</v>
      </c>
      <c r="T1528">
        <v>20.8</v>
      </c>
      <c r="U1528">
        <v>3.8</v>
      </c>
      <c r="V1528">
        <v>8.3000000000000007</v>
      </c>
      <c r="W1528">
        <v>7.7</v>
      </c>
      <c r="X1528" t="s">
        <v>66</v>
      </c>
    </row>
    <row r="1529" spans="2:24" x14ac:dyDescent="0.3">
      <c r="B1529" t="s">
        <v>1622</v>
      </c>
      <c r="C1529" t="s">
        <v>137</v>
      </c>
      <c r="D1529" t="s">
        <v>3</v>
      </c>
      <c r="E1529" t="s">
        <v>17</v>
      </c>
      <c r="F1529" t="s">
        <v>10</v>
      </c>
      <c r="G1529" t="s">
        <v>98</v>
      </c>
      <c r="H1529">
        <v>2025</v>
      </c>
      <c r="I1529">
        <v>16461</v>
      </c>
      <c r="J1529">
        <v>38.799999999999997</v>
      </c>
      <c r="K1529" t="s">
        <v>21</v>
      </c>
      <c r="L1529">
        <v>7.5</v>
      </c>
      <c r="M1529">
        <v>10</v>
      </c>
      <c r="N1529">
        <v>307</v>
      </c>
      <c r="O1529" t="s">
        <v>75</v>
      </c>
      <c r="P1529">
        <v>12.2</v>
      </c>
      <c r="Q1529" t="s">
        <v>65</v>
      </c>
      <c r="R1529">
        <v>57.9</v>
      </c>
      <c r="S1529">
        <v>40.6</v>
      </c>
      <c r="T1529">
        <v>12.4</v>
      </c>
      <c r="U1529">
        <v>9</v>
      </c>
      <c r="V1529">
        <v>5.2</v>
      </c>
      <c r="W1529">
        <v>2.9</v>
      </c>
      <c r="X1529" t="s">
        <v>66</v>
      </c>
    </row>
    <row r="1530" spans="2:24" x14ac:dyDescent="0.3">
      <c r="B1530" t="s">
        <v>1623</v>
      </c>
      <c r="C1530" t="s">
        <v>73</v>
      </c>
      <c r="D1530" t="s">
        <v>3</v>
      </c>
      <c r="E1530" t="s">
        <v>19</v>
      </c>
      <c r="F1530" t="s">
        <v>11</v>
      </c>
      <c r="G1530" t="s">
        <v>112</v>
      </c>
      <c r="H1530">
        <v>2024</v>
      </c>
      <c r="I1530">
        <v>847</v>
      </c>
      <c r="J1530">
        <v>1.6</v>
      </c>
      <c r="K1530" t="s">
        <v>23</v>
      </c>
      <c r="L1530">
        <v>3.3</v>
      </c>
      <c r="M1530">
        <v>3.8</v>
      </c>
      <c r="N1530">
        <v>5115</v>
      </c>
      <c r="O1530" t="s">
        <v>55</v>
      </c>
      <c r="P1530">
        <v>20.3</v>
      </c>
      <c r="Q1530" t="s">
        <v>84</v>
      </c>
      <c r="R1530">
        <v>-6.8</v>
      </c>
      <c r="S1530">
        <v>54</v>
      </c>
      <c r="T1530">
        <v>22.3</v>
      </c>
      <c r="U1530">
        <v>3.3</v>
      </c>
      <c r="V1530">
        <v>7</v>
      </c>
      <c r="W1530">
        <v>7.7</v>
      </c>
      <c r="X1530" t="s">
        <v>116</v>
      </c>
    </row>
    <row r="1531" spans="2:24" x14ac:dyDescent="0.3">
      <c r="B1531" t="s">
        <v>1624</v>
      </c>
      <c r="C1531" t="s">
        <v>142</v>
      </c>
      <c r="D1531" t="s">
        <v>2</v>
      </c>
      <c r="E1531" t="s">
        <v>15</v>
      </c>
      <c r="F1531" t="s">
        <v>10</v>
      </c>
      <c r="G1531" t="s">
        <v>74</v>
      </c>
      <c r="H1531">
        <v>2026</v>
      </c>
      <c r="I1531">
        <v>1138</v>
      </c>
      <c r="J1531">
        <v>9</v>
      </c>
      <c r="K1531" t="s">
        <v>25</v>
      </c>
      <c r="L1531">
        <v>9.1999999999999993</v>
      </c>
      <c r="M1531">
        <v>9.6</v>
      </c>
      <c r="N1531">
        <v>6134</v>
      </c>
      <c r="O1531" t="s">
        <v>55</v>
      </c>
      <c r="P1531">
        <v>14.1</v>
      </c>
      <c r="Q1531" t="s">
        <v>76</v>
      </c>
      <c r="R1531">
        <v>36.9</v>
      </c>
      <c r="S1531">
        <v>43.6</v>
      </c>
      <c r="T1531">
        <v>24.1</v>
      </c>
      <c r="U1531">
        <v>6.7</v>
      </c>
      <c r="V1531">
        <v>5.6</v>
      </c>
      <c r="W1531">
        <v>5.6</v>
      </c>
      <c r="X1531" t="s">
        <v>57</v>
      </c>
    </row>
    <row r="1532" spans="2:24" x14ac:dyDescent="0.3">
      <c r="B1532" t="s">
        <v>1625</v>
      </c>
      <c r="C1532" t="s">
        <v>142</v>
      </c>
      <c r="D1532" t="s">
        <v>8</v>
      </c>
      <c r="E1532" t="s">
        <v>18</v>
      </c>
      <c r="F1532" t="s">
        <v>9</v>
      </c>
      <c r="G1532" t="s">
        <v>98</v>
      </c>
      <c r="H1532">
        <v>2026</v>
      </c>
      <c r="I1532">
        <v>4107</v>
      </c>
      <c r="J1532">
        <v>6.2</v>
      </c>
      <c r="K1532" t="s">
        <v>23</v>
      </c>
      <c r="L1532">
        <v>3</v>
      </c>
      <c r="M1532">
        <v>3</v>
      </c>
      <c r="N1532">
        <v>1924</v>
      </c>
      <c r="O1532" t="s">
        <v>64</v>
      </c>
      <c r="P1532">
        <v>44.7</v>
      </c>
      <c r="Q1532" t="s">
        <v>86</v>
      </c>
      <c r="R1532">
        <v>-15.2</v>
      </c>
      <c r="S1532">
        <v>-4.5999999999999996</v>
      </c>
      <c r="T1532">
        <v>-2.1</v>
      </c>
      <c r="U1532">
        <v>3.2</v>
      </c>
      <c r="V1532">
        <v>5.2</v>
      </c>
      <c r="W1532">
        <v>6.8</v>
      </c>
      <c r="X1532" t="s">
        <v>116</v>
      </c>
    </row>
    <row r="1533" spans="2:24" x14ac:dyDescent="0.3">
      <c r="B1533" t="s">
        <v>1626</v>
      </c>
      <c r="C1533" t="s">
        <v>90</v>
      </c>
      <c r="D1533" t="s">
        <v>2</v>
      </c>
      <c r="E1533" t="s">
        <v>15</v>
      </c>
      <c r="F1533" t="s">
        <v>11</v>
      </c>
      <c r="G1533" t="s">
        <v>101</v>
      </c>
      <c r="H1533">
        <v>2024</v>
      </c>
      <c r="I1533">
        <v>1991</v>
      </c>
      <c r="J1533">
        <v>38.700000000000003</v>
      </c>
      <c r="K1533" t="s">
        <v>25</v>
      </c>
      <c r="L1533">
        <v>4.8</v>
      </c>
      <c r="M1533">
        <v>10</v>
      </c>
      <c r="N1533">
        <v>5886</v>
      </c>
      <c r="O1533" t="s">
        <v>75</v>
      </c>
      <c r="P1533">
        <v>75.2</v>
      </c>
      <c r="Q1533" t="s">
        <v>56</v>
      </c>
      <c r="R1533">
        <v>-1.8</v>
      </c>
      <c r="S1533">
        <v>13.2</v>
      </c>
      <c r="T1533">
        <v>-8.8000000000000007</v>
      </c>
      <c r="U1533">
        <v>4</v>
      </c>
      <c r="V1533">
        <v>5.5</v>
      </c>
      <c r="W1533">
        <v>2.2000000000000002</v>
      </c>
      <c r="X1533" t="s">
        <v>66</v>
      </c>
    </row>
    <row r="1534" spans="2:24" x14ac:dyDescent="0.3">
      <c r="B1534" t="s">
        <v>1627</v>
      </c>
      <c r="C1534" t="s">
        <v>106</v>
      </c>
      <c r="D1534" t="s">
        <v>4</v>
      </c>
      <c r="E1534" t="s">
        <v>19</v>
      </c>
      <c r="F1534" t="s">
        <v>10</v>
      </c>
      <c r="G1534" t="s">
        <v>131</v>
      </c>
      <c r="H1534">
        <v>2026</v>
      </c>
      <c r="I1534">
        <v>14008</v>
      </c>
      <c r="J1534">
        <v>26</v>
      </c>
      <c r="K1534" t="s">
        <v>22</v>
      </c>
      <c r="L1534">
        <v>6.8</v>
      </c>
      <c r="M1534">
        <v>10</v>
      </c>
      <c r="N1534">
        <v>853</v>
      </c>
      <c r="O1534" t="s">
        <v>75</v>
      </c>
      <c r="P1534">
        <v>20.7</v>
      </c>
      <c r="Q1534" t="s">
        <v>88</v>
      </c>
      <c r="R1534">
        <v>34.700000000000003</v>
      </c>
      <c r="S1534">
        <v>-14.6</v>
      </c>
      <c r="T1534">
        <v>-1.4</v>
      </c>
      <c r="U1534">
        <v>5.6</v>
      </c>
      <c r="V1534">
        <v>5.8</v>
      </c>
      <c r="W1534">
        <v>2.6</v>
      </c>
      <c r="X1534" t="s">
        <v>66</v>
      </c>
    </row>
    <row r="1535" spans="2:24" x14ac:dyDescent="0.3">
      <c r="B1535" t="s">
        <v>1628</v>
      </c>
      <c r="C1535" t="s">
        <v>53</v>
      </c>
      <c r="D1535" t="s">
        <v>2</v>
      </c>
      <c r="E1535" t="s">
        <v>14</v>
      </c>
      <c r="F1535" t="s">
        <v>12</v>
      </c>
      <c r="G1535" t="s">
        <v>74</v>
      </c>
      <c r="H1535">
        <v>2025</v>
      </c>
      <c r="I1535">
        <v>11051</v>
      </c>
      <c r="J1535">
        <v>16.2</v>
      </c>
      <c r="K1535" t="s">
        <v>24</v>
      </c>
      <c r="L1535">
        <v>4.5999999999999996</v>
      </c>
      <c r="M1535">
        <v>4.0999999999999996</v>
      </c>
      <c r="N1535">
        <v>2751</v>
      </c>
      <c r="O1535" t="s">
        <v>64</v>
      </c>
      <c r="P1535">
        <v>78.7</v>
      </c>
      <c r="Q1535" t="s">
        <v>76</v>
      </c>
      <c r="R1535">
        <v>-11.8</v>
      </c>
      <c r="S1535">
        <v>36.1</v>
      </c>
      <c r="T1535">
        <v>14</v>
      </c>
      <c r="U1535">
        <v>3.2</v>
      </c>
      <c r="V1535">
        <v>7.8</v>
      </c>
      <c r="W1535">
        <v>6.7</v>
      </c>
      <c r="X1535" t="s">
        <v>66</v>
      </c>
    </row>
    <row r="1536" spans="2:24" x14ac:dyDescent="0.3">
      <c r="B1536" t="s">
        <v>1629</v>
      </c>
      <c r="C1536" t="s">
        <v>53</v>
      </c>
      <c r="D1536" t="s">
        <v>2</v>
      </c>
      <c r="E1536" t="s">
        <v>19</v>
      </c>
      <c r="F1536" t="s">
        <v>9</v>
      </c>
      <c r="G1536" t="s">
        <v>131</v>
      </c>
      <c r="H1536">
        <v>2025</v>
      </c>
      <c r="I1536">
        <v>1580</v>
      </c>
      <c r="J1536">
        <v>4.5</v>
      </c>
      <c r="K1536" t="s">
        <v>22</v>
      </c>
      <c r="L1536">
        <v>5.6</v>
      </c>
      <c r="M1536">
        <v>3.8</v>
      </c>
      <c r="N1536">
        <v>4805</v>
      </c>
      <c r="O1536" t="s">
        <v>55</v>
      </c>
      <c r="P1536">
        <v>62.3</v>
      </c>
      <c r="Q1536" t="s">
        <v>76</v>
      </c>
      <c r="R1536">
        <v>42.8</v>
      </c>
      <c r="S1536">
        <v>58.5</v>
      </c>
      <c r="T1536">
        <v>24.1</v>
      </c>
      <c r="U1536">
        <v>3.9</v>
      </c>
      <c r="V1536">
        <v>6.8</v>
      </c>
      <c r="W1536">
        <v>7.6</v>
      </c>
      <c r="X1536" t="s">
        <v>57</v>
      </c>
    </row>
    <row r="1537" spans="2:24" x14ac:dyDescent="0.3">
      <c r="B1537" t="s">
        <v>1630</v>
      </c>
      <c r="C1537" t="s">
        <v>27</v>
      </c>
      <c r="D1537" t="s">
        <v>3</v>
      </c>
      <c r="E1537" t="s">
        <v>18</v>
      </c>
      <c r="F1537" t="s">
        <v>11</v>
      </c>
      <c r="G1537" t="s">
        <v>115</v>
      </c>
      <c r="H1537">
        <v>2025</v>
      </c>
      <c r="I1537">
        <v>497</v>
      </c>
      <c r="J1537">
        <v>1.9</v>
      </c>
      <c r="K1537" t="s">
        <v>22</v>
      </c>
      <c r="L1537">
        <v>6.3</v>
      </c>
      <c r="M1537">
        <v>2.9</v>
      </c>
      <c r="N1537">
        <v>3884</v>
      </c>
      <c r="O1537" t="s">
        <v>55</v>
      </c>
      <c r="P1537">
        <v>76</v>
      </c>
      <c r="Q1537" t="s">
        <v>86</v>
      </c>
      <c r="R1537">
        <v>81.400000000000006</v>
      </c>
      <c r="S1537">
        <v>0.4</v>
      </c>
      <c r="T1537">
        <v>-5.9</v>
      </c>
      <c r="U1537">
        <v>5.5</v>
      </c>
      <c r="V1537">
        <v>8.3000000000000007</v>
      </c>
      <c r="W1537">
        <v>6.5</v>
      </c>
      <c r="X1537" t="s">
        <v>116</v>
      </c>
    </row>
    <row r="1538" spans="2:24" x14ac:dyDescent="0.3">
      <c r="B1538" t="s">
        <v>1631</v>
      </c>
      <c r="C1538" t="s">
        <v>159</v>
      </c>
      <c r="D1538" t="s">
        <v>2</v>
      </c>
      <c r="E1538" t="s">
        <v>17</v>
      </c>
      <c r="F1538" t="s">
        <v>11</v>
      </c>
      <c r="G1538" t="s">
        <v>69</v>
      </c>
      <c r="H1538">
        <v>2024</v>
      </c>
      <c r="I1538">
        <v>960</v>
      </c>
      <c r="J1538">
        <v>7</v>
      </c>
      <c r="K1538" t="s">
        <v>22</v>
      </c>
      <c r="L1538">
        <v>16.5</v>
      </c>
      <c r="M1538">
        <v>10</v>
      </c>
      <c r="N1538">
        <v>7724</v>
      </c>
      <c r="O1538" t="s">
        <v>118</v>
      </c>
      <c r="P1538">
        <v>75.7</v>
      </c>
      <c r="Q1538" t="s">
        <v>56</v>
      </c>
      <c r="R1538">
        <v>10.7</v>
      </c>
      <c r="S1538">
        <v>57.1</v>
      </c>
      <c r="T1538">
        <v>22.5</v>
      </c>
      <c r="U1538">
        <v>10</v>
      </c>
      <c r="V1538">
        <v>7.8</v>
      </c>
      <c r="W1538">
        <v>6.6</v>
      </c>
      <c r="X1538" t="s">
        <v>57</v>
      </c>
    </row>
    <row r="1539" spans="2:24" x14ac:dyDescent="0.3">
      <c r="B1539" t="s">
        <v>1632</v>
      </c>
      <c r="C1539" t="s">
        <v>71</v>
      </c>
      <c r="D1539" t="s">
        <v>6</v>
      </c>
      <c r="E1539" t="s">
        <v>16</v>
      </c>
      <c r="F1539" t="s">
        <v>10</v>
      </c>
      <c r="G1539" t="s">
        <v>74</v>
      </c>
      <c r="H1539">
        <v>2024</v>
      </c>
      <c r="I1539">
        <v>11735</v>
      </c>
      <c r="J1539">
        <v>8.4</v>
      </c>
      <c r="K1539" t="s">
        <v>25</v>
      </c>
      <c r="L1539">
        <v>5.9</v>
      </c>
      <c r="M1539">
        <v>6.6</v>
      </c>
      <c r="N1539">
        <v>1727</v>
      </c>
      <c r="O1539" t="s">
        <v>64</v>
      </c>
      <c r="P1539">
        <v>15.7</v>
      </c>
      <c r="Q1539" t="s">
        <v>79</v>
      </c>
      <c r="R1539">
        <v>-16.399999999999999</v>
      </c>
      <c r="S1539">
        <v>-1.1000000000000001</v>
      </c>
      <c r="T1539">
        <v>-0.8</v>
      </c>
      <c r="U1539">
        <v>5.6</v>
      </c>
      <c r="V1539">
        <v>8.1999999999999993</v>
      </c>
      <c r="W1539">
        <v>6.4</v>
      </c>
      <c r="X1539" t="s">
        <v>66</v>
      </c>
    </row>
    <row r="1540" spans="2:24" x14ac:dyDescent="0.3">
      <c r="B1540" t="s">
        <v>1633</v>
      </c>
      <c r="C1540" t="s">
        <v>137</v>
      </c>
      <c r="D1540" t="s">
        <v>4</v>
      </c>
      <c r="E1540" t="s">
        <v>19</v>
      </c>
      <c r="F1540" t="s">
        <v>9</v>
      </c>
      <c r="G1540" t="s">
        <v>112</v>
      </c>
      <c r="H1540">
        <v>2025</v>
      </c>
      <c r="I1540">
        <v>2696</v>
      </c>
      <c r="J1540">
        <v>15.8</v>
      </c>
      <c r="K1540" t="s">
        <v>24</v>
      </c>
      <c r="L1540">
        <v>4.8</v>
      </c>
      <c r="M1540">
        <v>6.4</v>
      </c>
      <c r="N1540">
        <v>4548</v>
      </c>
      <c r="O1540" t="s">
        <v>64</v>
      </c>
      <c r="P1540">
        <v>64.7</v>
      </c>
      <c r="Q1540" t="s">
        <v>79</v>
      </c>
      <c r="R1540">
        <v>-39.4</v>
      </c>
      <c r="S1540">
        <v>0.7</v>
      </c>
      <c r="T1540">
        <v>-8.6</v>
      </c>
      <c r="U1540">
        <v>3.2</v>
      </c>
      <c r="V1540">
        <v>5.0999999999999996</v>
      </c>
      <c r="W1540">
        <v>5.8</v>
      </c>
      <c r="X1540" t="s">
        <v>116</v>
      </c>
    </row>
    <row r="1541" spans="2:24" x14ac:dyDescent="0.3">
      <c r="B1541" t="s">
        <v>1634</v>
      </c>
      <c r="C1541" t="s">
        <v>53</v>
      </c>
      <c r="D1541" t="s">
        <v>7</v>
      </c>
      <c r="E1541" t="s">
        <v>14</v>
      </c>
      <c r="F1541" t="s">
        <v>9</v>
      </c>
      <c r="G1541" t="s">
        <v>63</v>
      </c>
      <c r="H1541">
        <v>2024</v>
      </c>
      <c r="I1541">
        <v>1695</v>
      </c>
      <c r="J1541">
        <v>17.899999999999999</v>
      </c>
      <c r="K1541" t="s">
        <v>22</v>
      </c>
      <c r="L1541">
        <v>3.8</v>
      </c>
      <c r="M1541">
        <v>5.4</v>
      </c>
      <c r="N1541">
        <v>1332</v>
      </c>
      <c r="O1541" t="s">
        <v>64</v>
      </c>
      <c r="P1541">
        <v>29.8</v>
      </c>
      <c r="Q1541" t="s">
        <v>84</v>
      </c>
      <c r="R1541">
        <v>-17.2</v>
      </c>
      <c r="S1541">
        <v>10.1</v>
      </c>
      <c r="T1541">
        <v>-6.5</v>
      </c>
      <c r="U1541">
        <v>2.8</v>
      </c>
      <c r="V1541">
        <v>6.5</v>
      </c>
      <c r="W1541">
        <v>5.6</v>
      </c>
      <c r="X1541" t="s">
        <v>66</v>
      </c>
    </row>
    <row r="1542" spans="2:24" x14ac:dyDescent="0.3">
      <c r="B1542" t="s">
        <v>1635</v>
      </c>
      <c r="C1542" t="s">
        <v>90</v>
      </c>
      <c r="D1542" t="s">
        <v>5</v>
      </c>
      <c r="E1542" t="s">
        <v>19</v>
      </c>
      <c r="F1542" t="s">
        <v>11</v>
      </c>
      <c r="G1542" t="s">
        <v>98</v>
      </c>
      <c r="H1542">
        <v>2026</v>
      </c>
      <c r="I1542">
        <v>5016</v>
      </c>
      <c r="J1542">
        <v>16.8</v>
      </c>
      <c r="K1542" t="s">
        <v>25</v>
      </c>
      <c r="L1542">
        <v>6</v>
      </c>
      <c r="M1542">
        <v>10</v>
      </c>
      <c r="N1542">
        <v>2728</v>
      </c>
      <c r="O1542" t="s">
        <v>64</v>
      </c>
      <c r="P1542">
        <v>61.1</v>
      </c>
      <c r="Q1542" t="s">
        <v>56</v>
      </c>
      <c r="R1542">
        <v>2.1</v>
      </c>
      <c r="S1542">
        <v>2.1</v>
      </c>
      <c r="T1542">
        <v>5.2</v>
      </c>
      <c r="U1542">
        <v>4.7</v>
      </c>
      <c r="V1542">
        <v>4.8</v>
      </c>
      <c r="W1542">
        <v>5.0999999999999996</v>
      </c>
      <c r="X1542" t="s">
        <v>116</v>
      </c>
    </row>
    <row r="1543" spans="2:24" x14ac:dyDescent="0.3">
      <c r="B1543" t="s">
        <v>1636</v>
      </c>
      <c r="C1543" t="s">
        <v>142</v>
      </c>
      <c r="D1543" t="s">
        <v>8</v>
      </c>
      <c r="E1543" t="s">
        <v>19</v>
      </c>
      <c r="F1543" t="s">
        <v>10</v>
      </c>
      <c r="G1543" t="s">
        <v>63</v>
      </c>
      <c r="H1543">
        <v>2026</v>
      </c>
      <c r="I1543">
        <v>1905</v>
      </c>
      <c r="J1543">
        <v>22.3</v>
      </c>
      <c r="K1543" t="s">
        <v>21</v>
      </c>
      <c r="L1543">
        <v>2.6</v>
      </c>
      <c r="M1543">
        <v>8.9</v>
      </c>
      <c r="N1543">
        <v>1614</v>
      </c>
      <c r="O1543" t="s">
        <v>75</v>
      </c>
      <c r="P1543">
        <v>21</v>
      </c>
      <c r="Q1543" t="s">
        <v>86</v>
      </c>
      <c r="R1543">
        <v>-41.7</v>
      </c>
      <c r="S1543">
        <v>22.6</v>
      </c>
      <c r="T1543">
        <v>7.1</v>
      </c>
      <c r="U1543">
        <v>2</v>
      </c>
      <c r="V1543">
        <v>4.2</v>
      </c>
      <c r="W1543">
        <v>4</v>
      </c>
      <c r="X1543" t="s">
        <v>66</v>
      </c>
    </row>
    <row r="1544" spans="2:24" x14ac:dyDescent="0.3">
      <c r="B1544" t="s">
        <v>1637</v>
      </c>
      <c r="C1544" t="s">
        <v>53</v>
      </c>
      <c r="D1544" t="s">
        <v>3</v>
      </c>
      <c r="E1544" t="s">
        <v>15</v>
      </c>
      <c r="F1544" t="s">
        <v>9</v>
      </c>
      <c r="G1544" t="s">
        <v>115</v>
      </c>
      <c r="H1544">
        <v>2025</v>
      </c>
      <c r="I1544">
        <v>347</v>
      </c>
      <c r="J1544">
        <v>7.1</v>
      </c>
      <c r="K1544" t="s">
        <v>21</v>
      </c>
      <c r="L1544">
        <v>1.8</v>
      </c>
      <c r="M1544">
        <v>3.7</v>
      </c>
      <c r="N1544">
        <v>4851</v>
      </c>
      <c r="O1544" t="s">
        <v>55</v>
      </c>
      <c r="P1544">
        <v>11.4</v>
      </c>
      <c r="Q1544" t="s">
        <v>56</v>
      </c>
      <c r="R1544">
        <v>21.8</v>
      </c>
      <c r="S1544">
        <v>-7.1</v>
      </c>
      <c r="T1544">
        <v>-6.5</v>
      </c>
      <c r="U1544">
        <v>2.5</v>
      </c>
      <c r="V1544">
        <v>5.4</v>
      </c>
      <c r="W1544">
        <v>6.8</v>
      </c>
      <c r="X1544" t="s">
        <v>57</v>
      </c>
    </row>
    <row r="1545" spans="2:24" x14ac:dyDescent="0.3">
      <c r="B1545" t="s">
        <v>1638</v>
      </c>
      <c r="C1545" t="s">
        <v>59</v>
      </c>
      <c r="D1545" t="s">
        <v>4</v>
      </c>
      <c r="E1545" t="s">
        <v>17</v>
      </c>
      <c r="F1545" t="s">
        <v>11</v>
      </c>
      <c r="G1545" t="s">
        <v>74</v>
      </c>
      <c r="H1545">
        <v>2025</v>
      </c>
      <c r="I1545">
        <v>1868</v>
      </c>
      <c r="J1545">
        <v>0.8</v>
      </c>
      <c r="K1545" t="s">
        <v>21</v>
      </c>
      <c r="L1545">
        <v>10</v>
      </c>
      <c r="M1545">
        <v>10</v>
      </c>
      <c r="N1545">
        <v>1381</v>
      </c>
      <c r="O1545" t="s">
        <v>55</v>
      </c>
      <c r="P1545">
        <v>11.3</v>
      </c>
      <c r="Q1545" t="s">
        <v>88</v>
      </c>
      <c r="R1545">
        <v>-1.5</v>
      </c>
      <c r="S1545">
        <v>19.3</v>
      </c>
      <c r="T1545">
        <v>3.3</v>
      </c>
      <c r="U1545">
        <v>9</v>
      </c>
      <c r="V1545">
        <v>7.1</v>
      </c>
      <c r="W1545">
        <v>6.8</v>
      </c>
      <c r="X1545" t="s">
        <v>57</v>
      </c>
    </row>
    <row r="1546" spans="2:24" x14ac:dyDescent="0.3">
      <c r="B1546" t="s">
        <v>1639</v>
      </c>
      <c r="C1546" t="s">
        <v>81</v>
      </c>
      <c r="D1546" t="s">
        <v>5</v>
      </c>
      <c r="E1546" t="s">
        <v>15</v>
      </c>
      <c r="F1546" t="s">
        <v>10</v>
      </c>
      <c r="G1546" t="s">
        <v>74</v>
      </c>
      <c r="H1546">
        <v>2026</v>
      </c>
      <c r="I1546">
        <v>2165</v>
      </c>
      <c r="J1546">
        <v>11.1</v>
      </c>
      <c r="K1546" t="s">
        <v>25</v>
      </c>
      <c r="L1546">
        <v>3.6</v>
      </c>
      <c r="M1546">
        <v>6.8</v>
      </c>
      <c r="N1546">
        <v>4459</v>
      </c>
      <c r="O1546" t="s">
        <v>64</v>
      </c>
      <c r="P1546">
        <v>30.2</v>
      </c>
      <c r="Q1546" t="s">
        <v>56</v>
      </c>
      <c r="R1546">
        <v>57.7</v>
      </c>
      <c r="S1546">
        <v>3.5</v>
      </c>
      <c r="T1546">
        <v>-8.5</v>
      </c>
      <c r="U1546">
        <v>4.5999999999999996</v>
      </c>
      <c r="V1546">
        <v>8</v>
      </c>
      <c r="W1546">
        <v>4.7</v>
      </c>
      <c r="X1546" t="s">
        <v>116</v>
      </c>
    </row>
    <row r="1547" spans="2:24" x14ac:dyDescent="0.3">
      <c r="B1547" t="s">
        <v>1640</v>
      </c>
      <c r="C1547" t="s">
        <v>137</v>
      </c>
      <c r="D1547" t="s">
        <v>3</v>
      </c>
      <c r="E1547" t="s">
        <v>15</v>
      </c>
      <c r="F1547" t="s">
        <v>12</v>
      </c>
      <c r="G1547" t="s">
        <v>69</v>
      </c>
      <c r="H1547">
        <v>2026</v>
      </c>
      <c r="I1547">
        <v>4</v>
      </c>
      <c r="J1547">
        <v>5.6</v>
      </c>
      <c r="K1547" t="s">
        <v>22</v>
      </c>
      <c r="L1547">
        <v>6.8</v>
      </c>
      <c r="M1547">
        <v>10</v>
      </c>
      <c r="N1547">
        <v>5384</v>
      </c>
      <c r="O1547" t="s">
        <v>55</v>
      </c>
      <c r="P1547">
        <v>67.900000000000006</v>
      </c>
      <c r="Q1547" t="s">
        <v>88</v>
      </c>
      <c r="R1547">
        <v>72.8</v>
      </c>
      <c r="S1547">
        <v>38.1</v>
      </c>
      <c r="T1547">
        <v>20.399999999999999</v>
      </c>
      <c r="U1547">
        <v>9.6</v>
      </c>
      <c r="V1547">
        <v>8.5</v>
      </c>
      <c r="W1547">
        <v>7.1</v>
      </c>
      <c r="X1547" t="s">
        <v>57</v>
      </c>
    </row>
    <row r="1548" spans="2:24" x14ac:dyDescent="0.3">
      <c r="B1548" t="s">
        <v>1641</v>
      </c>
      <c r="C1548" t="s">
        <v>106</v>
      </c>
      <c r="D1548" t="s">
        <v>8</v>
      </c>
      <c r="E1548" t="s">
        <v>19</v>
      </c>
      <c r="F1548" t="s">
        <v>12</v>
      </c>
      <c r="G1548" t="s">
        <v>101</v>
      </c>
      <c r="H1548">
        <v>2024</v>
      </c>
      <c r="I1548">
        <v>2053</v>
      </c>
      <c r="J1548">
        <v>7.7</v>
      </c>
      <c r="K1548" t="s">
        <v>25</v>
      </c>
      <c r="L1548">
        <v>8.6999999999999993</v>
      </c>
      <c r="M1548">
        <v>8.3000000000000007</v>
      </c>
      <c r="N1548">
        <v>1237</v>
      </c>
      <c r="O1548" t="s">
        <v>55</v>
      </c>
      <c r="P1548">
        <v>22.4</v>
      </c>
      <c r="Q1548" t="s">
        <v>79</v>
      </c>
      <c r="R1548">
        <v>-12.5</v>
      </c>
      <c r="S1548">
        <v>56.3</v>
      </c>
      <c r="T1548">
        <v>25</v>
      </c>
      <c r="U1548">
        <v>5.7</v>
      </c>
      <c r="V1548">
        <v>7.8</v>
      </c>
      <c r="W1548">
        <v>7</v>
      </c>
      <c r="X1548" t="s">
        <v>57</v>
      </c>
    </row>
    <row r="1549" spans="2:24" x14ac:dyDescent="0.3">
      <c r="B1549" t="s">
        <v>1642</v>
      </c>
      <c r="C1549" t="s">
        <v>71</v>
      </c>
      <c r="D1549" t="s">
        <v>5</v>
      </c>
      <c r="E1549" t="s">
        <v>14</v>
      </c>
      <c r="F1549" t="s">
        <v>11</v>
      </c>
      <c r="G1549" t="s">
        <v>131</v>
      </c>
      <c r="H1549">
        <v>2026</v>
      </c>
      <c r="I1549">
        <v>15443</v>
      </c>
      <c r="J1549">
        <v>28.4</v>
      </c>
      <c r="K1549" t="s">
        <v>23</v>
      </c>
      <c r="L1549">
        <v>4.4000000000000004</v>
      </c>
      <c r="M1549">
        <v>7.4</v>
      </c>
      <c r="N1549">
        <v>1963</v>
      </c>
      <c r="O1549" t="s">
        <v>75</v>
      </c>
      <c r="P1549">
        <v>40.9</v>
      </c>
      <c r="Q1549" t="s">
        <v>65</v>
      </c>
      <c r="R1549">
        <v>71.7</v>
      </c>
      <c r="S1549">
        <v>59.9</v>
      </c>
      <c r="T1549">
        <v>21.7</v>
      </c>
      <c r="U1549">
        <v>2.8</v>
      </c>
      <c r="V1549">
        <v>8.4</v>
      </c>
      <c r="W1549">
        <v>5.5</v>
      </c>
      <c r="X1549" t="s">
        <v>66</v>
      </c>
    </row>
    <row r="1550" spans="2:24" x14ac:dyDescent="0.3">
      <c r="B1550" t="s">
        <v>1643</v>
      </c>
      <c r="C1550" t="s">
        <v>137</v>
      </c>
      <c r="D1550" t="s">
        <v>3</v>
      </c>
      <c r="E1550" t="s">
        <v>18</v>
      </c>
      <c r="F1550" t="s">
        <v>11</v>
      </c>
      <c r="G1550" t="s">
        <v>78</v>
      </c>
      <c r="H1550">
        <v>2025</v>
      </c>
      <c r="I1550">
        <v>2359</v>
      </c>
      <c r="J1550">
        <v>16.100000000000001</v>
      </c>
      <c r="K1550" t="s">
        <v>24</v>
      </c>
      <c r="L1550">
        <v>4.4000000000000004</v>
      </c>
      <c r="M1550">
        <v>10</v>
      </c>
      <c r="N1550">
        <v>5213</v>
      </c>
      <c r="O1550" t="s">
        <v>64</v>
      </c>
      <c r="P1550">
        <v>83.9</v>
      </c>
      <c r="Q1550" t="s">
        <v>56</v>
      </c>
      <c r="R1550">
        <v>57</v>
      </c>
      <c r="S1550">
        <v>2.2000000000000002</v>
      </c>
      <c r="T1550">
        <v>-2.6</v>
      </c>
      <c r="U1550">
        <v>7.1</v>
      </c>
      <c r="V1550">
        <v>7.6</v>
      </c>
      <c r="W1550">
        <v>4.4000000000000004</v>
      </c>
      <c r="X1550" t="s">
        <v>116</v>
      </c>
    </row>
    <row r="1551" spans="2:24" x14ac:dyDescent="0.3">
      <c r="B1551" t="s">
        <v>1644</v>
      </c>
      <c r="C1551" t="s">
        <v>59</v>
      </c>
      <c r="D1551" t="s">
        <v>4</v>
      </c>
      <c r="E1551" t="s">
        <v>17</v>
      </c>
      <c r="F1551" t="s">
        <v>9</v>
      </c>
      <c r="G1551" t="s">
        <v>104</v>
      </c>
      <c r="H1551">
        <v>2025</v>
      </c>
      <c r="I1551">
        <v>18227</v>
      </c>
      <c r="J1551">
        <v>21.1</v>
      </c>
      <c r="K1551" t="s">
        <v>25</v>
      </c>
      <c r="L1551">
        <v>11.6</v>
      </c>
      <c r="M1551">
        <v>9.5</v>
      </c>
      <c r="N1551">
        <v>373</v>
      </c>
      <c r="O1551" t="s">
        <v>75</v>
      </c>
      <c r="P1551">
        <v>34.700000000000003</v>
      </c>
      <c r="Q1551" t="s">
        <v>84</v>
      </c>
      <c r="R1551">
        <v>-43.2</v>
      </c>
      <c r="S1551">
        <v>5</v>
      </c>
      <c r="T1551">
        <v>-6.3</v>
      </c>
      <c r="U1551">
        <v>7.5</v>
      </c>
      <c r="V1551">
        <v>3.7</v>
      </c>
      <c r="W1551">
        <v>4.2</v>
      </c>
      <c r="X1551" t="s">
        <v>66</v>
      </c>
    </row>
    <row r="1552" spans="2:24" x14ac:dyDescent="0.3">
      <c r="B1552" t="s">
        <v>1645</v>
      </c>
      <c r="C1552" t="s">
        <v>73</v>
      </c>
      <c r="D1552" t="s">
        <v>2</v>
      </c>
      <c r="E1552" t="s">
        <v>19</v>
      </c>
      <c r="F1552" t="s">
        <v>11</v>
      </c>
      <c r="G1552" t="s">
        <v>63</v>
      </c>
      <c r="H1552">
        <v>2025</v>
      </c>
      <c r="I1552">
        <v>7724</v>
      </c>
      <c r="J1552">
        <v>39.4</v>
      </c>
      <c r="K1552" t="s">
        <v>25</v>
      </c>
      <c r="L1552">
        <v>14.7</v>
      </c>
      <c r="M1552">
        <v>10</v>
      </c>
      <c r="N1552">
        <v>6285</v>
      </c>
      <c r="O1552" t="s">
        <v>55</v>
      </c>
      <c r="P1552">
        <v>76.8</v>
      </c>
      <c r="Q1552" t="s">
        <v>56</v>
      </c>
      <c r="R1552">
        <v>54.9</v>
      </c>
      <c r="S1552">
        <v>-23.3</v>
      </c>
      <c r="T1552">
        <v>-17.399999999999999</v>
      </c>
      <c r="U1552">
        <v>9.9</v>
      </c>
      <c r="V1552">
        <v>2.8</v>
      </c>
      <c r="W1552">
        <v>2.2000000000000002</v>
      </c>
      <c r="X1552" t="s">
        <v>66</v>
      </c>
    </row>
    <row r="1553" spans="2:24" x14ac:dyDescent="0.3">
      <c r="B1553" t="s">
        <v>1646</v>
      </c>
      <c r="C1553" t="s">
        <v>90</v>
      </c>
      <c r="D1553" t="s">
        <v>5</v>
      </c>
      <c r="E1553" t="s">
        <v>15</v>
      </c>
      <c r="F1553" t="s">
        <v>10</v>
      </c>
      <c r="G1553" t="s">
        <v>98</v>
      </c>
      <c r="H1553">
        <v>2024</v>
      </c>
      <c r="I1553">
        <v>11521</v>
      </c>
      <c r="J1553">
        <v>39.299999999999997</v>
      </c>
      <c r="K1553" t="s">
        <v>24</v>
      </c>
      <c r="L1553">
        <v>3.8</v>
      </c>
      <c r="M1553">
        <v>10</v>
      </c>
      <c r="N1553">
        <v>491</v>
      </c>
      <c r="O1553" t="s">
        <v>75</v>
      </c>
      <c r="P1553">
        <v>29.1</v>
      </c>
      <c r="Q1553" t="s">
        <v>56</v>
      </c>
      <c r="R1553">
        <v>16.2</v>
      </c>
      <c r="S1553">
        <v>48.9</v>
      </c>
      <c r="T1553">
        <v>14.2</v>
      </c>
      <c r="U1553">
        <v>2.5</v>
      </c>
      <c r="V1553">
        <v>3.3</v>
      </c>
      <c r="W1553">
        <v>4</v>
      </c>
      <c r="X1553" t="s">
        <v>66</v>
      </c>
    </row>
    <row r="1554" spans="2:24" x14ac:dyDescent="0.3">
      <c r="B1554" t="s">
        <v>1647</v>
      </c>
      <c r="C1554" t="s">
        <v>106</v>
      </c>
      <c r="D1554" t="s">
        <v>7</v>
      </c>
      <c r="E1554" t="s">
        <v>19</v>
      </c>
      <c r="F1554" t="s">
        <v>12</v>
      </c>
      <c r="G1554" t="s">
        <v>101</v>
      </c>
      <c r="H1554">
        <v>2024</v>
      </c>
      <c r="I1554">
        <v>1255</v>
      </c>
      <c r="J1554">
        <v>1.6</v>
      </c>
      <c r="K1554" t="s">
        <v>22</v>
      </c>
      <c r="L1554">
        <v>2.8</v>
      </c>
      <c r="M1554">
        <v>4.7</v>
      </c>
      <c r="N1554">
        <v>5666</v>
      </c>
      <c r="O1554" t="s">
        <v>55</v>
      </c>
      <c r="P1554">
        <v>22.4</v>
      </c>
      <c r="Q1554" t="s">
        <v>86</v>
      </c>
      <c r="R1554">
        <v>10.9</v>
      </c>
      <c r="S1554">
        <v>51.1</v>
      </c>
      <c r="T1554">
        <v>19.2</v>
      </c>
      <c r="U1554">
        <v>2.2000000000000002</v>
      </c>
      <c r="V1554">
        <v>8.5</v>
      </c>
      <c r="W1554">
        <v>9.1999999999999993</v>
      </c>
      <c r="X1554" t="s">
        <v>116</v>
      </c>
    </row>
    <row r="1555" spans="2:24" x14ac:dyDescent="0.3">
      <c r="B1555" t="s">
        <v>1648</v>
      </c>
      <c r="C1555" t="s">
        <v>53</v>
      </c>
      <c r="D1555" t="s">
        <v>3</v>
      </c>
      <c r="E1555" t="s">
        <v>16</v>
      </c>
      <c r="F1555" t="s">
        <v>9</v>
      </c>
      <c r="G1555" t="s">
        <v>78</v>
      </c>
      <c r="H1555">
        <v>2024</v>
      </c>
      <c r="I1555">
        <v>2273</v>
      </c>
      <c r="J1555">
        <v>5.9</v>
      </c>
      <c r="K1555" t="s">
        <v>25</v>
      </c>
      <c r="L1555">
        <v>6.5</v>
      </c>
      <c r="M1555">
        <v>7.2</v>
      </c>
      <c r="N1555">
        <v>5428</v>
      </c>
      <c r="O1555" t="s">
        <v>55</v>
      </c>
      <c r="P1555">
        <v>79.8</v>
      </c>
      <c r="Q1555" t="s">
        <v>84</v>
      </c>
      <c r="R1555">
        <v>66.400000000000006</v>
      </c>
      <c r="S1555">
        <v>-2.7</v>
      </c>
      <c r="T1555">
        <v>0.9</v>
      </c>
      <c r="U1555">
        <v>4.2</v>
      </c>
      <c r="V1555">
        <v>8.1999999999999993</v>
      </c>
      <c r="W1555">
        <v>5.9</v>
      </c>
      <c r="X1555" t="s">
        <v>57</v>
      </c>
    </row>
    <row r="1556" spans="2:24" x14ac:dyDescent="0.3">
      <c r="B1556" t="s">
        <v>1649</v>
      </c>
      <c r="C1556" t="s">
        <v>53</v>
      </c>
      <c r="D1556" t="s">
        <v>4</v>
      </c>
      <c r="E1556" t="s">
        <v>17</v>
      </c>
      <c r="F1556" t="s">
        <v>12</v>
      </c>
      <c r="G1556" t="s">
        <v>54</v>
      </c>
      <c r="H1556">
        <v>2025</v>
      </c>
      <c r="I1556">
        <v>1522</v>
      </c>
      <c r="J1556">
        <v>8.4</v>
      </c>
      <c r="K1556" t="s">
        <v>25</v>
      </c>
      <c r="L1556">
        <v>7.7</v>
      </c>
      <c r="M1556">
        <v>8.3000000000000007</v>
      </c>
      <c r="N1556">
        <v>1705</v>
      </c>
      <c r="O1556" t="s">
        <v>64</v>
      </c>
      <c r="P1556">
        <v>28.6</v>
      </c>
      <c r="Q1556" t="s">
        <v>86</v>
      </c>
      <c r="R1556">
        <v>-23.5</v>
      </c>
      <c r="S1556">
        <v>13.7</v>
      </c>
      <c r="T1556">
        <v>10.3</v>
      </c>
      <c r="U1556">
        <v>9.3000000000000007</v>
      </c>
      <c r="V1556">
        <v>7.6</v>
      </c>
      <c r="W1556">
        <v>5.6</v>
      </c>
      <c r="X1556" t="s">
        <v>116</v>
      </c>
    </row>
    <row r="1557" spans="2:24" x14ac:dyDescent="0.3">
      <c r="B1557" t="s">
        <v>1650</v>
      </c>
      <c r="C1557" t="s">
        <v>71</v>
      </c>
      <c r="D1557" t="s">
        <v>6</v>
      </c>
      <c r="E1557" t="s">
        <v>15</v>
      </c>
      <c r="F1557" t="s">
        <v>11</v>
      </c>
      <c r="G1557" t="s">
        <v>104</v>
      </c>
      <c r="H1557">
        <v>2024</v>
      </c>
      <c r="I1557">
        <v>4515</v>
      </c>
      <c r="J1557">
        <v>19.5</v>
      </c>
      <c r="K1557" t="s">
        <v>21</v>
      </c>
      <c r="L1557">
        <v>2.1</v>
      </c>
      <c r="M1557">
        <v>5.9</v>
      </c>
      <c r="N1557">
        <v>578</v>
      </c>
      <c r="O1557" t="s">
        <v>64</v>
      </c>
      <c r="P1557">
        <v>32.1</v>
      </c>
      <c r="Q1557" t="s">
        <v>88</v>
      </c>
      <c r="R1557">
        <v>6.1</v>
      </c>
      <c r="S1557">
        <v>23.3</v>
      </c>
      <c r="T1557">
        <v>5.6</v>
      </c>
      <c r="U1557">
        <v>1.6</v>
      </c>
      <c r="V1557">
        <v>6.7</v>
      </c>
      <c r="W1557">
        <v>5.0999999999999996</v>
      </c>
      <c r="X1557" t="s">
        <v>66</v>
      </c>
    </row>
    <row r="1558" spans="2:24" x14ac:dyDescent="0.3">
      <c r="B1558" t="s">
        <v>1651</v>
      </c>
      <c r="C1558" t="s">
        <v>142</v>
      </c>
      <c r="D1558" t="s">
        <v>8</v>
      </c>
      <c r="E1558" t="s">
        <v>17</v>
      </c>
      <c r="F1558" t="s">
        <v>9</v>
      </c>
      <c r="G1558" t="s">
        <v>98</v>
      </c>
      <c r="H1558">
        <v>2025</v>
      </c>
      <c r="I1558">
        <v>687</v>
      </c>
      <c r="J1558">
        <v>3.6</v>
      </c>
      <c r="K1558" t="s">
        <v>25</v>
      </c>
      <c r="L1558">
        <v>7.3</v>
      </c>
      <c r="M1558">
        <v>10</v>
      </c>
      <c r="N1558">
        <v>3789</v>
      </c>
      <c r="O1558" t="s">
        <v>55</v>
      </c>
      <c r="P1558">
        <v>48.6</v>
      </c>
      <c r="Q1558" t="s">
        <v>84</v>
      </c>
      <c r="R1558">
        <v>-18.5</v>
      </c>
      <c r="S1558">
        <v>30.7</v>
      </c>
      <c r="T1558">
        <v>16.899999999999999</v>
      </c>
      <c r="U1558">
        <v>9.3000000000000007</v>
      </c>
      <c r="V1558">
        <v>9</v>
      </c>
      <c r="W1558">
        <v>7.4</v>
      </c>
      <c r="X1558" t="s">
        <v>57</v>
      </c>
    </row>
    <row r="1559" spans="2:24" x14ac:dyDescent="0.3">
      <c r="B1559" t="s">
        <v>1652</v>
      </c>
      <c r="C1559" t="s">
        <v>142</v>
      </c>
      <c r="D1559" t="s">
        <v>2</v>
      </c>
      <c r="E1559" t="s">
        <v>16</v>
      </c>
      <c r="F1559" t="s">
        <v>10</v>
      </c>
      <c r="G1559" t="s">
        <v>74</v>
      </c>
      <c r="H1559">
        <v>2026</v>
      </c>
      <c r="I1559">
        <v>2937</v>
      </c>
      <c r="J1559">
        <v>16.7</v>
      </c>
      <c r="K1559" t="s">
        <v>25</v>
      </c>
      <c r="L1559">
        <v>11.6</v>
      </c>
      <c r="M1559">
        <v>10</v>
      </c>
      <c r="N1559">
        <v>6213</v>
      </c>
      <c r="O1559" t="s">
        <v>55</v>
      </c>
      <c r="P1559">
        <v>35.5</v>
      </c>
      <c r="Q1559" t="s">
        <v>76</v>
      </c>
      <c r="R1559">
        <v>29.2</v>
      </c>
      <c r="S1559">
        <v>47</v>
      </c>
      <c r="T1559">
        <v>20.5</v>
      </c>
      <c r="U1559">
        <v>9.6</v>
      </c>
      <c r="V1559">
        <v>6.9</v>
      </c>
      <c r="W1559">
        <v>6.1</v>
      </c>
      <c r="X1559" t="s">
        <v>116</v>
      </c>
    </row>
    <row r="1560" spans="2:24" x14ac:dyDescent="0.3">
      <c r="B1560" t="s">
        <v>1653</v>
      </c>
      <c r="C1560" t="s">
        <v>73</v>
      </c>
      <c r="D1560" t="s">
        <v>2</v>
      </c>
      <c r="E1560" t="s">
        <v>14</v>
      </c>
      <c r="F1560" t="s">
        <v>10</v>
      </c>
      <c r="G1560" t="s">
        <v>115</v>
      </c>
      <c r="H1560">
        <v>2024</v>
      </c>
      <c r="I1560">
        <v>14195</v>
      </c>
      <c r="J1560">
        <v>33.4</v>
      </c>
      <c r="K1560" t="s">
        <v>25</v>
      </c>
      <c r="L1560">
        <v>2.2000000000000002</v>
      </c>
      <c r="M1560">
        <v>7.1</v>
      </c>
      <c r="N1560">
        <v>1286</v>
      </c>
      <c r="O1560" t="s">
        <v>75</v>
      </c>
      <c r="P1560">
        <v>19.5</v>
      </c>
      <c r="Q1560" t="s">
        <v>56</v>
      </c>
      <c r="R1560">
        <v>28</v>
      </c>
      <c r="S1560">
        <v>-1.9</v>
      </c>
      <c r="T1560">
        <v>-12.7</v>
      </c>
      <c r="U1560">
        <v>1.6</v>
      </c>
      <c r="V1560">
        <v>5.7</v>
      </c>
      <c r="W1560">
        <v>3.5</v>
      </c>
      <c r="X1560" t="s">
        <v>66</v>
      </c>
    </row>
    <row r="1561" spans="2:24" x14ac:dyDescent="0.3">
      <c r="B1561" t="s">
        <v>1654</v>
      </c>
      <c r="C1561" t="s">
        <v>94</v>
      </c>
      <c r="D1561" t="s">
        <v>6</v>
      </c>
      <c r="E1561" t="s">
        <v>18</v>
      </c>
      <c r="F1561" t="s">
        <v>12</v>
      </c>
      <c r="G1561" t="s">
        <v>74</v>
      </c>
      <c r="H1561">
        <v>2026</v>
      </c>
      <c r="I1561">
        <v>12463</v>
      </c>
      <c r="J1561">
        <v>30.1</v>
      </c>
      <c r="K1561" t="s">
        <v>21</v>
      </c>
      <c r="L1561">
        <v>6.4</v>
      </c>
      <c r="M1561">
        <v>8.5</v>
      </c>
      <c r="N1561">
        <v>721</v>
      </c>
      <c r="O1561" t="s">
        <v>75</v>
      </c>
      <c r="P1561">
        <v>24.2</v>
      </c>
      <c r="Q1561" t="s">
        <v>56</v>
      </c>
      <c r="R1561">
        <v>-42.3</v>
      </c>
      <c r="S1561">
        <v>0.8</v>
      </c>
      <c r="T1561">
        <v>-14.3</v>
      </c>
      <c r="U1561">
        <v>4.7</v>
      </c>
      <c r="V1561">
        <v>6.2</v>
      </c>
      <c r="W1561">
        <v>4.0999999999999996</v>
      </c>
      <c r="X1561" t="s">
        <v>66</v>
      </c>
    </row>
    <row r="1562" spans="2:24" x14ac:dyDescent="0.3">
      <c r="B1562" t="s">
        <v>1655</v>
      </c>
      <c r="C1562" t="s">
        <v>83</v>
      </c>
      <c r="D1562" t="s">
        <v>4</v>
      </c>
      <c r="E1562" t="s">
        <v>18</v>
      </c>
      <c r="F1562" t="s">
        <v>12</v>
      </c>
      <c r="G1562" t="s">
        <v>78</v>
      </c>
      <c r="H1562">
        <v>2025</v>
      </c>
      <c r="I1562">
        <v>980</v>
      </c>
      <c r="J1562">
        <v>3.3</v>
      </c>
      <c r="K1562" t="s">
        <v>25</v>
      </c>
      <c r="L1562">
        <v>9.6</v>
      </c>
      <c r="M1562">
        <v>10</v>
      </c>
      <c r="N1562">
        <v>3852</v>
      </c>
      <c r="O1562" t="s">
        <v>55</v>
      </c>
      <c r="P1562">
        <v>20.6</v>
      </c>
      <c r="Q1562" t="s">
        <v>79</v>
      </c>
      <c r="R1562">
        <v>-14.7</v>
      </c>
      <c r="S1562">
        <v>-14.3</v>
      </c>
      <c r="T1562">
        <v>-5.3</v>
      </c>
      <c r="U1562">
        <v>9.6999999999999993</v>
      </c>
      <c r="V1562">
        <v>7</v>
      </c>
      <c r="W1562">
        <v>5</v>
      </c>
      <c r="X1562" t="s">
        <v>57</v>
      </c>
    </row>
    <row r="1563" spans="2:24" x14ac:dyDescent="0.3">
      <c r="B1563" t="s">
        <v>1656</v>
      </c>
      <c r="C1563" t="s">
        <v>137</v>
      </c>
      <c r="D1563" t="s">
        <v>3</v>
      </c>
      <c r="E1563" t="s">
        <v>16</v>
      </c>
      <c r="F1563" t="s">
        <v>9</v>
      </c>
      <c r="G1563" t="s">
        <v>54</v>
      </c>
      <c r="H1563">
        <v>2024</v>
      </c>
      <c r="I1563">
        <v>3999</v>
      </c>
      <c r="J1563">
        <v>12.3</v>
      </c>
      <c r="K1563" t="s">
        <v>21</v>
      </c>
      <c r="L1563">
        <v>2.2999999999999998</v>
      </c>
      <c r="M1563">
        <v>6.9</v>
      </c>
      <c r="N1563">
        <v>190</v>
      </c>
      <c r="O1563" t="s">
        <v>75</v>
      </c>
      <c r="P1563">
        <v>41.7</v>
      </c>
      <c r="Q1563" t="s">
        <v>88</v>
      </c>
      <c r="R1563">
        <v>42</v>
      </c>
      <c r="S1563">
        <v>17.100000000000001</v>
      </c>
      <c r="T1563">
        <v>13.8</v>
      </c>
      <c r="U1563">
        <v>2.2999999999999998</v>
      </c>
      <c r="V1563">
        <v>7.3</v>
      </c>
      <c r="W1563">
        <v>6.4</v>
      </c>
      <c r="X1563" t="s">
        <v>66</v>
      </c>
    </row>
    <row r="1564" spans="2:24" x14ac:dyDescent="0.3">
      <c r="B1564" t="s">
        <v>1657</v>
      </c>
      <c r="C1564" t="s">
        <v>106</v>
      </c>
      <c r="D1564" t="s">
        <v>3</v>
      </c>
      <c r="E1564" t="s">
        <v>17</v>
      </c>
      <c r="F1564" t="s">
        <v>9</v>
      </c>
      <c r="G1564" t="s">
        <v>78</v>
      </c>
      <c r="H1564">
        <v>2025</v>
      </c>
      <c r="I1564">
        <v>2437</v>
      </c>
      <c r="J1564">
        <v>3.1</v>
      </c>
      <c r="K1564" t="s">
        <v>23</v>
      </c>
      <c r="L1564">
        <v>11.4</v>
      </c>
      <c r="M1564">
        <v>7.5</v>
      </c>
      <c r="N1564">
        <v>3462</v>
      </c>
      <c r="O1564" t="s">
        <v>55</v>
      </c>
      <c r="P1564">
        <v>62.2</v>
      </c>
      <c r="Q1564" t="s">
        <v>79</v>
      </c>
      <c r="R1564">
        <v>89.7</v>
      </c>
      <c r="S1564">
        <v>-16.100000000000001</v>
      </c>
      <c r="T1564">
        <v>0.9</v>
      </c>
      <c r="U1564">
        <v>8.4</v>
      </c>
      <c r="V1564">
        <v>5.0999999999999996</v>
      </c>
      <c r="W1564">
        <v>5.0999999999999996</v>
      </c>
      <c r="X1564" t="s">
        <v>57</v>
      </c>
    </row>
    <row r="1565" spans="2:24" x14ac:dyDescent="0.3">
      <c r="B1565" t="s">
        <v>1658</v>
      </c>
      <c r="C1565" t="s">
        <v>68</v>
      </c>
      <c r="D1565" t="s">
        <v>8</v>
      </c>
      <c r="E1565" t="s">
        <v>17</v>
      </c>
      <c r="F1565" t="s">
        <v>11</v>
      </c>
      <c r="G1565" t="s">
        <v>115</v>
      </c>
      <c r="H1565">
        <v>2024</v>
      </c>
      <c r="I1565">
        <v>3001</v>
      </c>
      <c r="J1565">
        <v>13.8</v>
      </c>
      <c r="K1565" t="s">
        <v>24</v>
      </c>
      <c r="L1565">
        <v>7.7</v>
      </c>
      <c r="M1565">
        <v>8.5</v>
      </c>
      <c r="N1565">
        <v>1942</v>
      </c>
      <c r="O1565" t="s">
        <v>55</v>
      </c>
      <c r="P1565">
        <v>32.4</v>
      </c>
      <c r="Q1565" t="s">
        <v>76</v>
      </c>
      <c r="R1565">
        <v>-13.4</v>
      </c>
      <c r="S1565">
        <v>28.5</v>
      </c>
      <c r="T1565">
        <v>9.8000000000000007</v>
      </c>
      <c r="U1565">
        <v>6</v>
      </c>
      <c r="V1565">
        <v>6.5</v>
      </c>
      <c r="W1565">
        <v>6.1</v>
      </c>
      <c r="X1565" t="s">
        <v>116</v>
      </c>
    </row>
    <row r="1566" spans="2:24" x14ac:dyDescent="0.3">
      <c r="B1566" t="s">
        <v>1659</v>
      </c>
      <c r="C1566" t="s">
        <v>159</v>
      </c>
      <c r="D1566" t="s">
        <v>2</v>
      </c>
      <c r="E1566" t="s">
        <v>17</v>
      </c>
      <c r="F1566" t="s">
        <v>11</v>
      </c>
      <c r="G1566" t="s">
        <v>69</v>
      </c>
      <c r="H1566">
        <v>2025</v>
      </c>
      <c r="I1566">
        <v>8192</v>
      </c>
      <c r="J1566">
        <v>16.8</v>
      </c>
      <c r="K1566" t="s">
        <v>23</v>
      </c>
      <c r="L1566">
        <v>5.9</v>
      </c>
      <c r="M1566">
        <v>8.9</v>
      </c>
      <c r="N1566">
        <v>9255</v>
      </c>
      <c r="O1566" t="s">
        <v>55</v>
      </c>
      <c r="P1566">
        <v>83.3</v>
      </c>
      <c r="Q1566" t="s">
        <v>56</v>
      </c>
      <c r="R1566">
        <v>49.8</v>
      </c>
      <c r="S1566">
        <v>-14.4</v>
      </c>
      <c r="T1566">
        <v>-6.5</v>
      </c>
      <c r="U1566">
        <v>6.2</v>
      </c>
      <c r="V1566">
        <v>4.4000000000000004</v>
      </c>
      <c r="W1566">
        <v>5</v>
      </c>
      <c r="X1566" t="s">
        <v>66</v>
      </c>
    </row>
    <row r="1567" spans="2:24" x14ac:dyDescent="0.3">
      <c r="B1567" t="s">
        <v>1660</v>
      </c>
      <c r="C1567" t="s">
        <v>90</v>
      </c>
      <c r="D1567" t="s">
        <v>2</v>
      </c>
      <c r="E1567" t="s">
        <v>16</v>
      </c>
      <c r="F1567" t="s">
        <v>12</v>
      </c>
      <c r="G1567" t="s">
        <v>69</v>
      </c>
      <c r="H1567">
        <v>2026</v>
      </c>
      <c r="I1567">
        <v>107</v>
      </c>
      <c r="J1567">
        <v>7.3</v>
      </c>
      <c r="K1567" t="s">
        <v>22</v>
      </c>
      <c r="L1567">
        <v>9.5</v>
      </c>
      <c r="M1567">
        <v>8.6</v>
      </c>
      <c r="N1567">
        <v>1731</v>
      </c>
      <c r="O1567" t="s">
        <v>64</v>
      </c>
      <c r="P1567">
        <v>44.7</v>
      </c>
      <c r="Q1567" t="s">
        <v>76</v>
      </c>
      <c r="R1567">
        <v>-42.9</v>
      </c>
      <c r="S1567">
        <v>20.399999999999999</v>
      </c>
      <c r="T1567">
        <v>4.9000000000000004</v>
      </c>
      <c r="U1567">
        <v>6</v>
      </c>
      <c r="V1567">
        <v>8.8000000000000007</v>
      </c>
      <c r="W1567">
        <v>6.6</v>
      </c>
      <c r="X1567" t="s">
        <v>57</v>
      </c>
    </row>
    <row r="1568" spans="2:24" x14ac:dyDescent="0.3">
      <c r="B1568" t="s">
        <v>1661</v>
      </c>
      <c r="C1568" t="s">
        <v>73</v>
      </c>
      <c r="D1568" t="s">
        <v>3</v>
      </c>
      <c r="E1568" t="s">
        <v>15</v>
      </c>
      <c r="F1568" t="s">
        <v>10</v>
      </c>
      <c r="G1568" t="s">
        <v>63</v>
      </c>
      <c r="H1568">
        <v>2025</v>
      </c>
      <c r="I1568">
        <v>2003</v>
      </c>
      <c r="J1568">
        <v>12.8</v>
      </c>
      <c r="K1568" t="s">
        <v>21</v>
      </c>
      <c r="L1568">
        <v>2.2000000000000002</v>
      </c>
      <c r="M1568">
        <v>3.6</v>
      </c>
      <c r="N1568">
        <v>1424</v>
      </c>
      <c r="O1568" t="s">
        <v>64</v>
      </c>
      <c r="P1568">
        <v>61.6</v>
      </c>
      <c r="Q1568" t="s">
        <v>56</v>
      </c>
      <c r="R1568">
        <v>46.3</v>
      </c>
      <c r="S1568">
        <v>7.7</v>
      </c>
      <c r="T1568">
        <v>-8.1</v>
      </c>
      <c r="U1568">
        <v>1.8</v>
      </c>
      <c r="V1568">
        <v>4.8</v>
      </c>
      <c r="W1568">
        <v>6.3</v>
      </c>
      <c r="X1568" t="s">
        <v>66</v>
      </c>
    </row>
    <row r="1569" spans="2:24" x14ac:dyDescent="0.3">
      <c r="B1569" t="s">
        <v>1662</v>
      </c>
      <c r="C1569" t="s">
        <v>142</v>
      </c>
      <c r="D1569" t="s">
        <v>8</v>
      </c>
      <c r="E1569" t="s">
        <v>15</v>
      </c>
      <c r="F1569" t="s">
        <v>10</v>
      </c>
      <c r="G1569" t="s">
        <v>104</v>
      </c>
      <c r="H1569">
        <v>2025</v>
      </c>
      <c r="I1569">
        <v>16812</v>
      </c>
      <c r="J1569">
        <v>20.3</v>
      </c>
      <c r="K1569" t="s">
        <v>24</v>
      </c>
      <c r="L1569">
        <v>3.2</v>
      </c>
      <c r="M1569">
        <v>7.5</v>
      </c>
      <c r="N1569">
        <v>485</v>
      </c>
      <c r="O1569" t="s">
        <v>64</v>
      </c>
      <c r="P1569">
        <v>65.5</v>
      </c>
      <c r="Q1569" t="s">
        <v>65</v>
      </c>
      <c r="R1569">
        <v>40.200000000000003</v>
      </c>
      <c r="S1569">
        <v>2.7</v>
      </c>
      <c r="T1569">
        <v>3.9</v>
      </c>
      <c r="U1569">
        <v>4.5999999999999996</v>
      </c>
      <c r="V1569">
        <v>6.5</v>
      </c>
      <c r="W1569">
        <v>4.4000000000000004</v>
      </c>
      <c r="X1569" t="s">
        <v>66</v>
      </c>
    </row>
    <row r="1570" spans="2:24" x14ac:dyDescent="0.3">
      <c r="B1570" t="s">
        <v>1663</v>
      </c>
      <c r="C1570" t="s">
        <v>92</v>
      </c>
      <c r="D1570" t="s">
        <v>7</v>
      </c>
      <c r="E1570" t="s">
        <v>16</v>
      </c>
      <c r="F1570" t="s">
        <v>11</v>
      </c>
      <c r="G1570" t="s">
        <v>98</v>
      </c>
      <c r="H1570">
        <v>2024</v>
      </c>
      <c r="I1570">
        <v>1219</v>
      </c>
      <c r="J1570">
        <v>6.2</v>
      </c>
      <c r="K1570" t="s">
        <v>25</v>
      </c>
      <c r="L1570">
        <v>9</v>
      </c>
      <c r="M1570">
        <v>5.2</v>
      </c>
      <c r="N1570">
        <v>3233</v>
      </c>
      <c r="O1570" t="s">
        <v>55</v>
      </c>
      <c r="P1570">
        <v>70.3</v>
      </c>
      <c r="Q1570" t="s">
        <v>65</v>
      </c>
      <c r="R1570">
        <v>67</v>
      </c>
      <c r="S1570">
        <v>12.6</v>
      </c>
      <c r="T1570">
        <v>8.4</v>
      </c>
      <c r="U1570">
        <v>6.6</v>
      </c>
      <c r="V1570">
        <v>5.8</v>
      </c>
      <c r="W1570">
        <v>5.7</v>
      </c>
      <c r="X1570" t="s">
        <v>57</v>
      </c>
    </row>
    <row r="1571" spans="2:24" x14ac:dyDescent="0.3">
      <c r="B1571" t="s">
        <v>1664</v>
      </c>
      <c r="C1571" t="s">
        <v>106</v>
      </c>
      <c r="D1571" t="s">
        <v>8</v>
      </c>
      <c r="E1571" t="s">
        <v>16</v>
      </c>
      <c r="F1571" t="s">
        <v>10</v>
      </c>
      <c r="G1571" t="s">
        <v>54</v>
      </c>
      <c r="H1571">
        <v>2024</v>
      </c>
      <c r="I1571">
        <v>3403</v>
      </c>
      <c r="J1571">
        <v>10.8</v>
      </c>
      <c r="K1571" t="s">
        <v>25</v>
      </c>
      <c r="L1571">
        <v>2.8</v>
      </c>
      <c r="M1571">
        <v>1.4</v>
      </c>
      <c r="N1571">
        <v>3865</v>
      </c>
      <c r="O1571" t="s">
        <v>64</v>
      </c>
      <c r="P1571">
        <v>84.7</v>
      </c>
      <c r="Q1571" t="s">
        <v>84</v>
      </c>
      <c r="R1571">
        <v>43.7</v>
      </c>
      <c r="S1571">
        <v>45.9</v>
      </c>
      <c r="T1571">
        <v>22.8</v>
      </c>
      <c r="U1571">
        <v>2.2999999999999998</v>
      </c>
      <c r="V1571">
        <v>9.3000000000000007</v>
      </c>
      <c r="W1571">
        <v>7.7</v>
      </c>
      <c r="X1571" t="s">
        <v>116</v>
      </c>
    </row>
    <row r="1572" spans="2:24" x14ac:dyDescent="0.3">
      <c r="B1572" t="s">
        <v>1665</v>
      </c>
      <c r="C1572" t="s">
        <v>73</v>
      </c>
      <c r="D1572" t="s">
        <v>3</v>
      </c>
      <c r="E1572" t="s">
        <v>16</v>
      </c>
      <c r="F1572" t="s">
        <v>10</v>
      </c>
      <c r="G1572" t="s">
        <v>54</v>
      </c>
      <c r="H1572">
        <v>2024</v>
      </c>
      <c r="I1572">
        <v>2458</v>
      </c>
      <c r="J1572">
        <v>2.2000000000000002</v>
      </c>
      <c r="K1572" t="s">
        <v>24</v>
      </c>
      <c r="L1572">
        <v>6.5</v>
      </c>
      <c r="M1572">
        <v>5.5</v>
      </c>
      <c r="N1572">
        <v>4266</v>
      </c>
      <c r="O1572" t="s">
        <v>55</v>
      </c>
      <c r="P1572">
        <v>76.400000000000006</v>
      </c>
      <c r="Q1572" t="s">
        <v>88</v>
      </c>
      <c r="R1572">
        <v>81.099999999999994</v>
      </c>
      <c r="S1572">
        <v>2.2000000000000002</v>
      </c>
      <c r="T1572">
        <v>4.3</v>
      </c>
      <c r="U1572">
        <v>5.4</v>
      </c>
      <c r="V1572">
        <v>8.1</v>
      </c>
      <c r="W1572">
        <v>6.9</v>
      </c>
      <c r="X1572" t="s">
        <v>57</v>
      </c>
    </row>
    <row r="1573" spans="2:24" x14ac:dyDescent="0.3">
      <c r="B1573" t="s">
        <v>1666</v>
      </c>
      <c r="C1573" t="s">
        <v>142</v>
      </c>
      <c r="D1573" t="s">
        <v>2</v>
      </c>
      <c r="E1573" t="s">
        <v>19</v>
      </c>
      <c r="F1573" t="s">
        <v>12</v>
      </c>
      <c r="G1573" t="s">
        <v>115</v>
      </c>
      <c r="H1573">
        <v>2026</v>
      </c>
      <c r="I1573">
        <v>2177</v>
      </c>
      <c r="J1573">
        <v>0</v>
      </c>
      <c r="K1573" t="s">
        <v>22</v>
      </c>
      <c r="L1573">
        <v>3.9</v>
      </c>
      <c r="M1573">
        <v>2.4</v>
      </c>
      <c r="N1573">
        <v>8170</v>
      </c>
      <c r="O1573" t="s">
        <v>118</v>
      </c>
      <c r="P1573">
        <v>11.9</v>
      </c>
      <c r="Q1573" t="s">
        <v>56</v>
      </c>
      <c r="R1573">
        <v>-13.2</v>
      </c>
      <c r="S1573">
        <v>45.5</v>
      </c>
      <c r="T1573">
        <v>22.1</v>
      </c>
      <c r="U1573">
        <v>3.3</v>
      </c>
      <c r="V1573">
        <v>8.1</v>
      </c>
      <c r="W1573">
        <v>9.3000000000000007</v>
      </c>
      <c r="X1573" t="s">
        <v>57</v>
      </c>
    </row>
    <row r="1574" spans="2:24" x14ac:dyDescent="0.3">
      <c r="B1574" t="s">
        <v>1667</v>
      </c>
      <c r="C1574" t="s">
        <v>159</v>
      </c>
      <c r="D1574" t="s">
        <v>2</v>
      </c>
      <c r="E1574" t="s">
        <v>17</v>
      </c>
      <c r="F1574" t="s">
        <v>9</v>
      </c>
      <c r="G1574" t="s">
        <v>104</v>
      </c>
      <c r="H1574">
        <v>2025</v>
      </c>
      <c r="I1574">
        <v>750</v>
      </c>
      <c r="J1574">
        <v>8.1</v>
      </c>
      <c r="K1574" t="s">
        <v>22</v>
      </c>
      <c r="L1574">
        <v>5.5</v>
      </c>
      <c r="M1574">
        <v>6.6</v>
      </c>
      <c r="N1574">
        <v>7388</v>
      </c>
      <c r="O1574" t="s">
        <v>55</v>
      </c>
      <c r="P1574">
        <v>89.2</v>
      </c>
      <c r="Q1574" t="s">
        <v>56</v>
      </c>
      <c r="R1574">
        <v>47.4</v>
      </c>
      <c r="S1574">
        <v>43.7</v>
      </c>
      <c r="T1574">
        <v>17</v>
      </c>
      <c r="U1574">
        <v>4.4000000000000004</v>
      </c>
      <c r="V1574">
        <v>5.7</v>
      </c>
      <c r="W1574">
        <v>7.7</v>
      </c>
      <c r="X1574" t="s">
        <v>116</v>
      </c>
    </row>
    <row r="1575" spans="2:24" x14ac:dyDescent="0.3">
      <c r="B1575" t="s">
        <v>1668</v>
      </c>
      <c r="C1575" t="s">
        <v>159</v>
      </c>
      <c r="D1575" t="s">
        <v>2</v>
      </c>
      <c r="E1575" t="s">
        <v>16</v>
      </c>
      <c r="F1575" t="s">
        <v>9</v>
      </c>
      <c r="G1575" t="s">
        <v>78</v>
      </c>
      <c r="H1575">
        <v>2025</v>
      </c>
      <c r="I1575">
        <v>1610</v>
      </c>
      <c r="J1575">
        <v>6.7</v>
      </c>
      <c r="K1575" t="s">
        <v>23</v>
      </c>
      <c r="L1575">
        <v>8.6999999999999993</v>
      </c>
      <c r="M1575">
        <v>9.4</v>
      </c>
      <c r="N1575">
        <v>8827</v>
      </c>
      <c r="O1575" t="s">
        <v>55</v>
      </c>
      <c r="P1575">
        <v>87.9</v>
      </c>
      <c r="Q1575" t="s">
        <v>56</v>
      </c>
      <c r="R1575">
        <v>-26.9</v>
      </c>
      <c r="S1575">
        <v>-17.899999999999999</v>
      </c>
      <c r="T1575">
        <v>-7.5</v>
      </c>
      <c r="U1575">
        <v>5.9</v>
      </c>
      <c r="V1575">
        <v>6.3</v>
      </c>
      <c r="W1575">
        <v>4.8</v>
      </c>
      <c r="X1575" t="s">
        <v>57</v>
      </c>
    </row>
    <row r="1576" spans="2:24" x14ac:dyDescent="0.3">
      <c r="B1576" t="s">
        <v>1669</v>
      </c>
      <c r="C1576" t="s">
        <v>137</v>
      </c>
      <c r="D1576" t="s">
        <v>3</v>
      </c>
      <c r="E1576" t="s">
        <v>14</v>
      </c>
      <c r="F1576" t="s">
        <v>11</v>
      </c>
      <c r="G1576" t="s">
        <v>104</v>
      </c>
      <c r="H1576">
        <v>2026</v>
      </c>
      <c r="I1576">
        <v>6752</v>
      </c>
      <c r="J1576">
        <v>11.8</v>
      </c>
      <c r="K1576" t="s">
        <v>22</v>
      </c>
      <c r="L1576">
        <v>11.2</v>
      </c>
      <c r="M1576">
        <v>9.1999999999999993</v>
      </c>
      <c r="N1576">
        <v>4147</v>
      </c>
      <c r="O1576" t="s">
        <v>55</v>
      </c>
      <c r="P1576">
        <v>72.099999999999994</v>
      </c>
      <c r="Q1576" t="s">
        <v>125</v>
      </c>
      <c r="R1576">
        <v>85.9</v>
      </c>
      <c r="S1576">
        <v>-23.7</v>
      </c>
      <c r="T1576">
        <v>-15.1</v>
      </c>
      <c r="U1576">
        <v>8.8000000000000007</v>
      </c>
      <c r="V1576">
        <v>3.4</v>
      </c>
      <c r="W1576">
        <v>3.3</v>
      </c>
      <c r="X1576" t="s">
        <v>116</v>
      </c>
    </row>
    <row r="1577" spans="2:24" x14ac:dyDescent="0.3">
      <c r="B1577" t="s">
        <v>1670</v>
      </c>
      <c r="C1577" t="s">
        <v>27</v>
      </c>
      <c r="D1577" t="s">
        <v>3</v>
      </c>
      <c r="E1577" t="s">
        <v>14</v>
      </c>
      <c r="F1577" t="s">
        <v>11</v>
      </c>
      <c r="G1577" t="s">
        <v>74</v>
      </c>
      <c r="H1577">
        <v>2024</v>
      </c>
      <c r="I1577">
        <v>1480</v>
      </c>
      <c r="J1577">
        <v>8.6999999999999993</v>
      </c>
      <c r="K1577" t="s">
        <v>22</v>
      </c>
      <c r="L1577">
        <v>10.3</v>
      </c>
      <c r="M1577">
        <v>10</v>
      </c>
      <c r="N1577">
        <v>2870</v>
      </c>
      <c r="O1577" t="s">
        <v>55</v>
      </c>
      <c r="P1577">
        <v>77.5</v>
      </c>
      <c r="Q1577" t="s">
        <v>84</v>
      </c>
      <c r="R1577">
        <v>69.5</v>
      </c>
      <c r="S1577">
        <v>-15.9</v>
      </c>
      <c r="T1577">
        <v>-1.2</v>
      </c>
      <c r="U1577">
        <v>8.8000000000000007</v>
      </c>
      <c r="V1577">
        <v>5.6</v>
      </c>
      <c r="W1577">
        <v>3.8</v>
      </c>
      <c r="X1577" t="s">
        <v>57</v>
      </c>
    </row>
    <row r="1578" spans="2:24" x14ac:dyDescent="0.3">
      <c r="B1578" t="s">
        <v>1671</v>
      </c>
      <c r="C1578" t="s">
        <v>142</v>
      </c>
      <c r="D1578" t="s">
        <v>8</v>
      </c>
      <c r="E1578" t="s">
        <v>17</v>
      </c>
      <c r="F1578" t="s">
        <v>12</v>
      </c>
      <c r="G1578" t="s">
        <v>60</v>
      </c>
      <c r="H1578">
        <v>2024</v>
      </c>
      <c r="I1578">
        <v>4188</v>
      </c>
      <c r="J1578">
        <v>15.2</v>
      </c>
      <c r="K1578" t="s">
        <v>25</v>
      </c>
      <c r="L1578">
        <v>8.5</v>
      </c>
      <c r="M1578">
        <v>10</v>
      </c>
      <c r="N1578">
        <v>5096</v>
      </c>
      <c r="O1578" t="s">
        <v>55</v>
      </c>
      <c r="P1578">
        <v>71.7</v>
      </c>
      <c r="Q1578" t="s">
        <v>84</v>
      </c>
      <c r="R1578">
        <v>8.6999999999999993</v>
      </c>
      <c r="S1578">
        <v>15.4</v>
      </c>
      <c r="T1578">
        <v>0.7</v>
      </c>
      <c r="U1578">
        <v>8.6999999999999993</v>
      </c>
      <c r="V1578">
        <v>4.5</v>
      </c>
      <c r="W1578">
        <v>5.0999999999999996</v>
      </c>
      <c r="X1578" t="s">
        <v>116</v>
      </c>
    </row>
    <row r="1579" spans="2:24" x14ac:dyDescent="0.3">
      <c r="B1579" t="s">
        <v>1672</v>
      </c>
      <c r="C1579" t="s">
        <v>100</v>
      </c>
      <c r="D1579" t="s">
        <v>3</v>
      </c>
      <c r="E1579" t="s">
        <v>16</v>
      </c>
      <c r="F1579" t="s">
        <v>11</v>
      </c>
      <c r="G1579" t="s">
        <v>74</v>
      </c>
      <c r="H1579">
        <v>2025</v>
      </c>
      <c r="I1579">
        <v>5038</v>
      </c>
      <c r="J1579">
        <v>4.2</v>
      </c>
      <c r="K1579" t="s">
        <v>21</v>
      </c>
      <c r="L1579">
        <v>4</v>
      </c>
      <c r="M1579">
        <v>2.2999999999999998</v>
      </c>
      <c r="N1579">
        <v>5649</v>
      </c>
      <c r="O1579" t="s">
        <v>55</v>
      </c>
      <c r="P1579">
        <v>62.3</v>
      </c>
      <c r="Q1579" t="s">
        <v>125</v>
      </c>
      <c r="R1579">
        <v>-31.5</v>
      </c>
      <c r="S1579">
        <v>39.299999999999997</v>
      </c>
      <c r="T1579">
        <v>20.3</v>
      </c>
      <c r="U1579">
        <v>3.8</v>
      </c>
      <c r="V1579">
        <v>8.4</v>
      </c>
      <c r="W1579">
        <v>9.1999999999999993</v>
      </c>
      <c r="X1579" t="s">
        <v>116</v>
      </c>
    </row>
    <row r="1580" spans="2:24" x14ac:dyDescent="0.3">
      <c r="B1580" t="s">
        <v>1673</v>
      </c>
      <c r="C1580" t="s">
        <v>100</v>
      </c>
      <c r="D1580" t="s">
        <v>3</v>
      </c>
      <c r="E1580" t="s">
        <v>19</v>
      </c>
      <c r="F1580" t="s">
        <v>10</v>
      </c>
      <c r="G1580" t="s">
        <v>69</v>
      </c>
      <c r="H1580">
        <v>2026</v>
      </c>
      <c r="I1580">
        <v>3973</v>
      </c>
      <c r="J1580">
        <v>7.7</v>
      </c>
      <c r="K1580" t="s">
        <v>25</v>
      </c>
      <c r="L1580">
        <v>2.8</v>
      </c>
      <c r="M1580">
        <v>3.7</v>
      </c>
      <c r="N1580">
        <v>1906</v>
      </c>
      <c r="O1580" t="s">
        <v>64</v>
      </c>
      <c r="P1580">
        <v>80.3</v>
      </c>
      <c r="Q1580" t="s">
        <v>86</v>
      </c>
      <c r="R1580">
        <v>24.4</v>
      </c>
      <c r="S1580">
        <v>-19.600000000000001</v>
      </c>
      <c r="T1580">
        <v>-8.3000000000000007</v>
      </c>
      <c r="U1580">
        <v>1.7</v>
      </c>
      <c r="V1580">
        <v>4</v>
      </c>
      <c r="W1580">
        <v>5.6</v>
      </c>
      <c r="X1580" t="s">
        <v>116</v>
      </c>
    </row>
    <row r="1581" spans="2:24" x14ac:dyDescent="0.3">
      <c r="B1581" t="s">
        <v>1674</v>
      </c>
      <c r="C1581" t="s">
        <v>139</v>
      </c>
      <c r="D1581" t="s">
        <v>8</v>
      </c>
      <c r="E1581" t="s">
        <v>14</v>
      </c>
      <c r="F1581" t="s">
        <v>12</v>
      </c>
      <c r="G1581" t="s">
        <v>78</v>
      </c>
      <c r="H1581">
        <v>2025</v>
      </c>
      <c r="I1581">
        <v>5828</v>
      </c>
      <c r="J1581">
        <v>16.5</v>
      </c>
      <c r="K1581" t="s">
        <v>23</v>
      </c>
      <c r="L1581">
        <v>3.2</v>
      </c>
      <c r="M1581">
        <v>5</v>
      </c>
      <c r="N1581">
        <v>2725</v>
      </c>
      <c r="O1581" t="s">
        <v>75</v>
      </c>
      <c r="P1581">
        <v>82.3</v>
      </c>
      <c r="Q1581" t="s">
        <v>79</v>
      </c>
      <c r="R1581">
        <v>43.6</v>
      </c>
      <c r="S1581">
        <v>25.8</v>
      </c>
      <c r="T1581">
        <v>7.4</v>
      </c>
      <c r="U1581">
        <v>3.4</v>
      </c>
      <c r="V1581">
        <v>5.0999999999999996</v>
      </c>
      <c r="W1581">
        <v>6.6</v>
      </c>
      <c r="X1581" t="s">
        <v>116</v>
      </c>
    </row>
    <row r="1582" spans="2:24" x14ac:dyDescent="0.3">
      <c r="B1582" t="s">
        <v>1675</v>
      </c>
      <c r="C1582" t="s">
        <v>106</v>
      </c>
      <c r="D1582" t="s">
        <v>8</v>
      </c>
      <c r="E1582" t="s">
        <v>16</v>
      </c>
      <c r="F1582" t="s">
        <v>10</v>
      </c>
      <c r="G1582" t="s">
        <v>98</v>
      </c>
      <c r="H1582">
        <v>2026</v>
      </c>
      <c r="I1582">
        <v>1219</v>
      </c>
      <c r="J1582">
        <v>3.3</v>
      </c>
      <c r="K1582" t="s">
        <v>25</v>
      </c>
      <c r="L1582">
        <v>13.1</v>
      </c>
      <c r="M1582">
        <v>10</v>
      </c>
      <c r="N1582">
        <v>3322</v>
      </c>
      <c r="O1582" t="s">
        <v>55</v>
      </c>
      <c r="P1582">
        <v>28.2</v>
      </c>
      <c r="Q1582" t="s">
        <v>125</v>
      </c>
      <c r="R1582">
        <v>-25.1</v>
      </c>
      <c r="S1582">
        <v>33.1</v>
      </c>
      <c r="T1582">
        <v>11.6</v>
      </c>
      <c r="U1582">
        <v>9.1999999999999993</v>
      </c>
      <c r="V1582">
        <v>8</v>
      </c>
      <c r="W1582">
        <v>6.5</v>
      </c>
      <c r="X1582" t="s">
        <v>57</v>
      </c>
    </row>
    <row r="1583" spans="2:24" x14ac:dyDescent="0.3">
      <c r="B1583" t="s">
        <v>1676</v>
      </c>
      <c r="C1583" t="s">
        <v>53</v>
      </c>
      <c r="D1583" t="s">
        <v>7</v>
      </c>
      <c r="E1583" t="s">
        <v>19</v>
      </c>
      <c r="F1583" t="s">
        <v>12</v>
      </c>
      <c r="G1583" t="s">
        <v>78</v>
      </c>
      <c r="H1583">
        <v>2025</v>
      </c>
      <c r="I1583">
        <v>1611</v>
      </c>
      <c r="J1583">
        <v>9.1999999999999993</v>
      </c>
      <c r="K1583" t="s">
        <v>24</v>
      </c>
      <c r="L1583">
        <v>5.7</v>
      </c>
      <c r="M1583">
        <v>10</v>
      </c>
      <c r="N1583">
        <v>1523</v>
      </c>
      <c r="O1583" t="s">
        <v>64</v>
      </c>
      <c r="P1583">
        <v>13.3</v>
      </c>
      <c r="Q1583" t="s">
        <v>125</v>
      </c>
      <c r="R1583">
        <v>57</v>
      </c>
      <c r="S1583">
        <v>22.6</v>
      </c>
      <c r="T1583">
        <v>5</v>
      </c>
      <c r="U1583">
        <v>8.8000000000000007</v>
      </c>
      <c r="V1583">
        <v>8.8000000000000007</v>
      </c>
      <c r="W1583">
        <v>6</v>
      </c>
      <c r="X1583" t="s">
        <v>116</v>
      </c>
    </row>
    <row r="1584" spans="2:24" x14ac:dyDescent="0.3">
      <c r="B1584" t="s">
        <v>1677</v>
      </c>
      <c r="C1584" t="s">
        <v>27</v>
      </c>
      <c r="D1584" t="s">
        <v>2</v>
      </c>
      <c r="E1584" t="s">
        <v>16</v>
      </c>
      <c r="F1584" t="s">
        <v>9</v>
      </c>
      <c r="G1584" t="s">
        <v>115</v>
      </c>
      <c r="H1584">
        <v>2025</v>
      </c>
      <c r="I1584">
        <v>17356</v>
      </c>
      <c r="J1584">
        <v>24.4</v>
      </c>
      <c r="K1584" t="s">
        <v>22</v>
      </c>
      <c r="L1584">
        <v>3.4</v>
      </c>
      <c r="M1584">
        <v>6.1</v>
      </c>
      <c r="N1584">
        <v>6010</v>
      </c>
      <c r="O1584" t="s">
        <v>64</v>
      </c>
      <c r="P1584">
        <v>11.9</v>
      </c>
      <c r="Q1584" t="s">
        <v>76</v>
      </c>
      <c r="R1584">
        <v>-37.6</v>
      </c>
      <c r="S1584">
        <v>-5.2</v>
      </c>
      <c r="T1584">
        <v>-12.4</v>
      </c>
      <c r="U1584">
        <v>3.1</v>
      </c>
      <c r="V1584">
        <v>4.5999999999999996</v>
      </c>
      <c r="W1584">
        <v>3.7</v>
      </c>
      <c r="X1584" t="s">
        <v>66</v>
      </c>
    </row>
    <row r="1585" spans="2:24" x14ac:dyDescent="0.3">
      <c r="B1585" t="s">
        <v>1678</v>
      </c>
      <c r="C1585" t="s">
        <v>106</v>
      </c>
      <c r="D1585" t="s">
        <v>7</v>
      </c>
      <c r="E1585" t="s">
        <v>17</v>
      </c>
      <c r="F1585" t="s">
        <v>10</v>
      </c>
      <c r="G1585" t="s">
        <v>104</v>
      </c>
      <c r="H1585">
        <v>2025</v>
      </c>
      <c r="I1585">
        <v>1419</v>
      </c>
      <c r="J1585">
        <v>7</v>
      </c>
      <c r="K1585" t="s">
        <v>25</v>
      </c>
      <c r="L1585">
        <v>8.1999999999999993</v>
      </c>
      <c r="M1585">
        <v>4.4000000000000004</v>
      </c>
      <c r="N1585">
        <v>2986</v>
      </c>
      <c r="O1585" t="s">
        <v>55</v>
      </c>
      <c r="P1585">
        <v>66.400000000000006</v>
      </c>
      <c r="Q1585" t="s">
        <v>125</v>
      </c>
      <c r="R1585">
        <v>74.7</v>
      </c>
      <c r="S1585">
        <v>-11.1</v>
      </c>
      <c r="T1585">
        <v>-1.6</v>
      </c>
      <c r="U1585">
        <v>7.4</v>
      </c>
      <c r="V1585">
        <v>5.2</v>
      </c>
      <c r="W1585">
        <v>6.1</v>
      </c>
      <c r="X1585" t="s">
        <v>57</v>
      </c>
    </row>
    <row r="1586" spans="2:24" x14ac:dyDescent="0.3">
      <c r="B1586" t="s">
        <v>1679</v>
      </c>
      <c r="C1586" t="s">
        <v>122</v>
      </c>
      <c r="D1586" t="s">
        <v>2</v>
      </c>
      <c r="E1586" t="s">
        <v>16</v>
      </c>
      <c r="F1586" t="s">
        <v>11</v>
      </c>
      <c r="G1586" t="s">
        <v>54</v>
      </c>
      <c r="H1586">
        <v>2025</v>
      </c>
      <c r="I1586">
        <v>2275</v>
      </c>
      <c r="J1586">
        <v>12.9</v>
      </c>
      <c r="K1586" t="s">
        <v>25</v>
      </c>
      <c r="L1586">
        <v>9.6</v>
      </c>
      <c r="M1586">
        <v>10</v>
      </c>
      <c r="N1586">
        <v>7182</v>
      </c>
      <c r="O1586" t="s">
        <v>55</v>
      </c>
      <c r="P1586">
        <v>36.6</v>
      </c>
      <c r="Q1586" t="s">
        <v>76</v>
      </c>
      <c r="R1586">
        <v>13</v>
      </c>
      <c r="S1586">
        <v>28.8</v>
      </c>
      <c r="T1586">
        <v>6.2</v>
      </c>
      <c r="U1586">
        <v>9.3000000000000007</v>
      </c>
      <c r="V1586">
        <v>7.4</v>
      </c>
      <c r="W1586">
        <v>6.1</v>
      </c>
      <c r="X1586" t="s">
        <v>116</v>
      </c>
    </row>
    <row r="1587" spans="2:24" x14ac:dyDescent="0.3">
      <c r="B1587" t="s">
        <v>1680</v>
      </c>
      <c r="C1587" t="s">
        <v>122</v>
      </c>
      <c r="D1587" t="s">
        <v>2</v>
      </c>
      <c r="E1587" t="s">
        <v>18</v>
      </c>
      <c r="F1587" t="s">
        <v>11</v>
      </c>
      <c r="G1587" t="s">
        <v>63</v>
      </c>
      <c r="H1587">
        <v>2024</v>
      </c>
      <c r="I1587">
        <v>14406</v>
      </c>
      <c r="J1587">
        <v>34.4</v>
      </c>
      <c r="K1587" t="s">
        <v>21</v>
      </c>
      <c r="L1587">
        <v>6.4</v>
      </c>
      <c r="M1587">
        <v>10</v>
      </c>
      <c r="N1587">
        <v>2255</v>
      </c>
      <c r="O1587" t="s">
        <v>64</v>
      </c>
      <c r="P1587">
        <v>18.600000000000001</v>
      </c>
      <c r="Q1587" t="s">
        <v>76</v>
      </c>
      <c r="R1587">
        <v>-42.2</v>
      </c>
      <c r="S1587">
        <v>58.6</v>
      </c>
      <c r="T1587">
        <v>18.600000000000001</v>
      </c>
      <c r="U1587">
        <v>10</v>
      </c>
      <c r="V1587">
        <v>5.2</v>
      </c>
      <c r="W1587">
        <v>4.5</v>
      </c>
      <c r="X1587" t="s">
        <v>66</v>
      </c>
    </row>
    <row r="1588" spans="2:24" x14ac:dyDescent="0.3">
      <c r="B1588" t="s">
        <v>1681</v>
      </c>
      <c r="C1588" t="s">
        <v>73</v>
      </c>
      <c r="D1588" t="s">
        <v>2</v>
      </c>
      <c r="E1588" t="s">
        <v>18</v>
      </c>
      <c r="F1588" t="s">
        <v>9</v>
      </c>
      <c r="G1588" t="s">
        <v>98</v>
      </c>
      <c r="H1588">
        <v>2024</v>
      </c>
      <c r="I1588">
        <v>5610</v>
      </c>
      <c r="J1588">
        <v>36.700000000000003</v>
      </c>
      <c r="K1588" t="s">
        <v>22</v>
      </c>
      <c r="L1588">
        <v>3.2</v>
      </c>
      <c r="M1588">
        <v>7.8</v>
      </c>
      <c r="N1588">
        <v>3821</v>
      </c>
      <c r="O1588" t="s">
        <v>75</v>
      </c>
      <c r="P1588">
        <v>64</v>
      </c>
      <c r="Q1588" t="s">
        <v>56</v>
      </c>
      <c r="R1588">
        <v>26.6</v>
      </c>
      <c r="S1588">
        <v>-12</v>
      </c>
      <c r="T1588">
        <v>-16.3</v>
      </c>
      <c r="U1588">
        <v>3.6</v>
      </c>
      <c r="V1588">
        <v>4.8</v>
      </c>
      <c r="W1588">
        <v>1.9</v>
      </c>
      <c r="X1588" t="s">
        <v>66</v>
      </c>
    </row>
    <row r="1589" spans="2:24" x14ac:dyDescent="0.3">
      <c r="B1589" t="s">
        <v>1682</v>
      </c>
      <c r="C1589" t="s">
        <v>142</v>
      </c>
      <c r="D1589" t="s">
        <v>2</v>
      </c>
      <c r="E1589" t="s">
        <v>16</v>
      </c>
      <c r="F1589" t="s">
        <v>10</v>
      </c>
      <c r="G1589" t="s">
        <v>69</v>
      </c>
      <c r="H1589">
        <v>2025</v>
      </c>
      <c r="I1589">
        <v>6244</v>
      </c>
      <c r="J1589">
        <v>15.9</v>
      </c>
      <c r="K1589" t="s">
        <v>22</v>
      </c>
      <c r="L1589">
        <v>15.1</v>
      </c>
      <c r="M1589">
        <v>10</v>
      </c>
      <c r="N1589">
        <v>1208</v>
      </c>
      <c r="O1589" t="s">
        <v>64</v>
      </c>
      <c r="P1589">
        <v>71.599999999999994</v>
      </c>
      <c r="Q1589" t="s">
        <v>56</v>
      </c>
      <c r="R1589">
        <v>-0.7</v>
      </c>
      <c r="S1589">
        <v>-20.6</v>
      </c>
      <c r="T1589">
        <v>-2.6</v>
      </c>
      <c r="U1589">
        <v>9.3000000000000007</v>
      </c>
      <c r="V1589">
        <v>6.8</v>
      </c>
      <c r="W1589">
        <v>3.6</v>
      </c>
      <c r="X1589" t="s">
        <v>116</v>
      </c>
    </row>
    <row r="1590" spans="2:24" x14ac:dyDescent="0.3">
      <c r="B1590" t="s">
        <v>1683</v>
      </c>
      <c r="C1590" t="s">
        <v>27</v>
      </c>
      <c r="D1590" t="s">
        <v>3</v>
      </c>
      <c r="E1590" t="s">
        <v>19</v>
      </c>
      <c r="F1590" t="s">
        <v>12</v>
      </c>
      <c r="G1590" t="s">
        <v>112</v>
      </c>
      <c r="H1590">
        <v>2026</v>
      </c>
      <c r="I1590">
        <v>14186</v>
      </c>
      <c r="J1590">
        <v>34.5</v>
      </c>
      <c r="K1590" t="s">
        <v>22</v>
      </c>
      <c r="L1590">
        <v>2.5</v>
      </c>
      <c r="M1590">
        <v>10</v>
      </c>
      <c r="N1590">
        <v>1975</v>
      </c>
      <c r="O1590" t="s">
        <v>75</v>
      </c>
      <c r="P1590">
        <v>75.400000000000006</v>
      </c>
      <c r="Q1590" t="s">
        <v>86</v>
      </c>
      <c r="R1590">
        <v>-18.2</v>
      </c>
      <c r="S1590">
        <v>7.5</v>
      </c>
      <c r="T1590">
        <v>-14.3</v>
      </c>
      <c r="U1590">
        <v>3.3</v>
      </c>
      <c r="V1590">
        <v>5</v>
      </c>
      <c r="W1590">
        <v>3.5</v>
      </c>
      <c r="X1590" t="s">
        <v>66</v>
      </c>
    </row>
    <row r="1591" spans="2:24" x14ac:dyDescent="0.3">
      <c r="B1591" t="s">
        <v>1684</v>
      </c>
      <c r="C1591" t="s">
        <v>106</v>
      </c>
      <c r="D1591" t="s">
        <v>2</v>
      </c>
      <c r="E1591" t="s">
        <v>18</v>
      </c>
      <c r="F1591" t="s">
        <v>10</v>
      </c>
      <c r="G1591" t="s">
        <v>101</v>
      </c>
      <c r="H1591">
        <v>2026</v>
      </c>
      <c r="I1591">
        <v>12212</v>
      </c>
      <c r="J1591">
        <v>35.700000000000003</v>
      </c>
      <c r="K1591" t="s">
        <v>21</v>
      </c>
      <c r="L1591">
        <v>5.7</v>
      </c>
      <c r="M1591">
        <v>10</v>
      </c>
      <c r="N1591">
        <v>9534</v>
      </c>
      <c r="O1591" t="s">
        <v>55</v>
      </c>
      <c r="P1591">
        <v>89.9</v>
      </c>
      <c r="Q1591" t="s">
        <v>56</v>
      </c>
      <c r="R1591">
        <v>70.3</v>
      </c>
      <c r="S1591">
        <v>17.8</v>
      </c>
      <c r="T1591">
        <v>-1</v>
      </c>
      <c r="U1591">
        <v>4.9000000000000004</v>
      </c>
      <c r="V1591">
        <v>6.4</v>
      </c>
      <c r="W1591">
        <v>2.6</v>
      </c>
      <c r="X1591" t="s">
        <v>66</v>
      </c>
    </row>
    <row r="1592" spans="2:24" x14ac:dyDescent="0.3">
      <c r="B1592" t="s">
        <v>1685</v>
      </c>
      <c r="C1592" t="s">
        <v>97</v>
      </c>
      <c r="D1592" t="s">
        <v>3</v>
      </c>
      <c r="E1592" t="s">
        <v>17</v>
      </c>
      <c r="F1592" t="s">
        <v>11</v>
      </c>
      <c r="G1592" t="s">
        <v>78</v>
      </c>
      <c r="H1592">
        <v>2025</v>
      </c>
      <c r="I1592">
        <v>15181</v>
      </c>
      <c r="J1592">
        <v>32.4</v>
      </c>
      <c r="K1592" t="s">
        <v>22</v>
      </c>
      <c r="L1592">
        <v>7</v>
      </c>
      <c r="M1592">
        <v>10</v>
      </c>
      <c r="N1592">
        <v>758</v>
      </c>
      <c r="O1592" t="s">
        <v>75</v>
      </c>
      <c r="P1592">
        <v>15.8</v>
      </c>
      <c r="Q1592" t="s">
        <v>76</v>
      </c>
      <c r="R1592">
        <v>-0.7</v>
      </c>
      <c r="S1592">
        <v>25.2</v>
      </c>
      <c r="T1592">
        <v>7.1</v>
      </c>
      <c r="U1592">
        <v>5.4</v>
      </c>
      <c r="V1592">
        <v>3.7</v>
      </c>
      <c r="W1592">
        <v>4</v>
      </c>
      <c r="X1592" t="s">
        <v>66</v>
      </c>
    </row>
    <row r="1593" spans="2:24" x14ac:dyDescent="0.3">
      <c r="B1593" t="s">
        <v>1686</v>
      </c>
      <c r="C1593" t="s">
        <v>90</v>
      </c>
      <c r="D1593" t="s">
        <v>3</v>
      </c>
      <c r="E1593" t="s">
        <v>19</v>
      </c>
      <c r="F1593" t="s">
        <v>12</v>
      </c>
      <c r="G1593" t="s">
        <v>98</v>
      </c>
      <c r="H1593">
        <v>2025</v>
      </c>
      <c r="I1593">
        <v>6158</v>
      </c>
      <c r="J1593">
        <v>16.2</v>
      </c>
      <c r="K1593" t="s">
        <v>24</v>
      </c>
      <c r="L1593">
        <v>4.5999999999999996</v>
      </c>
      <c r="M1593">
        <v>9.4</v>
      </c>
      <c r="N1593">
        <v>5972</v>
      </c>
      <c r="O1593" t="s">
        <v>64</v>
      </c>
      <c r="P1593">
        <v>79.400000000000006</v>
      </c>
      <c r="Q1593" t="s">
        <v>88</v>
      </c>
      <c r="R1593">
        <v>39.4</v>
      </c>
      <c r="S1593">
        <v>-20.3</v>
      </c>
      <c r="T1593">
        <v>-14.4</v>
      </c>
      <c r="U1593">
        <v>4.5999999999999996</v>
      </c>
      <c r="V1593">
        <v>4.5999999999999996</v>
      </c>
      <c r="W1593">
        <v>3.1</v>
      </c>
      <c r="X1593" t="s">
        <v>116</v>
      </c>
    </row>
    <row r="1594" spans="2:24" x14ac:dyDescent="0.3">
      <c r="B1594" t="s">
        <v>1687</v>
      </c>
      <c r="C1594" t="s">
        <v>90</v>
      </c>
      <c r="D1594" t="s">
        <v>2</v>
      </c>
      <c r="E1594" t="s">
        <v>18</v>
      </c>
      <c r="F1594" t="s">
        <v>10</v>
      </c>
      <c r="G1594" t="s">
        <v>60</v>
      </c>
      <c r="H1594">
        <v>2025</v>
      </c>
      <c r="I1594">
        <v>1035</v>
      </c>
      <c r="J1594">
        <v>1.6</v>
      </c>
      <c r="K1594" t="s">
        <v>22</v>
      </c>
      <c r="L1594">
        <v>7.3</v>
      </c>
      <c r="M1594">
        <v>3.6</v>
      </c>
      <c r="N1594">
        <v>5367</v>
      </c>
      <c r="O1594" t="s">
        <v>55</v>
      </c>
      <c r="P1594">
        <v>71.099999999999994</v>
      </c>
      <c r="Q1594" t="s">
        <v>56</v>
      </c>
      <c r="R1594">
        <v>1.5</v>
      </c>
      <c r="S1594">
        <v>-8.5</v>
      </c>
      <c r="T1594">
        <v>1.5</v>
      </c>
      <c r="U1594">
        <v>4.9000000000000004</v>
      </c>
      <c r="V1594">
        <v>5.2</v>
      </c>
      <c r="W1594">
        <v>7.4</v>
      </c>
      <c r="X1594" t="s">
        <v>57</v>
      </c>
    </row>
    <row r="1595" spans="2:24" x14ac:dyDescent="0.3">
      <c r="B1595" t="s">
        <v>1688</v>
      </c>
      <c r="C1595" t="s">
        <v>53</v>
      </c>
      <c r="D1595" t="s">
        <v>2</v>
      </c>
      <c r="E1595" t="s">
        <v>18</v>
      </c>
      <c r="F1595" t="s">
        <v>12</v>
      </c>
      <c r="G1595" t="s">
        <v>78</v>
      </c>
      <c r="H1595">
        <v>2025</v>
      </c>
      <c r="I1595">
        <v>1532</v>
      </c>
      <c r="J1595">
        <v>5</v>
      </c>
      <c r="K1595" t="s">
        <v>24</v>
      </c>
      <c r="L1595">
        <v>7.3</v>
      </c>
      <c r="M1595">
        <v>10</v>
      </c>
      <c r="N1595">
        <v>4384</v>
      </c>
      <c r="O1595" t="s">
        <v>118</v>
      </c>
      <c r="P1595">
        <v>10.5</v>
      </c>
      <c r="Q1595" t="s">
        <v>56</v>
      </c>
      <c r="R1595">
        <v>36.1</v>
      </c>
      <c r="S1595">
        <v>17.8</v>
      </c>
      <c r="T1595">
        <v>9.3000000000000007</v>
      </c>
      <c r="U1595">
        <v>9.1999999999999993</v>
      </c>
      <c r="V1595">
        <v>7.1</v>
      </c>
      <c r="W1595">
        <v>5.8</v>
      </c>
      <c r="X1595" t="s">
        <v>57</v>
      </c>
    </row>
    <row r="1596" spans="2:24" x14ac:dyDescent="0.3">
      <c r="B1596" t="s">
        <v>1689</v>
      </c>
      <c r="C1596" t="s">
        <v>53</v>
      </c>
      <c r="D1596" t="s">
        <v>2</v>
      </c>
      <c r="E1596" t="s">
        <v>15</v>
      </c>
      <c r="F1596" t="s">
        <v>12</v>
      </c>
      <c r="G1596" t="s">
        <v>69</v>
      </c>
      <c r="H1596">
        <v>2024</v>
      </c>
      <c r="I1596">
        <v>6835</v>
      </c>
      <c r="J1596">
        <v>39.4</v>
      </c>
      <c r="K1596" t="s">
        <v>25</v>
      </c>
      <c r="L1596">
        <v>10.4</v>
      </c>
      <c r="M1596">
        <v>10</v>
      </c>
      <c r="N1596">
        <v>9280</v>
      </c>
      <c r="O1596" t="s">
        <v>64</v>
      </c>
      <c r="P1596">
        <v>89.4</v>
      </c>
      <c r="Q1596" t="s">
        <v>76</v>
      </c>
      <c r="R1596">
        <v>76.8</v>
      </c>
      <c r="S1596">
        <v>11.5</v>
      </c>
      <c r="T1596">
        <v>0.2</v>
      </c>
      <c r="U1596">
        <v>6.2</v>
      </c>
      <c r="V1596">
        <v>5.8</v>
      </c>
      <c r="W1596">
        <v>2.6</v>
      </c>
      <c r="X1596" t="s">
        <v>66</v>
      </c>
    </row>
    <row r="1597" spans="2:24" x14ac:dyDescent="0.3">
      <c r="B1597" t="s">
        <v>1690</v>
      </c>
      <c r="C1597" t="s">
        <v>71</v>
      </c>
      <c r="D1597" t="s">
        <v>5</v>
      </c>
      <c r="E1597" t="s">
        <v>19</v>
      </c>
      <c r="F1597" t="s">
        <v>11</v>
      </c>
      <c r="G1597" t="s">
        <v>115</v>
      </c>
      <c r="H1597">
        <v>2024</v>
      </c>
      <c r="I1597">
        <v>1908</v>
      </c>
      <c r="J1597">
        <v>9.4</v>
      </c>
      <c r="K1597" t="s">
        <v>25</v>
      </c>
      <c r="L1597">
        <v>2.7</v>
      </c>
      <c r="M1597">
        <v>2.2999999999999998</v>
      </c>
      <c r="N1597">
        <v>1858</v>
      </c>
      <c r="O1597" t="s">
        <v>64</v>
      </c>
      <c r="P1597">
        <v>46.8</v>
      </c>
      <c r="Q1597" t="s">
        <v>88</v>
      </c>
      <c r="R1597">
        <v>16.8</v>
      </c>
      <c r="S1597">
        <v>-16.8</v>
      </c>
      <c r="T1597">
        <v>0.2</v>
      </c>
      <c r="U1597">
        <v>3.4</v>
      </c>
      <c r="V1597">
        <v>6.9</v>
      </c>
      <c r="W1597">
        <v>6</v>
      </c>
      <c r="X1597" t="s">
        <v>57</v>
      </c>
    </row>
    <row r="1598" spans="2:24" x14ac:dyDescent="0.3">
      <c r="B1598" t="s">
        <v>1691</v>
      </c>
      <c r="C1598" t="s">
        <v>106</v>
      </c>
      <c r="D1598" t="s">
        <v>7</v>
      </c>
      <c r="E1598" t="s">
        <v>14</v>
      </c>
      <c r="F1598" t="s">
        <v>12</v>
      </c>
      <c r="G1598" t="s">
        <v>78</v>
      </c>
      <c r="H1598">
        <v>2024</v>
      </c>
      <c r="I1598">
        <v>2460</v>
      </c>
      <c r="J1598">
        <v>1.2</v>
      </c>
      <c r="K1598" t="s">
        <v>22</v>
      </c>
      <c r="L1598">
        <v>10</v>
      </c>
      <c r="M1598">
        <v>6.5</v>
      </c>
      <c r="N1598">
        <v>2266</v>
      </c>
      <c r="O1598" t="s">
        <v>55</v>
      </c>
      <c r="P1598">
        <v>71.099999999999994</v>
      </c>
      <c r="Q1598" t="s">
        <v>86</v>
      </c>
      <c r="R1598">
        <v>63.7</v>
      </c>
      <c r="S1598">
        <v>-17.5</v>
      </c>
      <c r="T1598">
        <v>-11.8</v>
      </c>
      <c r="U1598">
        <v>7.8</v>
      </c>
      <c r="V1598">
        <v>6.7</v>
      </c>
      <c r="W1598">
        <v>6.9</v>
      </c>
      <c r="X1598" t="s">
        <v>57</v>
      </c>
    </row>
    <row r="1599" spans="2:24" x14ac:dyDescent="0.3">
      <c r="B1599" t="s">
        <v>1692</v>
      </c>
      <c r="C1599" t="s">
        <v>90</v>
      </c>
      <c r="D1599" t="s">
        <v>2</v>
      </c>
      <c r="E1599" t="s">
        <v>19</v>
      </c>
      <c r="F1599" t="s">
        <v>10</v>
      </c>
      <c r="G1599" t="s">
        <v>104</v>
      </c>
      <c r="H1599">
        <v>2026</v>
      </c>
      <c r="I1599">
        <v>1862</v>
      </c>
      <c r="J1599">
        <v>8.1999999999999993</v>
      </c>
      <c r="K1599" t="s">
        <v>24</v>
      </c>
      <c r="L1599">
        <v>9.1999999999999993</v>
      </c>
      <c r="M1599">
        <v>6.3</v>
      </c>
      <c r="N1599">
        <v>5181</v>
      </c>
      <c r="O1599" t="s">
        <v>55</v>
      </c>
      <c r="P1599">
        <v>27.4</v>
      </c>
      <c r="Q1599" t="s">
        <v>56</v>
      </c>
      <c r="R1599">
        <v>43.8</v>
      </c>
      <c r="S1599">
        <v>-15.1</v>
      </c>
      <c r="T1599">
        <v>3.4</v>
      </c>
      <c r="U1599">
        <v>5.9</v>
      </c>
      <c r="V1599">
        <v>6</v>
      </c>
      <c r="W1599">
        <v>5.4</v>
      </c>
      <c r="X1599" t="s">
        <v>57</v>
      </c>
    </row>
    <row r="1600" spans="2:24" x14ac:dyDescent="0.3">
      <c r="B1600" t="s">
        <v>1693</v>
      </c>
      <c r="C1600" t="s">
        <v>97</v>
      </c>
      <c r="D1600" t="s">
        <v>3</v>
      </c>
      <c r="E1600" t="s">
        <v>18</v>
      </c>
      <c r="F1600" t="s">
        <v>11</v>
      </c>
      <c r="G1600" t="s">
        <v>115</v>
      </c>
      <c r="H1600">
        <v>2025</v>
      </c>
      <c r="I1600">
        <v>673</v>
      </c>
      <c r="J1600">
        <v>2.2999999999999998</v>
      </c>
      <c r="K1600" t="s">
        <v>23</v>
      </c>
      <c r="L1600">
        <v>6.1</v>
      </c>
      <c r="M1600">
        <v>7.3</v>
      </c>
      <c r="N1600">
        <v>2650</v>
      </c>
      <c r="O1600" t="s">
        <v>64</v>
      </c>
      <c r="P1600">
        <v>45.8</v>
      </c>
      <c r="Q1600" t="s">
        <v>65</v>
      </c>
      <c r="R1600">
        <v>22.4</v>
      </c>
      <c r="S1600">
        <v>-6.2</v>
      </c>
      <c r="T1600">
        <v>-11</v>
      </c>
      <c r="U1600">
        <v>4.3</v>
      </c>
      <c r="V1600">
        <v>6</v>
      </c>
      <c r="W1600">
        <v>5.2</v>
      </c>
      <c r="X1600" t="s">
        <v>57</v>
      </c>
    </row>
    <row r="1601" spans="2:24" x14ac:dyDescent="0.3">
      <c r="B1601" t="s">
        <v>1694</v>
      </c>
      <c r="C1601" t="s">
        <v>122</v>
      </c>
      <c r="D1601" t="s">
        <v>2</v>
      </c>
      <c r="E1601" t="s">
        <v>14</v>
      </c>
      <c r="F1601" t="s">
        <v>11</v>
      </c>
      <c r="G1601" t="s">
        <v>131</v>
      </c>
      <c r="H1601">
        <v>2026</v>
      </c>
      <c r="I1601">
        <v>5500</v>
      </c>
      <c r="J1601">
        <v>3.1</v>
      </c>
      <c r="K1601" t="s">
        <v>24</v>
      </c>
      <c r="L1601">
        <v>8.3000000000000007</v>
      </c>
      <c r="M1601">
        <v>10</v>
      </c>
      <c r="N1601">
        <v>6382</v>
      </c>
      <c r="O1601" t="s">
        <v>55</v>
      </c>
      <c r="P1601">
        <v>50.6</v>
      </c>
      <c r="Q1601" t="s">
        <v>56</v>
      </c>
      <c r="R1601">
        <v>3.8</v>
      </c>
      <c r="S1601">
        <v>39.299999999999997</v>
      </c>
      <c r="T1601">
        <v>23.3</v>
      </c>
      <c r="U1601">
        <v>9.6999999999999993</v>
      </c>
      <c r="V1601">
        <v>7.7</v>
      </c>
      <c r="W1601">
        <v>6</v>
      </c>
      <c r="X1601" t="s">
        <v>116</v>
      </c>
    </row>
    <row r="1602" spans="2:24" x14ac:dyDescent="0.3">
      <c r="B1602" t="s">
        <v>1695</v>
      </c>
      <c r="C1602" t="s">
        <v>137</v>
      </c>
      <c r="D1602" t="s">
        <v>4</v>
      </c>
      <c r="E1602" t="s">
        <v>15</v>
      </c>
      <c r="F1602" t="s">
        <v>12</v>
      </c>
      <c r="G1602" t="s">
        <v>131</v>
      </c>
      <c r="H1602">
        <v>2025</v>
      </c>
      <c r="I1602">
        <v>1857</v>
      </c>
      <c r="J1602">
        <v>9.3000000000000007</v>
      </c>
      <c r="K1602" t="s">
        <v>21</v>
      </c>
      <c r="L1602">
        <v>3.3</v>
      </c>
      <c r="M1602">
        <v>7.1</v>
      </c>
      <c r="N1602">
        <v>967</v>
      </c>
      <c r="O1602" t="s">
        <v>64</v>
      </c>
      <c r="P1602">
        <v>81.7</v>
      </c>
      <c r="Q1602" t="s">
        <v>88</v>
      </c>
      <c r="R1602">
        <v>-1.1000000000000001</v>
      </c>
      <c r="S1602">
        <v>-2.9</v>
      </c>
      <c r="T1602">
        <v>-3.1</v>
      </c>
      <c r="U1602">
        <v>4.0999999999999996</v>
      </c>
      <c r="V1602">
        <v>6.4</v>
      </c>
      <c r="W1602">
        <v>5.9</v>
      </c>
      <c r="X1602" t="s">
        <v>57</v>
      </c>
    </row>
    <row r="1603" spans="2:24" x14ac:dyDescent="0.3">
      <c r="B1603" t="s">
        <v>1696</v>
      </c>
      <c r="C1603" t="s">
        <v>106</v>
      </c>
      <c r="D1603" t="s">
        <v>7</v>
      </c>
      <c r="E1603" t="s">
        <v>17</v>
      </c>
      <c r="F1603" t="s">
        <v>10</v>
      </c>
      <c r="G1603" t="s">
        <v>131</v>
      </c>
      <c r="H1603">
        <v>2026</v>
      </c>
      <c r="I1603">
        <v>1835</v>
      </c>
      <c r="J1603">
        <v>14.9</v>
      </c>
      <c r="K1603" t="s">
        <v>21</v>
      </c>
      <c r="L1603">
        <v>15</v>
      </c>
      <c r="M1603">
        <v>10</v>
      </c>
      <c r="N1603">
        <v>3868</v>
      </c>
      <c r="O1603" t="s">
        <v>64</v>
      </c>
      <c r="P1603">
        <v>54.1</v>
      </c>
      <c r="Q1603" t="s">
        <v>88</v>
      </c>
      <c r="R1603">
        <v>68.7</v>
      </c>
      <c r="S1603">
        <v>-15.9</v>
      </c>
      <c r="T1603">
        <v>-14.5</v>
      </c>
      <c r="U1603">
        <v>8.9</v>
      </c>
      <c r="V1603">
        <v>7.1</v>
      </c>
      <c r="W1603">
        <v>4.8</v>
      </c>
      <c r="X1603" t="s">
        <v>116</v>
      </c>
    </row>
    <row r="1604" spans="2:24" x14ac:dyDescent="0.3">
      <c r="B1604" t="s">
        <v>1697</v>
      </c>
      <c r="C1604" t="s">
        <v>90</v>
      </c>
      <c r="D1604" t="s">
        <v>5</v>
      </c>
      <c r="E1604" t="s">
        <v>19</v>
      </c>
      <c r="F1604" t="s">
        <v>10</v>
      </c>
      <c r="G1604" t="s">
        <v>104</v>
      </c>
      <c r="H1604">
        <v>2026</v>
      </c>
      <c r="I1604">
        <v>1801</v>
      </c>
      <c r="J1604">
        <v>8.6</v>
      </c>
      <c r="K1604" t="s">
        <v>22</v>
      </c>
      <c r="L1604">
        <v>3.1</v>
      </c>
      <c r="M1604">
        <v>7</v>
      </c>
      <c r="N1604">
        <v>1189</v>
      </c>
      <c r="O1604" t="s">
        <v>64</v>
      </c>
      <c r="P1604">
        <v>51.7</v>
      </c>
      <c r="Q1604" t="s">
        <v>56</v>
      </c>
      <c r="R1604">
        <v>6.4</v>
      </c>
      <c r="S1604">
        <v>-7.5</v>
      </c>
      <c r="T1604">
        <v>-10.7</v>
      </c>
      <c r="U1604">
        <v>4.2</v>
      </c>
      <c r="V1604">
        <v>5.2</v>
      </c>
      <c r="W1604">
        <v>5.8</v>
      </c>
      <c r="X1604" t="s">
        <v>57</v>
      </c>
    </row>
    <row r="1605" spans="2:24" x14ac:dyDescent="0.3">
      <c r="B1605" t="s">
        <v>1698</v>
      </c>
      <c r="C1605" t="s">
        <v>73</v>
      </c>
      <c r="D1605" t="s">
        <v>2</v>
      </c>
      <c r="E1605" t="s">
        <v>15</v>
      </c>
      <c r="F1605" t="s">
        <v>9</v>
      </c>
      <c r="G1605" t="s">
        <v>98</v>
      </c>
      <c r="H1605">
        <v>2026</v>
      </c>
      <c r="I1605">
        <v>1309</v>
      </c>
      <c r="J1605">
        <v>1.5</v>
      </c>
      <c r="K1605" t="s">
        <v>21</v>
      </c>
      <c r="L1605">
        <v>8.4</v>
      </c>
      <c r="M1605">
        <v>6.6</v>
      </c>
      <c r="N1605">
        <v>4295</v>
      </c>
      <c r="O1605" t="s">
        <v>118</v>
      </c>
      <c r="P1605">
        <v>70.2</v>
      </c>
      <c r="Q1605" t="s">
        <v>56</v>
      </c>
      <c r="R1605">
        <v>5.4</v>
      </c>
      <c r="S1605">
        <v>-25</v>
      </c>
      <c r="T1605">
        <v>-8</v>
      </c>
      <c r="U1605">
        <v>5.8</v>
      </c>
      <c r="V1605">
        <v>7.7</v>
      </c>
      <c r="W1605">
        <v>6.1</v>
      </c>
      <c r="X1605" t="s">
        <v>57</v>
      </c>
    </row>
    <row r="1606" spans="2:24" x14ac:dyDescent="0.3">
      <c r="B1606" t="s">
        <v>1699</v>
      </c>
      <c r="C1606" t="s">
        <v>106</v>
      </c>
      <c r="D1606" t="s">
        <v>3</v>
      </c>
      <c r="E1606" t="s">
        <v>16</v>
      </c>
      <c r="F1606" t="s">
        <v>12</v>
      </c>
      <c r="G1606" t="s">
        <v>112</v>
      </c>
      <c r="H1606">
        <v>2026</v>
      </c>
      <c r="I1606">
        <v>902</v>
      </c>
      <c r="J1606">
        <v>6.6</v>
      </c>
      <c r="K1606" t="s">
        <v>21</v>
      </c>
      <c r="L1606">
        <v>8.3000000000000007</v>
      </c>
      <c r="M1606">
        <v>5</v>
      </c>
      <c r="N1606">
        <v>359</v>
      </c>
      <c r="O1606" t="s">
        <v>64</v>
      </c>
      <c r="P1606">
        <v>80.3</v>
      </c>
      <c r="Q1606" t="s">
        <v>86</v>
      </c>
      <c r="R1606">
        <v>55.3</v>
      </c>
      <c r="S1606">
        <v>51</v>
      </c>
      <c r="T1606">
        <v>12.8</v>
      </c>
      <c r="U1606">
        <v>6</v>
      </c>
      <c r="V1606">
        <v>8</v>
      </c>
      <c r="W1606">
        <v>7.2</v>
      </c>
      <c r="X1606" t="s">
        <v>116</v>
      </c>
    </row>
    <row r="1607" spans="2:24" x14ac:dyDescent="0.3">
      <c r="B1607" t="s">
        <v>1700</v>
      </c>
      <c r="C1607" t="s">
        <v>53</v>
      </c>
      <c r="D1607" t="s">
        <v>7</v>
      </c>
      <c r="E1607" t="s">
        <v>15</v>
      </c>
      <c r="F1607" t="s">
        <v>9</v>
      </c>
      <c r="G1607" t="s">
        <v>69</v>
      </c>
      <c r="H1607">
        <v>2024</v>
      </c>
      <c r="I1607">
        <v>4148</v>
      </c>
      <c r="J1607">
        <v>15.6</v>
      </c>
      <c r="K1607" t="s">
        <v>21</v>
      </c>
      <c r="L1607">
        <v>1.2</v>
      </c>
      <c r="M1607">
        <v>5.0999999999999996</v>
      </c>
      <c r="N1607">
        <v>5299</v>
      </c>
      <c r="O1607" t="s">
        <v>64</v>
      </c>
      <c r="P1607">
        <v>32.1</v>
      </c>
      <c r="Q1607" t="s">
        <v>125</v>
      </c>
      <c r="R1607">
        <v>59.5</v>
      </c>
      <c r="S1607">
        <v>17.5</v>
      </c>
      <c r="T1607">
        <v>10.4</v>
      </c>
      <c r="U1607">
        <v>1.6</v>
      </c>
      <c r="V1607">
        <v>7</v>
      </c>
      <c r="W1607">
        <v>5.6</v>
      </c>
      <c r="X1607" t="s">
        <v>116</v>
      </c>
    </row>
    <row r="1608" spans="2:24" x14ac:dyDescent="0.3">
      <c r="B1608" t="s">
        <v>1701</v>
      </c>
      <c r="C1608" t="s">
        <v>27</v>
      </c>
      <c r="D1608" t="s">
        <v>3</v>
      </c>
      <c r="E1608" t="s">
        <v>14</v>
      </c>
      <c r="F1608" t="s">
        <v>11</v>
      </c>
      <c r="G1608" t="s">
        <v>131</v>
      </c>
      <c r="H1608">
        <v>2024</v>
      </c>
      <c r="I1608">
        <v>4309</v>
      </c>
      <c r="J1608">
        <v>13.4</v>
      </c>
      <c r="K1608" t="s">
        <v>24</v>
      </c>
      <c r="L1608">
        <v>2.5</v>
      </c>
      <c r="M1608">
        <v>4.9000000000000004</v>
      </c>
      <c r="N1608">
        <v>4851</v>
      </c>
      <c r="O1608" t="s">
        <v>64</v>
      </c>
      <c r="P1608">
        <v>27.3</v>
      </c>
      <c r="Q1608" t="s">
        <v>88</v>
      </c>
      <c r="R1608">
        <v>-42.5</v>
      </c>
      <c r="S1608">
        <v>11</v>
      </c>
      <c r="T1608">
        <v>11.3</v>
      </c>
      <c r="U1608">
        <v>2.8</v>
      </c>
      <c r="V1608">
        <v>6.1</v>
      </c>
      <c r="W1608">
        <v>6.6</v>
      </c>
      <c r="X1608" t="s">
        <v>116</v>
      </c>
    </row>
    <row r="1609" spans="2:24" x14ac:dyDescent="0.3">
      <c r="B1609" t="s">
        <v>1702</v>
      </c>
      <c r="C1609" t="s">
        <v>106</v>
      </c>
      <c r="D1609" t="s">
        <v>4</v>
      </c>
      <c r="E1609" t="s">
        <v>15</v>
      </c>
      <c r="F1609" t="s">
        <v>10</v>
      </c>
      <c r="G1609" t="s">
        <v>60</v>
      </c>
      <c r="H1609">
        <v>2025</v>
      </c>
      <c r="I1609">
        <v>4531</v>
      </c>
      <c r="J1609">
        <v>9.4</v>
      </c>
      <c r="K1609" t="s">
        <v>23</v>
      </c>
      <c r="L1609">
        <v>13.2</v>
      </c>
      <c r="M1609">
        <v>7.3</v>
      </c>
      <c r="N1609">
        <v>2639</v>
      </c>
      <c r="O1609" t="s">
        <v>64</v>
      </c>
      <c r="P1609">
        <v>50.2</v>
      </c>
      <c r="Q1609" t="s">
        <v>125</v>
      </c>
      <c r="R1609">
        <v>-0.5</v>
      </c>
      <c r="S1609">
        <v>-14.7</v>
      </c>
      <c r="T1609">
        <v>-13.2</v>
      </c>
      <c r="U1609">
        <v>8</v>
      </c>
      <c r="V1609">
        <v>5.6</v>
      </c>
      <c r="W1609">
        <v>6.1</v>
      </c>
      <c r="X1609" t="s">
        <v>116</v>
      </c>
    </row>
    <row r="1610" spans="2:24" x14ac:dyDescent="0.3">
      <c r="B1610" t="s">
        <v>1703</v>
      </c>
      <c r="C1610" t="s">
        <v>97</v>
      </c>
      <c r="D1610" t="s">
        <v>3</v>
      </c>
      <c r="E1610" t="s">
        <v>15</v>
      </c>
      <c r="F1610" t="s">
        <v>12</v>
      </c>
      <c r="G1610" t="s">
        <v>131</v>
      </c>
      <c r="H1610">
        <v>2025</v>
      </c>
      <c r="I1610">
        <v>19866</v>
      </c>
      <c r="J1610">
        <v>10.5</v>
      </c>
      <c r="K1610" t="s">
        <v>23</v>
      </c>
      <c r="L1610">
        <v>9.4</v>
      </c>
      <c r="M1610">
        <v>8.9</v>
      </c>
      <c r="N1610">
        <v>387</v>
      </c>
      <c r="O1610" t="s">
        <v>64</v>
      </c>
      <c r="P1610">
        <v>62</v>
      </c>
      <c r="Q1610" t="s">
        <v>88</v>
      </c>
      <c r="R1610">
        <v>0</v>
      </c>
      <c r="S1610">
        <v>26.1</v>
      </c>
      <c r="T1610">
        <v>5</v>
      </c>
      <c r="U1610">
        <v>7.5</v>
      </c>
      <c r="V1610">
        <v>5.7</v>
      </c>
      <c r="W1610">
        <v>6.5</v>
      </c>
      <c r="X1610" t="s">
        <v>66</v>
      </c>
    </row>
    <row r="1611" spans="2:24" x14ac:dyDescent="0.3">
      <c r="B1611" t="s">
        <v>1704</v>
      </c>
      <c r="C1611" t="s">
        <v>100</v>
      </c>
      <c r="D1611" t="s">
        <v>3</v>
      </c>
      <c r="E1611" t="s">
        <v>17</v>
      </c>
      <c r="F1611" t="s">
        <v>9</v>
      </c>
      <c r="G1611" t="s">
        <v>115</v>
      </c>
      <c r="H1611">
        <v>2025</v>
      </c>
      <c r="I1611">
        <v>10946</v>
      </c>
      <c r="J1611">
        <v>15.3</v>
      </c>
      <c r="K1611" t="s">
        <v>24</v>
      </c>
      <c r="L1611">
        <v>6.7</v>
      </c>
      <c r="M1611">
        <v>8.3000000000000007</v>
      </c>
      <c r="N1611">
        <v>255</v>
      </c>
      <c r="O1611" t="s">
        <v>64</v>
      </c>
      <c r="P1611">
        <v>78.400000000000006</v>
      </c>
      <c r="Q1611" t="s">
        <v>84</v>
      </c>
      <c r="R1611">
        <v>64.2</v>
      </c>
      <c r="S1611">
        <v>4.4000000000000004</v>
      </c>
      <c r="T1611">
        <v>-9.6</v>
      </c>
      <c r="U1611">
        <v>4.4000000000000004</v>
      </c>
      <c r="V1611">
        <v>6.7</v>
      </c>
      <c r="W1611">
        <v>4.3</v>
      </c>
      <c r="X1611" t="s">
        <v>66</v>
      </c>
    </row>
    <row r="1612" spans="2:24" x14ac:dyDescent="0.3">
      <c r="B1612" t="s">
        <v>1705</v>
      </c>
      <c r="C1612" t="s">
        <v>53</v>
      </c>
      <c r="D1612" t="s">
        <v>4</v>
      </c>
      <c r="E1612" t="s">
        <v>17</v>
      </c>
      <c r="F1612" t="s">
        <v>11</v>
      </c>
      <c r="G1612" t="s">
        <v>54</v>
      </c>
      <c r="H1612">
        <v>2026</v>
      </c>
      <c r="I1612">
        <v>15464</v>
      </c>
      <c r="J1612">
        <v>36.5</v>
      </c>
      <c r="K1612" t="s">
        <v>22</v>
      </c>
      <c r="L1612">
        <v>4.5999999999999996</v>
      </c>
      <c r="M1612">
        <v>10</v>
      </c>
      <c r="N1612">
        <v>652</v>
      </c>
      <c r="O1612" t="s">
        <v>75</v>
      </c>
      <c r="P1612">
        <v>77.8</v>
      </c>
      <c r="Q1612" t="s">
        <v>84</v>
      </c>
      <c r="R1612">
        <v>55.5</v>
      </c>
      <c r="S1612">
        <v>21.7</v>
      </c>
      <c r="T1612">
        <v>2.4</v>
      </c>
      <c r="U1612">
        <v>5.0999999999999996</v>
      </c>
      <c r="V1612">
        <v>6.5</v>
      </c>
      <c r="W1612">
        <v>2.1</v>
      </c>
      <c r="X1612" t="s">
        <v>66</v>
      </c>
    </row>
    <row r="1613" spans="2:24" x14ac:dyDescent="0.3">
      <c r="B1613" t="s">
        <v>1706</v>
      </c>
      <c r="C1613" t="s">
        <v>106</v>
      </c>
      <c r="D1613" t="s">
        <v>2</v>
      </c>
      <c r="E1613" t="s">
        <v>16</v>
      </c>
      <c r="F1613" t="s">
        <v>10</v>
      </c>
      <c r="G1613" t="s">
        <v>98</v>
      </c>
      <c r="H1613">
        <v>2025</v>
      </c>
      <c r="I1613">
        <v>13878</v>
      </c>
      <c r="J1613">
        <v>29.6</v>
      </c>
      <c r="K1613" t="s">
        <v>22</v>
      </c>
      <c r="L1613">
        <v>6.5</v>
      </c>
      <c r="M1613">
        <v>10</v>
      </c>
      <c r="N1613">
        <v>1374</v>
      </c>
      <c r="O1613" t="s">
        <v>64</v>
      </c>
      <c r="P1613">
        <v>84.1</v>
      </c>
      <c r="Q1613" t="s">
        <v>56</v>
      </c>
      <c r="R1613">
        <v>81.900000000000006</v>
      </c>
      <c r="S1613">
        <v>17.5</v>
      </c>
      <c r="T1613">
        <v>11</v>
      </c>
      <c r="U1613">
        <v>6.7</v>
      </c>
      <c r="V1613">
        <v>6.7</v>
      </c>
      <c r="W1613">
        <v>2.8</v>
      </c>
      <c r="X1613" t="s">
        <v>66</v>
      </c>
    </row>
    <row r="1614" spans="2:24" x14ac:dyDescent="0.3">
      <c r="B1614" t="s">
        <v>1707</v>
      </c>
      <c r="C1614" t="s">
        <v>100</v>
      </c>
      <c r="D1614" t="s">
        <v>3</v>
      </c>
      <c r="E1614" t="s">
        <v>16</v>
      </c>
      <c r="F1614" t="s">
        <v>10</v>
      </c>
      <c r="G1614" t="s">
        <v>69</v>
      </c>
      <c r="H1614">
        <v>2024</v>
      </c>
      <c r="I1614">
        <v>1926</v>
      </c>
      <c r="J1614">
        <v>3.3</v>
      </c>
      <c r="K1614" t="s">
        <v>24</v>
      </c>
      <c r="L1614">
        <v>11.7</v>
      </c>
      <c r="M1614">
        <v>10</v>
      </c>
      <c r="N1614">
        <v>3574</v>
      </c>
      <c r="O1614" t="s">
        <v>55</v>
      </c>
      <c r="P1614">
        <v>28.3</v>
      </c>
      <c r="Q1614" t="s">
        <v>76</v>
      </c>
      <c r="R1614">
        <v>-22</v>
      </c>
      <c r="S1614">
        <v>53.6</v>
      </c>
      <c r="T1614">
        <v>28.5</v>
      </c>
      <c r="U1614">
        <v>8.3000000000000007</v>
      </c>
      <c r="V1614">
        <v>8.8000000000000007</v>
      </c>
      <c r="W1614">
        <v>7.9</v>
      </c>
      <c r="X1614" t="s">
        <v>116</v>
      </c>
    </row>
    <row r="1615" spans="2:24" x14ac:dyDescent="0.3">
      <c r="B1615" t="s">
        <v>1708</v>
      </c>
      <c r="C1615" t="s">
        <v>53</v>
      </c>
      <c r="D1615" t="s">
        <v>7</v>
      </c>
      <c r="E1615" t="s">
        <v>15</v>
      </c>
      <c r="F1615" t="s">
        <v>9</v>
      </c>
      <c r="G1615" t="s">
        <v>131</v>
      </c>
      <c r="H1615">
        <v>2026</v>
      </c>
      <c r="I1615">
        <v>3584</v>
      </c>
      <c r="J1615">
        <v>11.3</v>
      </c>
      <c r="K1615" t="s">
        <v>23</v>
      </c>
      <c r="L1615">
        <v>5.9</v>
      </c>
      <c r="M1615">
        <v>8.9</v>
      </c>
      <c r="N1615">
        <v>5957</v>
      </c>
      <c r="O1615" t="s">
        <v>55</v>
      </c>
      <c r="P1615">
        <v>66.400000000000006</v>
      </c>
      <c r="Q1615" t="s">
        <v>88</v>
      </c>
      <c r="R1615">
        <v>13.4</v>
      </c>
      <c r="S1615">
        <v>-19.8</v>
      </c>
      <c r="T1615">
        <v>-8.4</v>
      </c>
      <c r="U1615">
        <v>5.6</v>
      </c>
      <c r="V1615">
        <v>4.2</v>
      </c>
      <c r="W1615">
        <v>5.2</v>
      </c>
      <c r="X1615" t="s">
        <v>116</v>
      </c>
    </row>
    <row r="1616" spans="2:24" x14ac:dyDescent="0.3">
      <c r="B1616" t="s">
        <v>1709</v>
      </c>
      <c r="C1616" t="s">
        <v>142</v>
      </c>
      <c r="D1616" t="s">
        <v>2</v>
      </c>
      <c r="E1616" t="s">
        <v>19</v>
      </c>
      <c r="F1616" t="s">
        <v>9</v>
      </c>
      <c r="G1616" t="s">
        <v>131</v>
      </c>
      <c r="H1616">
        <v>2026</v>
      </c>
      <c r="I1616">
        <v>6808</v>
      </c>
      <c r="J1616">
        <v>17.899999999999999</v>
      </c>
      <c r="K1616" t="s">
        <v>23</v>
      </c>
      <c r="L1616">
        <v>11.9</v>
      </c>
      <c r="M1616">
        <v>10</v>
      </c>
      <c r="N1616">
        <v>5495</v>
      </c>
      <c r="O1616" t="s">
        <v>55</v>
      </c>
      <c r="P1616">
        <v>52.1</v>
      </c>
      <c r="Q1616" t="s">
        <v>76</v>
      </c>
      <c r="R1616">
        <v>-0.8</v>
      </c>
      <c r="S1616">
        <v>27.3</v>
      </c>
      <c r="T1616">
        <v>18.100000000000001</v>
      </c>
      <c r="U1616">
        <v>9.6</v>
      </c>
      <c r="V1616">
        <v>5.7</v>
      </c>
      <c r="W1616">
        <v>5.6</v>
      </c>
      <c r="X1616" t="s">
        <v>116</v>
      </c>
    </row>
    <row r="1617" spans="2:24" x14ac:dyDescent="0.3">
      <c r="B1617" t="s">
        <v>1710</v>
      </c>
      <c r="C1617" t="s">
        <v>92</v>
      </c>
      <c r="D1617" t="s">
        <v>7</v>
      </c>
      <c r="E1617" t="s">
        <v>14</v>
      </c>
      <c r="F1617" t="s">
        <v>11</v>
      </c>
      <c r="G1617" t="s">
        <v>112</v>
      </c>
      <c r="H1617">
        <v>2026</v>
      </c>
      <c r="I1617">
        <v>17621</v>
      </c>
      <c r="J1617">
        <v>29.9</v>
      </c>
      <c r="K1617" t="s">
        <v>21</v>
      </c>
      <c r="L1617">
        <v>12</v>
      </c>
      <c r="M1617">
        <v>10</v>
      </c>
      <c r="N1617">
        <v>1740</v>
      </c>
      <c r="O1617" t="s">
        <v>64</v>
      </c>
      <c r="P1617">
        <v>37.700000000000003</v>
      </c>
      <c r="Q1617" t="s">
        <v>125</v>
      </c>
      <c r="R1617">
        <v>-22.9</v>
      </c>
      <c r="S1617">
        <v>59.4</v>
      </c>
      <c r="T1617">
        <v>24.9</v>
      </c>
      <c r="U1617">
        <v>8.6</v>
      </c>
      <c r="V1617">
        <v>4.8</v>
      </c>
      <c r="W1617">
        <v>5.5</v>
      </c>
      <c r="X1617" t="s">
        <v>66</v>
      </c>
    </row>
    <row r="1618" spans="2:24" x14ac:dyDescent="0.3">
      <c r="B1618" t="s">
        <v>1711</v>
      </c>
      <c r="C1618" t="s">
        <v>100</v>
      </c>
      <c r="D1618" t="s">
        <v>3</v>
      </c>
      <c r="E1618" t="s">
        <v>16</v>
      </c>
      <c r="F1618" t="s">
        <v>11</v>
      </c>
      <c r="G1618" t="s">
        <v>98</v>
      </c>
      <c r="H1618">
        <v>2024</v>
      </c>
      <c r="I1618">
        <v>1778</v>
      </c>
      <c r="J1618">
        <v>1.6</v>
      </c>
      <c r="K1618" t="s">
        <v>21</v>
      </c>
      <c r="L1618">
        <v>2.7</v>
      </c>
      <c r="M1618">
        <v>7.2</v>
      </c>
      <c r="N1618">
        <v>4216</v>
      </c>
      <c r="O1618" t="s">
        <v>55</v>
      </c>
      <c r="P1618">
        <v>59.7</v>
      </c>
      <c r="Q1618" t="s">
        <v>125</v>
      </c>
      <c r="R1618">
        <v>43.7</v>
      </c>
      <c r="S1618">
        <v>-2.7</v>
      </c>
      <c r="T1618">
        <v>-6</v>
      </c>
      <c r="U1618">
        <v>4.2</v>
      </c>
      <c r="V1618">
        <v>4.8</v>
      </c>
      <c r="W1618">
        <v>6.5</v>
      </c>
      <c r="X1618" t="s">
        <v>57</v>
      </c>
    </row>
    <row r="1619" spans="2:24" x14ac:dyDescent="0.3">
      <c r="B1619" t="s">
        <v>1712</v>
      </c>
      <c r="C1619" t="s">
        <v>122</v>
      </c>
      <c r="D1619" t="s">
        <v>2</v>
      </c>
      <c r="E1619" t="s">
        <v>15</v>
      </c>
      <c r="F1619" t="s">
        <v>12</v>
      </c>
      <c r="G1619" t="s">
        <v>112</v>
      </c>
      <c r="H1619">
        <v>2026</v>
      </c>
      <c r="I1619">
        <v>1115</v>
      </c>
      <c r="J1619">
        <v>18.8</v>
      </c>
      <c r="K1619" t="s">
        <v>22</v>
      </c>
      <c r="L1619">
        <v>7.5</v>
      </c>
      <c r="M1619">
        <v>10</v>
      </c>
      <c r="N1619">
        <v>6869</v>
      </c>
      <c r="O1619" t="s">
        <v>55</v>
      </c>
      <c r="P1619">
        <v>88.7</v>
      </c>
      <c r="Q1619" t="s">
        <v>56</v>
      </c>
      <c r="R1619">
        <v>65.2</v>
      </c>
      <c r="S1619">
        <v>-10.3</v>
      </c>
      <c r="T1619">
        <v>1.3</v>
      </c>
      <c r="U1619">
        <v>9.8000000000000007</v>
      </c>
      <c r="V1619">
        <v>6.6</v>
      </c>
      <c r="W1619">
        <v>2.8</v>
      </c>
      <c r="X1619" t="s">
        <v>66</v>
      </c>
    </row>
    <row r="1620" spans="2:24" x14ac:dyDescent="0.3">
      <c r="B1620" t="s">
        <v>1713</v>
      </c>
      <c r="C1620" t="s">
        <v>100</v>
      </c>
      <c r="D1620" t="s">
        <v>3</v>
      </c>
      <c r="E1620" t="s">
        <v>17</v>
      </c>
      <c r="F1620" t="s">
        <v>10</v>
      </c>
      <c r="G1620" t="s">
        <v>78</v>
      </c>
      <c r="H1620">
        <v>2024</v>
      </c>
      <c r="I1620">
        <v>6982</v>
      </c>
      <c r="J1620">
        <v>14.8</v>
      </c>
      <c r="K1620" t="s">
        <v>24</v>
      </c>
      <c r="L1620">
        <v>8.6</v>
      </c>
      <c r="M1620">
        <v>7.9</v>
      </c>
      <c r="N1620">
        <v>4733</v>
      </c>
      <c r="O1620" t="s">
        <v>55</v>
      </c>
      <c r="P1620">
        <v>47.3</v>
      </c>
      <c r="Q1620" t="s">
        <v>65</v>
      </c>
      <c r="R1620">
        <v>-16.8</v>
      </c>
      <c r="S1620">
        <v>29.6</v>
      </c>
      <c r="T1620">
        <v>16.5</v>
      </c>
      <c r="U1620">
        <v>8.6999999999999993</v>
      </c>
      <c r="V1620">
        <v>4.9000000000000004</v>
      </c>
      <c r="W1620">
        <v>6</v>
      </c>
      <c r="X1620" t="s">
        <v>116</v>
      </c>
    </row>
    <row r="1621" spans="2:24" x14ac:dyDescent="0.3">
      <c r="B1621" t="s">
        <v>1714</v>
      </c>
      <c r="C1621" t="s">
        <v>159</v>
      </c>
      <c r="D1621" t="s">
        <v>7</v>
      </c>
      <c r="E1621" t="s">
        <v>15</v>
      </c>
      <c r="F1621" t="s">
        <v>11</v>
      </c>
      <c r="G1621" t="s">
        <v>60</v>
      </c>
      <c r="H1621">
        <v>2025</v>
      </c>
      <c r="I1621">
        <v>68</v>
      </c>
      <c r="J1621">
        <v>1.4</v>
      </c>
      <c r="K1621" t="s">
        <v>24</v>
      </c>
      <c r="L1621">
        <v>12.1</v>
      </c>
      <c r="M1621">
        <v>10</v>
      </c>
      <c r="N1621">
        <v>3386</v>
      </c>
      <c r="O1621" t="s">
        <v>55</v>
      </c>
      <c r="P1621">
        <v>66.5</v>
      </c>
      <c r="Q1621" t="s">
        <v>65</v>
      </c>
      <c r="R1621">
        <v>18.2</v>
      </c>
      <c r="S1621">
        <v>46.5</v>
      </c>
      <c r="T1621">
        <v>16.8</v>
      </c>
      <c r="U1621">
        <v>7.8</v>
      </c>
      <c r="V1621">
        <v>6.5</v>
      </c>
      <c r="W1621">
        <v>8.1</v>
      </c>
      <c r="X1621" t="s">
        <v>57</v>
      </c>
    </row>
    <row r="1622" spans="2:24" x14ac:dyDescent="0.3">
      <c r="B1622" t="s">
        <v>1715</v>
      </c>
      <c r="C1622" t="s">
        <v>139</v>
      </c>
      <c r="D1622" t="s">
        <v>8</v>
      </c>
      <c r="E1622" t="s">
        <v>18</v>
      </c>
      <c r="F1622" t="s">
        <v>11</v>
      </c>
      <c r="G1622" t="s">
        <v>131</v>
      </c>
      <c r="H1622">
        <v>2025</v>
      </c>
      <c r="I1622">
        <v>1545</v>
      </c>
      <c r="J1622">
        <v>4.2</v>
      </c>
      <c r="K1622" t="s">
        <v>21</v>
      </c>
      <c r="L1622">
        <v>10.4</v>
      </c>
      <c r="M1622">
        <v>8.1999999999999993</v>
      </c>
      <c r="N1622">
        <v>3456</v>
      </c>
      <c r="O1622" t="s">
        <v>55</v>
      </c>
      <c r="P1622">
        <v>36.700000000000003</v>
      </c>
      <c r="Q1622" t="s">
        <v>84</v>
      </c>
      <c r="R1622">
        <v>2.7</v>
      </c>
      <c r="S1622">
        <v>3.1</v>
      </c>
      <c r="T1622">
        <v>-6.2</v>
      </c>
      <c r="U1622">
        <v>6.5</v>
      </c>
      <c r="V1622">
        <v>7.9</v>
      </c>
      <c r="W1622">
        <v>6.4</v>
      </c>
      <c r="X1622" t="s">
        <v>116</v>
      </c>
    </row>
    <row r="1623" spans="2:24" x14ac:dyDescent="0.3">
      <c r="B1623" t="s">
        <v>1716</v>
      </c>
      <c r="C1623" t="s">
        <v>106</v>
      </c>
      <c r="D1623" t="s">
        <v>7</v>
      </c>
      <c r="E1623" t="s">
        <v>16</v>
      </c>
      <c r="F1623" t="s">
        <v>11</v>
      </c>
      <c r="G1623" t="s">
        <v>98</v>
      </c>
      <c r="H1623">
        <v>2025</v>
      </c>
      <c r="I1623">
        <v>2559</v>
      </c>
      <c r="J1623">
        <v>7.6</v>
      </c>
      <c r="K1623" t="s">
        <v>25</v>
      </c>
      <c r="L1623">
        <v>10.5</v>
      </c>
      <c r="M1623">
        <v>9.1999999999999993</v>
      </c>
      <c r="N1623">
        <v>1927</v>
      </c>
      <c r="O1623" t="s">
        <v>64</v>
      </c>
      <c r="P1623">
        <v>68.5</v>
      </c>
      <c r="Q1623" t="s">
        <v>125</v>
      </c>
      <c r="R1623">
        <v>26.2</v>
      </c>
      <c r="S1623">
        <v>-18.8</v>
      </c>
      <c r="T1623">
        <v>-8.4</v>
      </c>
      <c r="U1623">
        <v>6.8</v>
      </c>
      <c r="V1623">
        <v>4.5999999999999996</v>
      </c>
      <c r="W1623">
        <v>4.5</v>
      </c>
      <c r="X1623" t="s">
        <v>116</v>
      </c>
    </row>
    <row r="1624" spans="2:24" x14ac:dyDescent="0.3">
      <c r="B1624" t="s">
        <v>1717</v>
      </c>
      <c r="C1624" t="s">
        <v>100</v>
      </c>
      <c r="D1624" t="s">
        <v>3</v>
      </c>
      <c r="E1624" t="s">
        <v>15</v>
      </c>
      <c r="F1624" t="s">
        <v>10</v>
      </c>
      <c r="G1624" t="s">
        <v>54</v>
      </c>
      <c r="H1624">
        <v>2026</v>
      </c>
      <c r="I1624">
        <v>12968</v>
      </c>
      <c r="J1624">
        <v>24.8</v>
      </c>
      <c r="K1624" t="s">
        <v>21</v>
      </c>
      <c r="L1624">
        <v>4</v>
      </c>
      <c r="M1624">
        <v>9.8000000000000007</v>
      </c>
      <c r="N1624">
        <v>1271</v>
      </c>
      <c r="O1624" t="s">
        <v>64</v>
      </c>
      <c r="P1624">
        <v>86.1</v>
      </c>
      <c r="Q1624" t="s">
        <v>56</v>
      </c>
      <c r="R1624">
        <v>38</v>
      </c>
      <c r="S1624">
        <v>3.3</v>
      </c>
      <c r="T1624">
        <v>-6.6</v>
      </c>
      <c r="U1624">
        <v>6</v>
      </c>
      <c r="V1624">
        <v>6.1</v>
      </c>
      <c r="W1624">
        <v>4.5</v>
      </c>
      <c r="X1624" t="s">
        <v>66</v>
      </c>
    </row>
    <row r="1625" spans="2:24" x14ac:dyDescent="0.3">
      <c r="B1625" t="s">
        <v>1718</v>
      </c>
      <c r="C1625" t="s">
        <v>94</v>
      </c>
      <c r="D1625" t="s">
        <v>6</v>
      </c>
      <c r="E1625" t="s">
        <v>15</v>
      </c>
      <c r="F1625" t="s">
        <v>12</v>
      </c>
      <c r="G1625" t="s">
        <v>112</v>
      </c>
      <c r="H1625">
        <v>2025</v>
      </c>
      <c r="I1625">
        <v>1916</v>
      </c>
      <c r="J1625">
        <v>17.7</v>
      </c>
      <c r="K1625" t="s">
        <v>23</v>
      </c>
      <c r="L1625">
        <v>6</v>
      </c>
      <c r="M1625">
        <v>10</v>
      </c>
      <c r="N1625">
        <v>2557</v>
      </c>
      <c r="O1625" t="s">
        <v>55</v>
      </c>
      <c r="P1625">
        <v>32.9</v>
      </c>
      <c r="Q1625" t="s">
        <v>84</v>
      </c>
      <c r="R1625">
        <v>-29.5</v>
      </c>
      <c r="S1625">
        <v>1.6</v>
      </c>
      <c r="T1625">
        <v>-4.5999999999999996</v>
      </c>
      <c r="U1625">
        <v>9.9</v>
      </c>
      <c r="V1625">
        <v>5</v>
      </c>
      <c r="W1625">
        <v>4.7</v>
      </c>
      <c r="X1625" t="s">
        <v>116</v>
      </c>
    </row>
    <row r="1626" spans="2:24" x14ac:dyDescent="0.3">
      <c r="B1626" t="s">
        <v>1719</v>
      </c>
      <c r="C1626" t="s">
        <v>83</v>
      </c>
      <c r="D1626" t="s">
        <v>4</v>
      </c>
      <c r="E1626" t="s">
        <v>17</v>
      </c>
      <c r="F1626" t="s">
        <v>11</v>
      </c>
      <c r="G1626" t="s">
        <v>60</v>
      </c>
      <c r="H1626">
        <v>2026</v>
      </c>
      <c r="I1626">
        <v>11281</v>
      </c>
      <c r="J1626">
        <v>16.8</v>
      </c>
      <c r="K1626" t="s">
        <v>23</v>
      </c>
      <c r="L1626">
        <v>7.2</v>
      </c>
      <c r="M1626">
        <v>9.4</v>
      </c>
      <c r="N1626">
        <v>1263</v>
      </c>
      <c r="O1626" t="s">
        <v>64</v>
      </c>
      <c r="P1626">
        <v>32.700000000000003</v>
      </c>
      <c r="Q1626" t="s">
        <v>88</v>
      </c>
      <c r="R1626">
        <v>71.3</v>
      </c>
      <c r="S1626">
        <v>39.9</v>
      </c>
      <c r="T1626">
        <v>10.4</v>
      </c>
      <c r="U1626">
        <v>5.3</v>
      </c>
      <c r="V1626">
        <v>7.8</v>
      </c>
      <c r="W1626">
        <v>4.8</v>
      </c>
      <c r="X1626" t="s">
        <v>66</v>
      </c>
    </row>
    <row r="1627" spans="2:24" x14ac:dyDescent="0.3">
      <c r="B1627" t="s">
        <v>1720</v>
      </c>
      <c r="C1627" t="s">
        <v>159</v>
      </c>
      <c r="D1627" t="s">
        <v>7</v>
      </c>
      <c r="E1627" t="s">
        <v>17</v>
      </c>
      <c r="F1627" t="s">
        <v>11</v>
      </c>
      <c r="G1627" t="s">
        <v>112</v>
      </c>
      <c r="H1627">
        <v>2024</v>
      </c>
      <c r="I1627">
        <v>4527</v>
      </c>
      <c r="J1627">
        <v>11.8</v>
      </c>
      <c r="K1627" t="s">
        <v>22</v>
      </c>
      <c r="L1627">
        <v>3.9</v>
      </c>
      <c r="M1627">
        <v>6.6</v>
      </c>
      <c r="N1627">
        <v>2273</v>
      </c>
      <c r="O1627" t="s">
        <v>64</v>
      </c>
      <c r="P1627">
        <v>62.8</v>
      </c>
      <c r="Q1627" t="s">
        <v>88</v>
      </c>
      <c r="R1627">
        <v>29.4</v>
      </c>
      <c r="S1627">
        <v>10.1</v>
      </c>
      <c r="T1627">
        <v>-3.3</v>
      </c>
      <c r="U1627">
        <v>4</v>
      </c>
      <c r="V1627">
        <v>5.0999999999999996</v>
      </c>
      <c r="W1627">
        <v>5.0999999999999996</v>
      </c>
      <c r="X1627" t="s">
        <v>116</v>
      </c>
    </row>
    <row r="1628" spans="2:24" x14ac:dyDescent="0.3">
      <c r="B1628" t="s">
        <v>1721</v>
      </c>
      <c r="C1628" t="s">
        <v>137</v>
      </c>
      <c r="D1628" t="s">
        <v>3</v>
      </c>
      <c r="E1628" t="s">
        <v>18</v>
      </c>
      <c r="F1628" t="s">
        <v>9</v>
      </c>
      <c r="G1628" t="s">
        <v>115</v>
      </c>
      <c r="H1628">
        <v>2025</v>
      </c>
      <c r="I1628">
        <v>15947</v>
      </c>
      <c r="J1628">
        <v>38.799999999999997</v>
      </c>
      <c r="K1628" t="s">
        <v>24</v>
      </c>
      <c r="L1628">
        <v>3.4</v>
      </c>
      <c r="M1628">
        <v>9.4</v>
      </c>
      <c r="N1628">
        <v>1587</v>
      </c>
      <c r="O1628" t="s">
        <v>75</v>
      </c>
      <c r="P1628">
        <v>33</v>
      </c>
      <c r="Q1628" t="s">
        <v>65</v>
      </c>
      <c r="R1628">
        <v>40.799999999999997</v>
      </c>
      <c r="S1628">
        <v>27.9</v>
      </c>
      <c r="T1628">
        <v>-3.9</v>
      </c>
      <c r="U1628">
        <v>4.0999999999999996</v>
      </c>
      <c r="V1628">
        <v>5.4</v>
      </c>
      <c r="W1628">
        <v>2.2999999999999998</v>
      </c>
      <c r="X1628" t="s">
        <v>66</v>
      </c>
    </row>
    <row r="1629" spans="2:24" x14ac:dyDescent="0.3">
      <c r="B1629" t="s">
        <v>1722</v>
      </c>
      <c r="C1629" t="s">
        <v>71</v>
      </c>
      <c r="D1629" t="s">
        <v>6</v>
      </c>
      <c r="E1629" t="s">
        <v>16</v>
      </c>
      <c r="F1629" t="s">
        <v>12</v>
      </c>
      <c r="G1629" t="s">
        <v>112</v>
      </c>
      <c r="H1629">
        <v>2024</v>
      </c>
      <c r="I1629">
        <v>1389</v>
      </c>
      <c r="J1629">
        <v>5.0999999999999996</v>
      </c>
      <c r="K1629" t="s">
        <v>24</v>
      </c>
      <c r="L1629">
        <v>11.8</v>
      </c>
      <c r="M1629">
        <v>10</v>
      </c>
      <c r="N1629">
        <v>1749</v>
      </c>
      <c r="O1629" t="s">
        <v>55</v>
      </c>
      <c r="P1629">
        <v>21.7</v>
      </c>
      <c r="Q1629" t="s">
        <v>79</v>
      </c>
      <c r="R1629">
        <v>-14.3</v>
      </c>
      <c r="S1629">
        <v>27.9</v>
      </c>
      <c r="T1629">
        <v>8</v>
      </c>
      <c r="U1629">
        <v>9.8000000000000007</v>
      </c>
      <c r="V1629">
        <v>8.6999999999999993</v>
      </c>
      <c r="W1629">
        <v>6.6</v>
      </c>
      <c r="X1629" t="s">
        <v>57</v>
      </c>
    </row>
    <row r="1630" spans="2:24" x14ac:dyDescent="0.3">
      <c r="B1630" t="s">
        <v>1723</v>
      </c>
      <c r="C1630" t="s">
        <v>97</v>
      </c>
      <c r="D1630" t="s">
        <v>3</v>
      </c>
      <c r="E1630" t="s">
        <v>18</v>
      </c>
      <c r="F1630" t="s">
        <v>10</v>
      </c>
      <c r="G1630" t="s">
        <v>112</v>
      </c>
      <c r="H1630">
        <v>2025</v>
      </c>
      <c r="I1630">
        <v>3642</v>
      </c>
      <c r="J1630">
        <v>9.8000000000000007</v>
      </c>
      <c r="K1630" t="s">
        <v>21</v>
      </c>
      <c r="L1630">
        <v>14.4</v>
      </c>
      <c r="M1630">
        <v>10</v>
      </c>
      <c r="N1630">
        <v>233</v>
      </c>
      <c r="O1630" t="s">
        <v>64</v>
      </c>
      <c r="P1630">
        <v>73.099999999999994</v>
      </c>
      <c r="Q1630" t="s">
        <v>56</v>
      </c>
      <c r="R1630">
        <v>79.900000000000006</v>
      </c>
      <c r="S1630">
        <v>9.6</v>
      </c>
      <c r="T1630">
        <v>7.9</v>
      </c>
      <c r="U1630">
        <v>8.8000000000000007</v>
      </c>
      <c r="V1630">
        <v>8.4</v>
      </c>
      <c r="W1630">
        <v>6.1</v>
      </c>
      <c r="X1630" t="s">
        <v>116</v>
      </c>
    </row>
    <row r="1631" spans="2:24" x14ac:dyDescent="0.3">
      <c r="B1631" t="s">
        <v>1724</v>
      </c>
      <c r="C1631" t="s">
        <v>90</v>
      </c>
      <c r="D1631" t="s">
        <v>6</v>
      </c>
      <c r="E1631" t="s">
        <v>18</v>
      </c>
      <c r="F1631" t="s">
        <v>11</v>
      </c>
      <c r="G1631" t="s">
        <v>131</v>
      </c>
      <c r="H1631">
        <v>2024</v>
      </c>
      <c r="I1631">
        <v>1462</v>
      </c>
      <c r="J1631">
        <v>9.4</v>
      </c>
      <c r="K1631" t="s">
        <v>22</v>
      </c>
      <c r="L1631">
        <v>6.1</v>
      </c>
      <c r="M1631">
        <v>3.3</v>
      </c>
      <c r="N1631">
        <v>3549</v>
      </c>
      <c r="O1631" t="s">
        <v>64</v>
      </c>
      <c r="P1631">
        <v>25.9</v>
      </c>
      <c r="Q1631" t="s">
        <v>76</v>
      </c>
      <c r="R1631">
        <v>-11.2</v>
      </c>
      <c r="S1631">
        <v>-16.8</v>
      </c>
      <c r="T1631">
        <v>-1.3</v>
      </c>
      <c r="U1631">
        <v>4.3</v>
      </c>
      <c r="V1631">
        <v>5.0999999999999996</v>
      </c>
      <c r="W1631">
        <v>6.4</v>
      </c>
      <c r="X1631" t="s">
        <v>57</v>
      </c>
    </row>
    <row r="1632" spans="2:24" x14ac:dyDescent="0.3">
      <c r="B1632" t="s">
        <v>1725</v>
      </c>
      <c r="C1632" t="s">
        <v>159</v>
      </c>
      <c r="D1632" t="s">
        <v>7</v>
      </c>
      <c r="E1632" t="s">
        <v>18</v>
      </c>
      <c r="F1632" t="s">
        <v>10</v>
      </c>
      <c r="G1632" t="s">
        <v>63</v>
      </c>
      <c r="H1632">
        <v>2025</v>
      </c>
      <c r="I1632">
        <v>2251</v>
      </c>
      <c r="J1632">
        <v>4.4000000000000004</v>
      </c>
      <c r="K1632" t="s">
        <v>25</v>
      </c>
      <c r="L1632">
        <v>6.6</v>
      </c>
      <c r="M1632">
        <v>7.7</v>
      </c>
      <c r="N1632">
        <v>845</v>
      </c>
      <c r="O1632" t="s">
        <v>55</v>
      </c>
      <c r="P1632">
        <v>72.2</v>
      </c>
      <c r="Q1632" t="s">
        <v>79</v>
      </c>
      <c r="R1632">
        <v>34.799999999999997</v>
      </c>
      <c r="S1632">
        <v>12.3</v>
      </c>
      <c r="T1632">
        <v>0.6</v>
      </c>
      <c r="U1632">
        <v>5.8</v>
      </c>
      <c r="V1632">
        <v>8.8000000000000007</v>
      </c>
      <c r="W1632">
        <v>7.2</v>
      </c>
      <c r="X1632" t="s">
        <v>57</v>
      </c>
    </row>
    <row r="1633" spans="2:24" x14ac:dyDescent="0.3">
      <c r="B1633" t="s">
        <v>1726</v>
      </c>
      <c r="C1633" t="s">
        <v>90</v>
      </c>
      <c r="D1633" t="s">
        <v>2</v>
      </c>
      <c r="E1633" t="s">
        <v>19</v>
      </c>
      <c r="F1633" t="s">
        <v>11</v>
      </c>
      <c r="G1633" t="s">
        <v>78</v>
      </c>
      <c r="H1633">
        <v>2025</v>
      </c>
      <c r="I1633">
        <v>4726</v>
      </c>
      <c r="J1633">
        <v>13.7</v>
      </c>
      <c r="K1633" t="s">
        <v>23</v>
      </c>
      <c r="L1633">
        <v>4</v>
      </c>
      <c r="M1633">
        <v>5</v>
      </c>
      <c r="N1633">
        <v>6506</v>
      </c>
      <c r="O1633" t="s">
        <v>55</v>
      </c>
      <c r="P1633">
        <v>76.8</v>
      </c>
      <c r="Q1633" t="s">
        <v>76</v>
      </c>
      <c r="R1633">
        <v>88.5</v>
      </c>
      <c r="S1633">
        <v>0.4</v>
      </c>
      <c r="T1633">
        <v>-3.9</v>
      </c>
      <c r="U1633">
        <v>2.6</v>
      </c>
      <c r="V1633">
        <v>5.6</v>
      </c>
      <c r="W1633">
        <v>5.6</v>
      </c>
      <c r="X1633" t="s">
        <v>116</v>
      </c>
    </row>
    <row r="1634" spans="2:24" x14ac:dyDescent="0.3">
      <c r="B1634" t="s">
        <v>1727</v>
      </c>
      <c r="C1634" t="s">
        <v>83</v>
      </c>
      <c r="D1634" t="s">
        <v>4</v>
      </c>
      <c r="E1634" t="s">
        <v>16</v>
      </c>
      <c r="F1634" t="s">
        <v>11</v>
      </c>
      <c r="G1634" t="s">
        <v>112</v>
      </c>
      <c r="H1634">
        <v>2024</v>
      </c>
      <c r="I1634">
        <v>825</v>
      </c>
      <c r="J1634">
        <v>6.5</v>
      </c>
      <c r="K1634" t="s">
        <v>25</v>
      </c>
      <c r="L1634">
        <v>1.7</v>
      </c>
      <c r="M1634">
        <v>2.4</v>
      </c>
      <c r="N1634">
        <v>2953</v>
      </c>
      <c r="O1634" t="s">
        <v>64</v>
      </c>
      <c r="P1634">
        <v>62.4</v>
      </c>
      <c r="Q1634" t="s">
        <v>76</v>
      </c>
      <c r="R1634">
        <v>21.7</v>
      </c>
      <c r="S1634">
        <v>27.3</v>
      </c>
      <c r="T1634">
        <v>15</v>
      </c>
      <c r="U1634">
        <v>2.2999999999999998</v>
      </c>
      <c r="V1634">
        <v>5.6</v>
      </c>
      <c r="W1634">
        <v>6.9</v>
      </c>
      <c r="X1634" t="s">
        <v>57</v>
      </c>
    </row>
    <row r="1635" spans="2:24" x14ac:dyDescent="0.3">
      <c r="B1635" t="s">
        <v>1728</v>
      </c>
      <c r="C1635" t="s">
        <v>81</v>
      </c>
      <c r="D1635" t="s">
        <v>5</v>
      </c>
      <c r="E1635" t="s">
        <v>14</v>
      </c>
      <c r="F1635" t="s">
        <v>9</v>
      </c>
      <c r="G1635" t="s">
        <v>98</v>
      </c>
      <c r="H1635">
        <v>2025</v>
      </c>
      <c r="I1635">
        <v>1906</v>
      </c>
      <c r="J1635">
        <v>1.3</v>
      </c>
      <c r="K1635" t="s">
        <v>25</v>
      </c>
      <c r="L1635">
        <v>4.8</v>
      </c>
      <c r="M1635">
        <v>3.8</v>
      </c>
      <c r="N1635">
        <v>4824</v>
      </c>
      <c r="O1635" t="s">
        <v>55</v>
      </c>
      <c r="P1635">
        <v>71.7</v>
      </c>
      <c r="Q1635" t="s">
        <v>65</v>
      </c>
      <c r="R1635">
        <v>88.1</v>
      </c>
      <c r="S1635">
        <v>6.9</v>
      </c>
      <c r="T1635">
        <v>-2.8</v>
      </c>
      <c r="U1635">
        <v>3.8</v>
      </c>
      <c r="V1635">
        <v>7.6</v>
      </c>
      <c r="W1635">
        <v>7.8</v>
      </c>
      <c r="X1635" t="s">
        <v>57</v>
      </c>
    </row>
    <row r="1636" spans="2:24" x14ac:dyDescent="0.3">
      <c r="B1636" t="s">
        <v>1729</v>
      </c>
      <c r="C1636" t="s">
        <v>53</v>
      </c>
      <c r="D1636" t="s">
        <v>2</v>
      </c>
      <c r="E1636" t="s">
        <v>16</v>
      </c>
      <c r="F1636" t="s">
        <v>12</v>
      </c>
      <c r="G1636" t="s">
        <v>78</v>
      </c>
      <c r="H1636">
        <v>2026</v>
      </c>
      <c r="I1636">
        <v>1740</v>
      </c>
      <c r="J1636">
        <v>6.1</v>
      </c>
      <c r="K1636" t="s">
        <v>22</v>
      </c>
      <c r="L1636">
        <v>8.1</v>
      </c>
      <c r="M1636">
        <v>6.8</v>
      </c>
      <c r="N1636">
        <v>6125</v>
      </c>
      <c r="O1636" t="s">
        <v>55</v>
      </c>
      <c r="P1636">
        <v>46</v>
      </c>
      <c r="Q1636" t="s">
        <v>56</v>
      </c>
      <c r="R1636">
        <v>-31.6</v>
      </c>
      <c r="S1636">
        <v>33.1</v>
      </c>
      <c r="T1636">
        <v>7.6</v>
      </c>
      <c r="U1636">
        <v>5.4</v>
      </c>
      <c r="V1636">
        <v>7.6</v>
      </c>
      <c r="W1636">
        <v>7</v>
      </c>
      <c r="X1636" t="s">
        <v>57</v>
      </c>
    </row>
    <row r="1637" spans="2:24" x14ac:dyDescent="0.3">
      <c r="B1637" t="s">
        <v>1730</v>
      </c>
      <c r="C1637" t="s">
        <v>53</v>
      </c>
      <c r="D1637" t="s">
        <v>7</v>
      </c>
      <c r="E1637" t="s">
        <v>18</v>
      </c>
      <c r="F1637" t="s">
        <v>11</v>
      </c>
      <c r="G1637" t="s">
        <v>101</v>
      </c>
      <c r="H1637">
        <v>2025</v>
      </c>
      <c r="I1637">
        <v>815</v>
      </c>
      <c r="J1637">
        <v>1</v>
      </c>
      <c r="K1637" t="s">
        <v>23</v>
      </c>
      <c r="L1637">
        <v>8.6999999999999993</v>
      </c>
      <c r="M1637">
        <v>8.6</v>
      </c>
      <c r="N1637">
        <v>5416</v>
      </c>
      <c r="O1637" t="s">
        <v>55</v>
      </c>
      <c r="P1637">
        <v>63.4</v>
      </c>
      <c r="Q1637" t="s">
        <v>65</v>
      </c>
      <c r="R1637">
        <v>-36.5</v>
      </c>
      <c r="S1637">
        <v>50.9</v>
      </c>
      <c r="T1637">
        <v>13.7</v>
      </c>
      <c r="U1637">
        <v>5.4</v>
      </c>
      <c r="V1637">
        <v>7.5</v>
      </c>
      <c r="W1637">
        <v>7.2</v>
      </c>
      <c r="X1637" t="s">
        <v>57</v>
      </c>
    </row>
    <row r="1638" spans="2:24" x14ac:dyDescent="0.3">
      <c r="B1638" t="s">
        <v>1731</v>
      </c>
      <c r="C1638" t="s">
        <v>94</v>
      </c>
      <c r="D1638" t="s">
        <v>6</v>
      </c>
      <c r="E1638" t="s">
        <v>14</v>
      </c>
      <c r="F1638" t="s">
        <v>11</v>
      </c>
      <c r="G1638" t="s">
        <v>98</v>
      </c>
      <c r="H1638">
        <v>2025</v>
      </c>
      <c r="I1638">
        <v>16732</v>
      </c>
      <c r="J1638">
        <v>17.600000000000001</v>
      </c>
      <c r="K1638" t="s">
        <v>22</v>
      </c>
      <c r="L1638">
        <v>10.199999999999999</v>
      </c>
      <c r="M1638">
        <v>10</v>
      </c>
      <c r="N1638">
        <v>333</v>
      </c>
      <c r="O1638" t="s">
        <v>64</v>
      </c>
      <c r="P1638">
        <v>35.799999999999997</v>
      </c>
      <c r="Q1638" t="s">
        <v>76</v>
      </c>
      <c r="R1638">
        <v>9.5</v>
      </c>
      <c r="S1638">
        <v>41.6</v>
      </c>
      <c r="T1638">
        <v>24</v>
      </c>
      <c r="U1638">
        <v>7.1</v>
      </c>
      <c r="V1638">
        <v>7.1</v>
      </c>
      <c r="W1638">
        <v>4.8</v>
      </c>
      <c r="X1638" t="s">
        <v>66</v>
      </c>
    </row>
    <row r="1639" spans="2:24" x14ac:dyDescent="0.3">
      <c r="B1639" t="s">
        <v>1732</v>
      </c>
      <c r="C1639" t="s">
        <v>53</v>
      </c>
      <c r="D1639" t="s">
        <v>4</v>
      </c>
      <c r="E1639" t="s">
        <v>15</v>
      </c>
      <c r="F1639" t="s">
        <v>12</v>
      </c>
      <c r="G1639" t="s">
        <v>63</v>
      </c>
      <c r="H1639">
        <v>2025</v>
      </c>
      <c r="I1639">
        <v>5552</v>
      </c>
      <c r="J1639">
        <v>19.7</v>
      </c>
      <c r="K1639" t="s">
        <v>25</v>
      </c>
      <c r="L1639">
        <v>2.5</v>
      </c>
      <c r="M1639">
        <v>7</v>
      </c>
      <c r="N1639">
        <v>979</v>
      </c>
      <c r="O1639" t="s">
        <v>64</v>
      </c>
      <c r="P1639">
        <v>24.1</v>
      </c>
      <c r="Q1639" t="s">
        <v>76</v>
      </c>
      <c r="R1639">
        <v>69.5</v>
      </c>
      <c r="S1639">
        <v>-14.2</v>
      </c>
      <c r="T1639">
        <v>-3.9</v>
      </c>
      <c r="U1639">
        <v>2.9</v>
      </c>
      <c r="V1639">
        <v>6.4</v>
      </c>
      <c r="W1639">
        <v>4.7</v>
      </c>
      <c r="X1639" t="s">
        <v>66</v>
      </c>
    </row>
    <row r="1640" spans="2:24" x14ac:dyDescent="0.3">
      <c r="B1640" t="s">
        <v>1733</v>
      </c>
      <c r="C1640" t="s">
        <v>90</v>
      </c>
      <c r="D1640" t="s">
        <v>5</v>
      </c>
      <c r="E1640" t="s">
        <v>17</v>
      </c>
      <c r="F1640" t="s">
        <v>9</v>
      </c>
      <c r="G1640" t="s">
        <v>101</v>
      </c>
      <c r="H1640">
        <v>2025</v>
      </c>
      <c r="I1640">
        <v>4089</v>
      </c>
      <c r="J1640">
        <v>15.6</v>
      </c>
      <c r="K1640" t="s">
        <v>22</v>
      </c>
      <c r="L1640">
        <v>6.7</v>
      </c>
      <c r="M1640">
        <v>8.3000000000000007</v>
      </c>
      <c r="N1640">
        <v>1380</v>
      </c>
      <c r="O1640" t="s">
        <v>64</v>
      </c>
      <c r="P1640">
        <v>26.9</v>
      </c>
      <c r="Q1640" t="s">
        <v>56</v>
      </c>
      <c r="R1640">
        <v>27.6</v>
      </c>
      <c r="S1640">
        <v>52.2</v>
      </c>
      <c r="T1640">
        <v>21</v>
      </c>
      <c r="U1640">
        <v>4.2</v>
      </c>
      <c r="V1640">
        <v>8.4</v>
      </c>
      <c r="W1640">
        <v>6.2</v>
      </c>
      <c r="X1640" t="s">
        <v>116</v>
      </c>
    </row>
    <row r="1641" spans="2:24" x14ac:dyDescent="0.3">
      <c r="B1641" t="s">
        <v>1734</v>
      </c>
      <c r="C1641" t="s">
        <v>27</v>
      </c>
      <c r="D1641" t="s">
        <v>2</v>
      </c>
      <c r="E1641" t="s">
        <v>19</v>
      </c>
      <c r="F1641" t="s">
        <v>11</v>
      </c>
      <c r="G1641" t="s">
        <v>104</v>
      </c>
      <c r="H1641">
        <v>2024</v>
      </c>
      <c r="I1641">
        <v>6271</v>
      </c>
      <c r="J1641">
        <v>14</v>
      </c>
      <c r="K1641" t="s">
        <v>21</v>
      </c>
      <c r="L1641">
        <v>7.8</v>
      </c>
      <c r="M1641">
        <v>10</v>
      </c>
      <c r="N1641">
        <v>8241</v>
      </c>
      <c r="O1641" t="s">
        <v>55</v>
      </c>
      <c r="P1641">
        <v>82.1</v>
      </c>
      <c r="Q1641" t="s">
        <v>56</v>
      </c>
      <c r="R1641">
        <v>71.400000000000006</v>
      </c>
      <c r="S1641">
        <v>60</v>
      </c>
      <c r="T1641">
        <v>16.2</v>
      </c>
      <c r="U1641">
        <v>5.7</v>
      </c>
      <c r="V1641">
        <v>8.3000000000000007</v>
      </c>
      <c r="W1641">
        <v>6.2</v>
      </c>
      <c r="X1641" t="s">
        <v>116</v>
      </c>
    </row>
    <row r="1642" spans="2:24" x14ac:dyDescent="0.3">
      <c r="B1642" t="s">
        <v>1735</v>
      </c>
      <c r="C1642" t="s">
        <v>106</v>
      </c>
      <c r="D1642" t="s">
        <v>4</v>
      </c>
      <c r="E1642" t="s">
        <v>17</v>
      </c>
      <c r="F1642" t="s">
        <v>10</v>
      </c>
      <c r="G1642" t="s">
        <v>131</v>
      </c>
      <c r="H1642">
        <v>2025</v>
      </c>
      <c r="I1642">
        <v>558</v>
      </c>
      <c r="J1642">
        <v>7.8</v>
      </c>
      <c r="K1642" t="s">
        <v>22</v>
      </c>
      <c r="L1642">
        <v>13.3</v>
      </c>
      <c r="M1642">
        <v>7.6</v>
      </c>
      <c r="N1642">
        <v>574</v>
      </c>
      <c r="O1642" t="s">
        <v>55</v>
      </c>
      <c r="P1642">
        <v>30.7</v>
      </c>
      <c r="Q1642" t="s">
        <v>76</v>
      </c>
      <c r="R1642">
        <v>-25.3</v>
      </c>
      <c r="S1642">
        <v>34.200000000000003</v>
      </c>
      <c r="T1642">
        <v>7.2</v>
      </c>
      <c r="U1642">
        <v>8.9</v>
      </c>
      <c r="V1642">
        <v>8.3000000000000007</v>
      </c>
      <c r="W1642">
        <v>6</v>
      </c>
      <c r="X1642" t="s">
        <v>57</v>
      </c>
    </row>
    <row r="1643" spans="2:24" x14ac:dyDescent="0.3">
      <c r="B1643" t="s">
        <v>1736</v>
      </c>
      <c r="C1643" t="s">
        <v>94</v>
      </c>
      <c r="D1643" t="s">
        <v>6</v>
      </c>
      <c r="E1643" t="s">
        <v>17</v>
      </c>
      <c r="F1643" t="s">
        <v>12</v>
      </c>
      <c r="G1643" t="s">
        <v>69</v>
      </c>
      <c r="H1643">
        <v>2024</v>
      </c>
      <c r="I1643">
        <v>1692</v>
      </c>
      <c r="J1643">
        <v>12.1</v>
      </c>
      <c r="K1643" t="s">
        <v>21</v>
      </c>
      <c r="L1643">
        <v>10.199999999999999</v>
      </c>
      <c r="M1643">
        <v>10</v>
      </c>
      <c r="N1643">
        <v>4131</v>
      </c>
      <c r="O1643" t="s">
        <v>55</v>
      </c>
      <c r="P1643">
        <v>80.400000000000006</v>
      </c>
      <c r="Q1643" t="s">
        <v>88</v>
      </c>
      <c r="R1643">
        <v>13.6</v>
      </c>
      <c r="S1643">
        <v>-17.600000000000001</v>
      </c>
      <c r="T1643">
        <v>-9.4</v>
      </c>
      <c r="U1643">
        <v>7</v>
      </c>
      <c r="V1643">
        <v>6.5</v>
      </c>
      <c r="W1643">
        <v>4.5999999999999996</v>
      </c>
      <c r="X1643" t="s">
        <v>116</v>
      </c>
    </row>
    <row r="1644" spans="2:24" x14ac:dyDescent="0.3">
      <c r="B1644" t="s">
        <v>1737</v>
      </c>
      <c r="C1644" t="s">
        <v>73</v>
      </c>
      <c r="D1644" t="s">
        <v>3</v>
      </c>
      <c r="E1644" t="s">
        <v>17</v>
      </c>
      <c r="F1644" t="s">
        <v>11</v>
      </c>
      <c r="G1644" t="s">
        <v>54</v>
      </c>
      <c r="H1644">
        <v>2026</v>
      </c>
      <c r="I1644">
        <v>2399</v>
      </c>
      <c r="J1644">
        <v>9</v>
      </c>
      <c r="K1644" t="s">
        <v>25</v>
      </c>
      <c r="L1644">
        <v>7.7</v>
      </c>
      <c r="M1644">
        <v>7.3</v>
      </c>
      <c r="N1644">
        <v>5062</v>
      </c>
      <c r="O1644" t="s">
        <v>64</v>
      </c>
      <c r="P1644">
        <v>67.3</v>
      </c>
      <c r="Q1644" t="s">
        <v>125</v>
      </c>
      <c r="R1644">
        <v>-30.4</v>
      </c>
      <c r="S1644">
        <v>-10.3</v>
      </c>
      <c r="T1644">
        <v>-0.4</v>
      </c>
      <c r="U1644">
        <v>5.2</v>
      </c>
      <c r="V1644">
        <v>6.6</v>
      </c>
      <c r="W1644">
        <v>5.6</v>
      </c>
      <c r="X1644" t="s">
        <v>57</v>
      </c>
    </row>
    <row r="1645" spans="2:24" x14ac:dyDescent="0.3">
      <c r="B1645" t="s">
        <v>1738</v>
      </c>
      <c r="C1645" t="s">
        <v>53</v>
      </c>
      <c r="D1645" t="s">
        <v>2</v>
      </c>
      <c r="E1645" t="s">
        <v>18</v>
      </c>
      <c r="F1645" t="s">
        <v>12</v>
      </c>
      <c r="G1645" t="s">
        <v>104</v>
      </c>
      <c r="H1645">
        <v>2026</v>
      </c>
      <c r="I1645">
        <v>3993</v>
      </c>
      <c r="J1645">
        <v>2.8</v>
      </c>
      <c r="K1645" t="s">
        <v>21</v>
      </c>
      <c r="L1645">
        <v>1.3</v>
      </c>
      <c r="M1645">
        <v>3.9</v>
      </c>
      <c r="N1645">
        <v>8878</v>
      </c>
      <c r="O1645" t="s">
        <v>118</v>
      </c>
      <c r="P1645">
        <v>53.9</v>
      </c>
      <c r="Q1645" t="s">
        <v>76</v>
      </c>
      <c r="R1645">
        <v>44.1</v>
      </c>
      <c r="S1645">
        <v>-23.3</v>
      </c>
      <c r="T1645">
        <v>-18.100000000000001</v>
      </c>
      <c r="U1645">
        <v>1.4</v>
      </c>
      <c r="V1645">
        <v>5.8</v>
      </c>
      <c r="W1645">
        <v>6</v>
      </c>
      <c r="X1645" t="s">
        <v>116</v>
      </c>
    </row>
    <row r="1646" spans="2:24" x14ac:dyDescent="0.3">
      <c r="B1646" t="s">
        <v>1739</v>
      </c>
      <c r="C1646" t="s">
        <v>81</v>
      </c>
      <c r="D1646" t="s">
        <v>5</v>
      </c>
      <c r="E1646" t="s">
        <v>17</v>
      </c>
      <c r="F1646" t="s">
        <v>9</v>
      </c>
      <c r="G1646" t="s">
        <v>69</v>
      </c>
      <c r="H1646">
        <v>2025</v>
      </c>
      <c r="I1646">
        <v>11220</v>
      </c>
      <c r="J1646">
        <v>27.9</v>
      </c>
      <c r="K1646" t="s">
        <v>22</v>
      </c>
      <c r="L1646">
        <v>2.1</v>
      </c>
      <c r="M1646">
        <v>9.1</v>
      </c>
      <c r="N1646">
        <v>1894</v>
      </c>
      <c r="O1646" t="s">
        <v>75</v>
      </c>
      <c r="P1646">
        <v>55.4</v>
      </c>
      <c r="Q1646" t="s">
        <v>88</v>
      </c>
      <c r="R1646">
        <v>85.5</v>
      </c>
      <c r="S1646">
        <v>3.6</v>
      </c>
      <c r="T1646">
        <v>-7</v>
      </c>
      <c r="U1646">
        <v>2.6</v>
      </c>
      <c r="V1646">
        <v>4</v>
      </c>
      <c r="W1646">
        <v>2.5</v>
      </c>
      <c r="X1646" t="s">
        <v>66</v>
      </c>
    </row>
    <row r="1647" spans="2:24" x14ac:dyDescent="0.3">
      <c r="B1647" t="s">
        <v>1740</v>
      </c>
      <c r="C1647" t="s">
        <v>142</v>
      </c>
      <c r="D1647" t="s">
        <v>8</v>
      </c>
      <c r="E1647" t="s">
        <v>18</v>
      </c>
      <c r="F1647" t="s">
        <v>9</v>
      </c>
      <c r="G1647" t="s">
        <v>104</v>
      </c>
      <c r="H1647">
        <v>2026</v>
      </c>
      <c r="I1647">
        <v>4499</v>
      </c>
      <c r="J1647">
        <v>15.9</v>
      </c>
      <c r="K1647" t="s">
        <v>22</v>
      </c>
      <c r="L1647">
        <v>13.2</v>
      </c>
      <c r="M1647">
        <v>10</v>
      </c>
      <c r="N1647">
        <v>4988</v>
      </c>
      <c r="O1647" t="s">
        <v>55</v>
      </c>
      <c r="P1647">
        <v>17.3</v>
      </c>
      <c r="Q1647" t="s">
        <v>86</v>
      </c>
      <c r="R1647">
        <v>-13.1</v>
      </c>
      <c r="S1647">
        <v>-18.100000000000001</v>
      </c>
      <c r="T1647">
        <v>-0.8</v>
      </c>
      <c r="U1647">
        <v>7.9</v>
      </c>
      <c r="V1647">
        <v>4.5999999999999996</v>
      </c>
      <c r="W1647">
        <v>3.1</v>
      </c>
      <c r="X1647" t="s">
        <v>116</v>
      </c>
    </row>
    <row r="1648" spans="2:24" x14ac:dyDescent="0.3">
      <c r="B1648" t="s">
        <v>1741</v>
      </c>
      <c r="C1648" t="s">
        <v>90</v>
      </c>
      <c r="D1648" t="s">
        <v>3</v>
      </c>
      <c r="E1648" t="s">
        <v>18</v>
      </c>
      <c r="F1648" t="s">
        <v>12</v>
      </c>
      <c r="G1648" t="s">
        <v>112</v>
      </c>
      <c r="H1648">
        <v>2026</v>
      </c>
      <c r="I1648">
        <v>3191</v>
      </c>
      <c r="J1648">
        <v>11.7</v>
      </c>
      <c r="K1648" t="s">
        <v>22</v>
      </c>
      <c r="L1648">
        <v>5.9</v>
      </c>
      <c r="M1648">
        <v>10</v>
      </c>
      <c r="N1648">
        <v>1159</v>
      </c>
      <c r="O1648" t="s">
        <v>64</v>
      </c>
      <c r="P1648">
        <v>76.8</v>
      </c>
      <c r="Q1648" t="s">
        <v>65</v>
      </c>
      <c r="R1648">
        <v>73</v>
      </c>
      <c r="S1648">
        <v>24.1</v>
      </c>
      <c r="T1648">
        <v>2.1</v>
      </c>
      <c r="U1648">
        <v>8</v>
      </c>
      <c r="V1648">
        <v>6.5</v>
      </c>
      <c r="W1648">
        <v>6.2</v>
      </c>
      <c r="X1648" t="s">
        <v>116</v>
      </c>
    </row>
    <row r="1649" spans="2:24" x14ac:dyDescent="0.3">
      <c r="B1649" t="s">
        <v>1742</v>
      </c>
      <c r="C1649" t="s">
        <v>137</v>
      </c>
      <c r="D1649" t="s">
        <v>4</v>
      </c>
      <c r="E1649" t="s">
        <v>19</v>
      </c>
      <c r="F1649" t="s">
        <v>12</v>
      </c>
      <c r="G1649" t="s">
        <v>60</v>
      </c>
      <c r="H1649">
        <v>2026</v>
      </c>
      <c r="I1649">
        <v>1289</v>
      </c>
      <c r="J1649">
        <v>4.3</v>
      </c>
      <c r="K1649" t="s">
        <v>25</v>
      </c>
      <c r="L1649">
        <v>5.3</v>
      </c>
      <c r="M1649">
        <v>8.8000000000000007</v>
      </c>
      <c r="N1649">
        <v>5371</v>
      </c>
      <c r="O1649" t="s">
        <v>118</v>
      </c>
      <c r="P1649">
        <v>34.799999999999997</v>
      </c>
      <c r="Q1649" t="s">
        <v>76</v>
      </c>
      <c r="R1649">
        <v>67</v>
      </c>
      <c r="S1649">
        <v>5.0999999999999996</v>
      </c>
      <c r="T1649">
        <v>-5</v>
      </c>
      <c r="U1649">
        <v>7.5</v>
      </c>
      <c r="V1649">
        <v>7</v>
      </c>
      <c r="W1649">
        <v>6.3</v>
      </c>
      <c r="X1649" t="s">
        <v>116</v>
      </c>
    </row>
    <row r="1650" spans="2:24" x14ac:dyDescent="0.3">
      <c r="B1650" t="s">
        <v>1743</v>
      </c>
      <c r="C1650" t="s">
        <v>90</v>
      </c>
      <c r="D1650" t="s">
        <v>3</v>
      </c>
      <c r="E1650" t="s">
        <v>15</v>
      </c>
      <c r="F1650" t="s">
        <v>12</v>
      </c>
      <c r="G1650" t="s">
        <v>54</v>
      </c>
      <c r="H1650">
        <v>2024</v>
      </c>
      <c r="I1650">
        <v>9153</v>
      </c>
      <c r="J1650">
        <v>33.799999999999997</v>
      </c>
      <c r="K1650" t="s">
        <v>25</v>
      </c>
      <c r="L1650">
        <v>2.2999999999999998</v>
      </c>
      <c r="M1650">
        <v>7.7</v>
      </c>
      <c r="N1650">
        <v>921</v>
      </c>
      <c r="O1650" t="s">
        <v>75</v>
      </c>
      <c r="P1650">
        <v>35.9</v>
      </c>
      <c r="Q1650" t="s">
        <v>84</v>
      </c>
      <c r="R1650">
        <v>53.6</v>
      </c>
      <c r="S1650">
        <v>45.5</v>
      </c>
      <c r="T1650">
        <v>12.4</v>
      </c>
      <c r="U1650">
        <v>2.4</v>
      </c>
      <c r="V1650">
        <v>6.9</v>
      </c>
      <c r="W1650">
        <v>5.4</v>
      </c>
      <c r="X1650" t="s">
        <v>66</v>
      </c>
    </row>
    <row r="1651" spans="2:24" x14ac:dyDescent="0.3">
      <c r="B1651" t="s">
        <v>1744</v>
      </c>
      <c r="C1651" t="s">
        <v>27</v>
      </c>
      <c r="D1651" t="s">
        <v>3</v>
      </c>
      <c r="E1651" t="s">
        <v>16</v>
      </c>
      <c r="F1651" t="s">
        <v>12</v>
      </c>
      <c r="G1651" t="s">
        <v>74</v>
      </c>
      <c r="H1651">
        <v>2025</v>
      </c>
      <c r="I1651">
        <v>384</v>
      </c>
      <c r="J1651">
        <v>7</v>
      </c>
      <c r="K1651" t="s">
        <v>22</v>
      </c>
      <c r="L1651">
        <v>11.3</v>
      </c>
      <c r="M1651">
        <v>7.1</v>
      </c>
      <c r="N1651">
        <v>4114</v>
      </c>
      <c r="O1651" t="s">
        <v>55</v>
      </c>
      <c r="P1651">
        <v>41.9</v>
      </c>
      <c r="Q1651" t="s">
        <v>76</v>
      </c>
      <c r="R1651">
        <v>-24.6</v>
      </c>
      <c r="S1651">
        <v>-19.3</v>
      </c>
      <c r="T1651">
        <v>-14.3</v>
      </c>
      <c r="U1651">
        <v>6.7</v>
      </c>
      <c r="V1651">
        <v>7.7</v>
      </c>
      <c r="W1651">
        <v>4.5</v>
      </c>
      <c r="X1651" t="s">
        <v>116</v>
      </c>
    </row>
    <row r="1652" spans="2:24" x14ac:dyDescent="0.3">
      <c r="B1652" t="s">
        <v>1745</v>
      </c>
      <c r="C1652" t="s">
        <v>53</v>
      </c>
      <c r="D1652" t="s">
        <v>4</v>
      </c>
      <c r="E1652" t="s">
        <v>14</v>
      </c>
      <c r="F1652" t="s">
        <v>10</v>
      </c>
      <c r="G1652" t="s">
        <v>60</v>
      </c>
      <c r="H1652">
        <v>2025</v>
      </c>
      <c r="I1652">
        <v>1578</v>
      </c>
      <c r="J1652">
        <v>2.2000000000000002</v>
      </c>
      <c r="K1652" t="s">
        <v>23</v>
      </c>
      <c r="L1652">
        <v>1.7</v>
      </c>
      <c r="M1652">
        <v>2.7</v>
      </c>
      <c r="N1652">
        <v>4058</v>
      </c>
      <c r="O1652" t="s">
        <v>64</v>
      </c>
      <c r="P1652">
        <v>54.6</v>
      </c>
      <c r="Q1652" t="s">
        <v>76</v>
      </c>
      <c r="R1652">
        <v>0.9</v>
      </c>
      <c r="S1652">
        <v>27</v>
      </c>
      <c r="T1652">
        <v>1.1000000000000001</v>
      </c>
      <c r="U1652">
        <v>1.7</v>
      </c>
      <c r="V1652">
        <v>9.1</v>
      </c>
      <c r="W1652">
        <v>9</v>
      </c>
      <c r="X1652" t="s">
        <v>57</v>
      </c>
    </row>
    <row r="1653" spans="2:24" x14ac:dyDescent="0.3">
      <c r="B1653" t="s">
        <v>1746</v>
      </c>
      <c r="C1653" t="s">
        <v>71</v>
      </c>
      <c r="D1653" t="s">
        <v>5</v>
      </c>
      <c r="E1653" t="s">
        <v>16</v>
      </c>
      <c r="F1653" t="s">
        <v>10</v>
      </c>
      <c r="G1653" t="s">
        <v>78</v>
      </c>
      <c r="H1653">
        <v>2025</v>
      </c>
      <c r="I1653">
        <v>406</v>
      </c>
      <c r="J1653">
        <v>5.8</v>
      </c>
      <c r="K1653" t="s">
        <v>22</v>
      </c>
      <c r="L1653">
        <v>10.1</v>
      </c>
      <c r="M1653">
        <v>4.4000000000000004</v>
      </c>
      <c r="N1653">
        <v>4349</v>
      </c>
      <c r="O1653" t="s">
        <v>55</v>
      </c>
      <c r="P1653">
        <v>69.599999999999994</v>
      </c>
      <c r="Q1653" t="s">
        <v>84</v>
      </c>
      <c r="R1653">
        <v>9.1999999999999993</v>
      </c>
      <c r="S1653">
        <v>-17.2</v>
      </c>
      <c r="T1653">
        <v>-2.7</v>
      </c>
      <c r="U1653">
        <v>7.4</v>
      </c>
      <c r="V1653">
        <v>5.0999999999999996</v>
      </c>
      <c r="W1653">
        <v>5.3</v>
      </c>
      <c r="X1653" t="s">
        <v>116</v>
      </c>
    </row>
    <row r="1654" spans="2:24" x14ac:dyDescent="0.3">
      <c r="B1654" t="s">
        <v>1747</v>
      </c>
      <c r="C1654" t="s">
        <v>71</v>
      </c>
      <c r="D1654" t="s">
        <v>5</v>
      </c>
      <c r="E1654" t="s">
        <v>19</v>
      </c>
      <c r="F1654" t="s">
        <v>10</v>
      </c>
      <c r="G1654" t="s">
        <v>69</v>
      </c>
      <c r="H1654">
        <v>2024</v>
      </c>
      <c r="I1654">
        <v>2811</v>
      </c>
      <c r="J1654">
        <v>2.2999999999999998</v>
      </c>
      <c r="K1654" t="s">
        <v>22</v>
      </c>
      <c r="L1654">
        <v>3.1</v>
      </c>
      <c r="M1654">
        <v>2.8</v>
      </c>
      <c r="N1654">
        <v>3066</v>
      </c>
      <c r="O1654" t="s">
        <v>64</v>
      </c>
      <c r="P1654">
        <v>21.8</v>
      </c>
      <c r="Q1654" t="s">
        <v>86</v>
      </c>
      <c r="R1654">
        <v>82.6</v>
      </c>
      <c r="S1654">
        <v>-16.600000000000001</v>
      </c>
      <c r="T1654">
        <v>-12.2</v>
      </c>
      <c r="U1654">
        <v>3.8</v>
      </c>
      <c r="V1654">
        <v>5.9</v>
      </c>
      <c r="W1654">
        <v>6.3</v>
      </c>
      <c r="X1654" t="s">
        <v>116</v>
      </c>
    </row>
    <row r="1655" spans="2:24" x14ac:dyDescent="0.3">
      <c r="B1655" t="s">
        <v>1748</v>
      </c>
      <c r="C1655" t="s">
        <v>68</v>
      </c>
      <c r="D1655" t="s">
        <v>8</v>
      </c>
      <c r="E1655" t="s">
        <v>18</v>
      </c>
      <c r="F1655" t="s">
        <v>10</v>
      </c>
      <c r="G1655" t="s">
        <v>54</v>
      </c>
      <c r="H1655">
        <v>2026</v>
      </c>
      <c r="I1655">
        <v>1416</v>
      </c>
      <c r="J1655">
        <v>1.7</v>
      </c>
      <c r="K1655" t="s">
        <v>23</v>
      </c>
      <c r="L1655">
        <v>6.9</v>
      </c>
      <c r="M1655">
        <v>5.4</v>
      </c>
      <c r="N1655">
        <v>1912</v>
      </c>
      <c r="O1655" t="s">
        <v>55</v>
      </c>
      <c r="P1655">
        <v>63.8</v>
      </c>
      <c r="Q1655" t="s">
        <v>88</v>
      </c>
      <c r="R1655">
        <v>22.7</v>
      </c>
      <c r="S1655">
        <v>-13.1</v>
      </c>
      <c r="T1655">
        <v>-9.8000000000000007</v>
      </c>
      <c r="U1655">
        <v>6.2</v>
      </c>
      <c r="V1655">
        <v>8</v>
      </c>
      <c r="W1655">
        <v>5.5</v>
      </c>
      <c r="X1655" t="s">
        <v>57</v>
      </c>
    </row>
    <row r="1656" spans="2:24" x14ac:dyDescent="0.3">
      <c r="B1656" t="s">
        <v>1749</v>
      </c>
      <c r="C1656" t="s">
        <v>53</v>
      </c>
      <c r="D1656" t="s">
        <v>7</v>
      </c>
      <c r="E1656" t="s">
        <v>16</v>
      </c>
      <c r="F1656" t="s">
        <v>10</v>
      </c>
      <c r="G1656" t="s">
        <v>69</v>
      </c>
      <c r="H1656">
        <v>2026</v>
      </c>
      <c r="I1656">
        <v>6754</v>
      </c>
      <c r="J1656">
        <v>6.6</v>
      </c>
      <c r="K1656" t="s">
        <v>23</v>
      </c>
      <c r="L1656">
        <v>8.1</v>
      </c>
      <c r="M1656">
        <v>9.5</v>
      </c>
      <c r="N1656">
        <v>5837</v>
      </c>
      <c r="O1656" t="s">
        <v>55</v>
      </c>
      <c r="P1656">
        <v>55.1</v>
      </c>
      <c r="Q1656" t="s">
        <v>125</v>
      </c>
      <c r="R1656">
        <v>-35.200000000000003</v>
      </c>
      <c r="S1656">
        <v>57.4</v>
      </c>
      <c r="T1656">
        <v>33.200000000000003</v>
      </c>
      <c r="U1656">
        <v>7.3</v>
      </c>
      <c r="V1656">
        <v>6.4</v>
      </c>
      <c r="W1656">
        <v>7.2</v>
      </c>
      <c r="X1656" t="s">
        <v>116</v>
      </c>
    </row>
    <row r="1657" spans="2:24" x14ac:dyDescent="0.3">
      <c r="B1657" t="s">
        <v>1750</v>
      </c>
      <c r="C1657" t="s">
        <v>106</v>
      </c>
      <c r="D1657" t="s">
        <v>2</v>
      </c>
      <c r="E1657" t="s">
        <v>15</v>
      </c>
      <c r="F1657" t="s">
        <v>11</v>
      </c>
      <c r="G1657" t="s">
        <v>60</v>
      </c>
      <c r="H1657">
        <v>2024</v>
      </c>
      <c r="I1657">
        <v>331</v>
      </c>
      <c r="J1657">
        <v>7.9</v>
      </c>
      <c r="K1657" t="s">
        <v>23</v>
      </c>
      <c r="L1657">
        <v>4</v>
      </c>
      <c r="M1657">
        <v>6.2</v>
      </c>
      <c r="N1657">
        <v>3427</v>
      </c>
      <c r="O1657" t="s">
        <v>64</v>
      </c>
      <c r="P1657">
        <v>68</v>
      </c>
      <c r="Q1657" t="s">
        <v>76</v>
      </c>
      <c r="R1657">
        <v>-24.5</v>
      </c>
      <c r="S1657">
        <v>-18</v>
      </c>
      <c r="T1657">
        <v>-12.1</v>
      </c>
      <c r="U1657">
        <v>3.7</v>
      </c>
      <c r="V1657">
        <v>3.8</v>
      </c>
      <c r="W1657">
        <v>5.6</v>
      </c>
      <c r="X1657" t="s">
        <v>57</v>
      </c>
    </row>
    <row r="1658" spans="2:24" x14ac:dyDescent="0.3">
      <c r="B1658" t="s">
        <v>1751</v>
      </c>
      <c r="C1658" t="s">
        <v>142</v>
      </c>
      <c r="D1658" t="s">
        <v>2</v>
      </c>
      <c r="E1658" t="s">
        <v>14</v>
      </c>
      <c r="F1658" t="s">
        <v>11</v>
      </c>
      <c r="G1658" t="s">
        <v>78</v>
      </c>
      <c r="H1658">
        <v>2026</v>
      </c>
      <c r="I1658">
        <v>807</v>
      </c>
      <c r="J1658">
        <v>4.3</v>
      </c>
      <c r="K1658" t="s">
        <v>25</v>
      </c>
      <c r="L1658">
        <v>11.3</v>
      </c>
      <c r="M1658">
        <v>10</v>
      </c>
      <c r="N1658">
        <v>4018</v>
      </c>
      <c r="O1658" t="s">
        <v>55</v>
      </c>
      <c r="P1658">
        <v>64.599999999999994</v>
      </c>
      <c r="Q1658" t="s">
        <v>56</v>
      </c>
      <c r="R1658">
        <v>73.5</v>
      </c>
      <c r="S1658">
        <v>7.9</v>
      </c>
      <c r="T1658">
        <v>3.1</v>
      </c>
      <c r="U1658">
        <v>9.6</v>
      </c>
      <c r="V1658">
        <v>7.5</v>
      </c>
      <c r="W1658">
        <v>6.7</v>
      </c>
      <c r="X1658" t="s">
        <v>57</v>
      </c>
    </row>
    <row r="1659" spans="2:24" x14ac:dyDescent="0.3">
      <c r="B1659" t="s">
        <v>1752</v>
      </c>
      <c r="C1659" t="s">
        <v>59</v>
      </c>
      <c r="D1659" t="s">
        <v>4</v>
      </c>
      <c r="E1659" t="s">
        <v>18</v>
      </c>
      <c r="F1659" t="s">
        <v>10</v>
      </c>
      <c r="G1659" t="s">
        <v>54</v>
      </c>
      <c r="H1659">
        <v>2024</v>
      </c>
      <c r="I1659">
        <v>14975</v>
      </c>
      <c r="J1659">
        <v>12.8</v>
      </c>
      <c r="K1659" t="s">
        <v>23</v>
      </c>
      <c r="L1659">
        <v>3.9</v>
      </c>
      <c r="M1659">
        <v>10</v>
      </c>
      <c r="N1659">
        <v>546</v>
      </c>
      <c r="O1659" t="s">
        <v>64</v>
      </c>
      <c r="P1659">
        <v>59.9</v>
      </c>
      <c r="Q1659" t="s">
        <v>125</v>
      </c>
      <c r="R1659">
        <v>-31.8</v>
      </c>
      <c r="S1659">
        <v>30.1</v>
      </c>
      <c r="T1659">
        <v>12.4</v>
      </c>
      <c r="U1659">
        <v>4.9000000000000004</v>
      </c>
      <c r="V1659">
        <v>5.3</v>
      </c>
      <c r="W1659">
        <v>4.8</v>
      </c>
      <c r="X1659" t="s">
        <v>66</v>
      </c>
    </row>
    <row r="1660" spans="2:24" x14ac:dyDescent="0.3">
      <c r="B1660" t="s">
        <v>1753</v>
      </c>
      <c r="C1660" t="s">
        <v>71</v>
      </c>
      <c r="D1660" t="s">
        <v>5</v>
      </c>
      <c r="E1660" t="s">
        <v>15</v>
      </c>
      <c r="F1660" t="s">
        <v>10</v>
      </c>
      <c r="G1660" t="s">
        <v>112</v>
      </c>
      <c r="H1660">
        <v>2026</v>
      </c>
      <c r="I1660">
        <v>1415</v>
      </c>
      <c r="J1660">
        <v>4.8</v>
      </c>
      <c r="K1660" t="s">
        <v>21</v>
      </c>
      <c r="L1660">
        <v>5.7</v>
      </c>
      <c r="M1660">
        <v>3.2</v>
      </c>
      <c r="N1660">
        <v>5702</v>
      </c>
      <c r="O1660" t="s">
        <v>118</v>
      </c>
      <c r="P1660">
        <v>48.3</v>
      </c>
      <c r="Q1660" t="s">
        <v>84</v>
      </c>
      <c r="R1660">
        <v>1</v>
      </c>
      <c r="S1660">
        <v>36.1</v>
      </c>
      <c r="T1660">
        <v>19.600000000000001</v>
      </c>
      <c r="U1660">
        <v>5.8</v>
      </c>
      <c r="V1660">
        <v>9.1999999999999993</v>
      </c>
      <c r="W1660">
        <v>7.6</v>
      </c>
      <c r="X1660" t="s">
        <v>57</v>
      </c>
    </row>
    <row r="1661" spans="2:24" x14ac:dyDescent="0.3">
      <c r="B1661" t="s">
        <v>1754</v>
      </c>
      <c r="C1661" t="s">
        <v>90</v>
      </c>
      <c r="D1661" t="s">
        <v>5</v>
      </c>
      <c r="E1661" t="s">
        <v>15</v>
      </c>
      <c r="F1661" t="s">
        <v>10</v>
      </c>
      <c r="G1661" t="s">
        <v>54</v>
      </c>
      <c r="H1661">
        <v>2024</v>
      </c>
      <c r="I1661">
        <v>14142</v>
      </c>
      <c r="J1661">
        <v>17</v>
      </c>
      <c r="K1661" t="s">
        <v>25</v>
      </c>
      <c r="L1661">
        <v>3.8</v>
      </c>
      <c r="M1661">
        <v>6.1</v>
      </c>
      <c r="N1661">
        <v>1066</v>
      </c>
      <c r="O1661" t="s">
        <v>64</v>
      </c>
      <c r="P1661">
        <v>18.100000000000001</v>
      </c>
      <c r="Q1661" t="s">
        <v>86</v>
      </c>
      <c r="R1661">
        <v>37.5</v>
      </c>
      <c r="S1661">
        <v>16.2</v>
      </c>
      <c r="T1661">
        <v>0.1</v>
      </c>
      <c r="U1661">
        <v>2.9</v>
      </c>
      <c r="V1661">
        <v>5.0999999999999996</v>
      </c>
      <c r="W1661">
        <v>4.7</v>
      </c>
      <c r="X1661" t="s">
        <v>66</v>
      </c>
    </row>
    <row r="1662" spans="2:24" x14ac:dyDescent="0.3">
      <c r="B1662" t="s">
        <v>1755</v>
      </c>
      <c r="C1662" t="s">
        <v>90</v>
      </c>
      <c r="D1662" t="s">
        <v>6</v>
      </c>
      <c r="E1662" t="s">
        <v>16</v>
      </c>
      <c r="F1662" t="s">
        <v>12</v>
      </c>
      <c r="G1662" t="s">
        <v>112</v>
      </c>
      <c r="H1662">
        <v>2025</v>
      </c>
      <c r="I1662">
        <v>262</v>
      </c>
      <c r="J1662">
        <v>8</v>
      </c>
      <c r="K1662" t="s">
        <v>24</v>
      </c>
      <c r="L1662">
        <v>9</v>
      </c>
      <c r="M1662">
        <v>6.3</v>
      </c>
      <c r="N1662">
        <v>2633</v>
      </c>
      <c r="O1662" t="s">
        <v>55</v>
      </c>
      <c r="P1662">
        <v>20</v>
      </c>
      <c r="Q1662" t="s">
        <v>86</v>
      </c>
      <c r="R1662">
        <v>-20.2</v>
      </c>
      <c r="S1662">
        <v>-0.2</v>
      </c>
      <c r="T1662">
        <v>4.2</v>
      </c>
      <c r="U1662">
        <v>6.5</v>
      </c>
      <c r="V1662">
        <v>4.7</v>
      </c>
      <c r="W1662">
        <v>6.8</v>
      </c>
      <c r="X1662" t="s">
        <v>57</v>
      </c>
    </row>
    <row r="1663" spans="2:24" x14ac:dyDescent="0.3">
      <c r="B1663" t="s">
        <v>1756</v>
      </c>
      <c r="C1663" t="s">
        <v>73</v>
      </c>
      <c r="D1663" t="s">
        <v>3</v>
      </c>
      <c r="E1663" t="s">
        <v>17</v>
      </c>
      <c r="F1663" t="s">
        <v>11</v>
      </c>
      <c r="G1663" t="s">
        <v>54</v>
      </c>
      <c r="H1663">
        <v>2025</v>
      </c>
      <c r="I1663">
        <v>1824</v>
      </c>
      <c r="J1663">
        <v>4.2</v>
      </c>
      <c r="K1663" t="s">
        <v>21</v>
      </c>
      <c r="L1663">
        <v>2.6</v>
      </c>
      <c r="M1663">
        <v>2.4</v>
      </c>
      <c r="N1663">
        <v>919</v>
      </c>
      <c r="O1663" t="s">
        <v>64</v>
      </c>
      <c r="P1663">
        <v>50.4</v>
      </c>
      <c r="Q1663" t="s">
        <v>79</v>
      </c>
      <c r="R1663">
        <v>72.099999999999994</v>
      </c>
      <c r="S1663">
        <v>45.4</v>
      </c>
      <c r="T1663">
        <v>8.6999999999999993</v>
      </c>
      <c r="U1663">
        <v>2.2999999999999998</v>
      </c>
      <c r="V1663">
        <v>9</v>
      </c>
      <c r="W1663">
        <v>7.8</v>
      </c>
      <c r="X1663" t="s">
        <v>116</v>
      </c>
    </row>
    <row r="1664" spans="2:24" x14ac:dyDescent="0.3">
      <c r="B1664" t="s">
        <v>1757</v>
      </c>
      <c r="C1664" t="s">
        <v>62</v>
      </c>
      <c r="D1664" t="s">
        <v>2</v>
      </c>
      <c r="E1664" t="s">
        <v>16</v>
      </c>
      <c r="F1664" t="s">
        <v>11</v>
      </c>
      <c r="G1664" t="s">
        <v>115</v>
      </c>
      <c r="H1664">
        <v>2024</v>
      </c>
      <c r="I1664">
        <v>8611</v>
      </c>
      <c r="J1664">
        <v>10</v>
      </c>
      <c r="K1664" t="s">
        <v>24</v>
      </c>
      <c r="L1664">
        <v>1.3</v>
      </c>
      <c r="M1664">
        <v>5.5</v>
      </c>
      <c r="N1664">
        <v>9612</v>
      </c>
      <c r="O1664" t="s">
        <v>118</v>
      </c>
      <c r="P1664">
        <v>77.7</v>
      </c>
      <c r="Q1664" t="s">
        <v>56</v>
      </c>
      <c r="R1664">
        <v>55.5</v>
      </c>
      <c r="S1664">
        <v>34.299999999999997</v>
      </c>
      <c r="T1664">
        <v>18.7</v>
      </c>
      <c r="U1664">
        <v>1.6</v>
      </c>
      <c r="V1664">
        <v>5.3</v>
      </c>
      <c r="W1664">
        <v>7.7</v>
      </c>
      <c r="X1664" t="s">
        <v>66</v>
      </c>
    </row>
    <row r="1665" spans="2:24" x14ac:dyDescent="0.3">
      <c r="B1665" t="s">
        <v>1758</v>
      </c>
      <c r="C1665" t="s">
        <v>106</v>
      </c>
      <c r="D1665" t="s">
        <v>8</v>
      </c>
      <c r="E1665" t="s">
        <v>18</v>
      </c>
      <c r="F1665" t="s">
        <v>11</v>
      </c>
      <c r="G1665" t="s">
        <v>54</v>
      </c>
      <c r="H1665">
        <v>2025</v>
      </c>
      <c r="I1665">
        <v>19983</v>
      </c>
      <c r="J1665">
        <v>8.4</v>
      </c>
      <c r="K1665" t="s">
        <v>22</v>
      </c>
      <c r="L1665">
        <v>2.1</v>
      </c>
      <c r="M1665">
        <v>5.8</v>
      </c>
      <c r="N1665">
        <v>1836</v>
      </c>
      <c r="O1665" t="s">
        <v>64</v>
      </c>
      <c r="P1665">
        <v>87.8</v>
      </c>
      <c r="Q1665" t="s">
        <v>84</v>
      </c>
      <c r="R1665">
        <v>64.099999999999994</v>
      </c>
      <c r="S1665">
        <v>32.799999999999997</v>
      </c>
      <c r="T1665">
        <v>5</v>
      </c>
      <c r="U1665">
        <v>3.4</v>
      </c>
      <c r="V1665">
        <v>8.4</v>
      </c>
      <c r="W1665">
        <v>6.5</v>
      </c>
      <c r="X1665" t="s">
        <v>66</v>
      </c>
    </row>
    <row r="1666" spans="2:24" x14ac:dyDescent="0.3">
      <c r="B1666" t="s">
        <v>1759</v>
      </c>
      <c r="C1666" t="s">
        <v>53</v>
      </c>
      <c r="D1666" t="s">
        <v>7</v>
      </c>
      <c r="E1666" t="s">
        <v>15</v>
      </c>
      <c r="F1666" t="s">
        <v>11</v>
      </c>
      <c r="G1666" t="s">
        <v>60</v>
      </c>
      <c r="H1666">
        <v>2025</v>
      </c>
      <c r="I1666">
        <v>4250</v>
      </c>
      <c r="J1666">
        <v>2.8</v>
      </c>
      <c r="K1666" t="s">
        <v>23</v>
      </c>
      <c r="L1666">
        <v>7.1</v>
      </c>
      <c r="M1666">
        <v>10</v>
      </c>
      <c r="N1666">
        <v>2715</v>
      </c>
      <c r="O1666" t="s">
        <v>55</v>
      </c>
      <c r="P1666">
        <v>39.1</v>
      </c>
      <c r="Q1666" t="s">
        <v>79</v>
      </c>
      <c r="R1666">
        <v>30.5</v>
      </c>
      <c r="S1666">
        <v>0.4</v>
      </c>
      <c r="T1666">
        <v>9.1</v>
      </c>
      <c r="U1666">
        <v>9</v>
      </c>
      <c r="V1666">
        <v>5.9</v>
      </c>
      <c r="W1666">
        <v>4.8</v>
      </c>
      <c r="X1666" t="s">
        <v>116</v>
      </c>
    </row>
    <row r="1667" spans="2:24" x14ac:dyDescent="0.3">
      <c r="B1667" t="s">
        <v>1760</v>
      </c>
      <c r="C1667" t="s">
        <v>27</v>
      </c>
      <c r="D1667" t="s">
        <v>3</v>
      </c>
      <c r="E1667" t="s">
        <v>17</v>
      </c>
      <c r="F1667" t="s">
        <v>12</v>
      </c>
      <c r="G1667" t="s">
        <v>63</v>
      </c>
      <c r="H1667">
        <v>2026</v>
      </c>
      <c r="I1667">
        <v>4819</v>
      </c>
      <c r="J1667">
        <v>24.3</v>
      </c>
      <c r="K1667" t="s">
        <v>21</v>
      </c>
      <c r="L1667">
        <v>4.5999999999999996</v>
      </c>
      <c r="M1667">
        <v>10</v>
      </c>
      <c r="N1667">
        <v>516</v>
      </c>
      <c r="O1667" t="s">
        <v>75</v>
      </c>
      <c r="P1667">
        <v>34.1</v>
      </c>
      <c r="Q1667" t="s">
        <v>86</v>
      </c>
      <c r="R1667">
        <v>39.6</v>
      </c>
      <c r="S1667">
        <v>-22.5</v>
      </c>
      <c r="T1667">
        <v>-20</v>
      </c>
      <c r="U1667">
        <v>6.3</v>
      </c>
      <c r="V1667">
        <v>3.9</v>
      </c>
      <c r="W1667">
        <v>2.8</v>
      </c>
      <c r="X1667" t="s">
        <v>66</v>
      </c>
    </row>
    <row r="1668" spans="2:24" x14ac:dyDescent="0.3">
      <c r="B1668" t="s">
        <v>1761</v>
      </c>
      <c r="C1668" t="s">
        <v>53</v>
      </c>
      <c r="D1668" t="s">
        <v>2</v>
      </c>
      <c r="E1668" t="s">
        <v>17</v>
      </c>
      <c r="F1668" t="s">
        <v>11</v>
      </c>
      <c r="G1668" t="s">
        <v>131</v>
      </c>
      <c r="H1668">
        <v>2024</v>
      </c>
      <c r="I1668">
        <v>17566</v>
      </c>
      <c r="J1668">
        <v>35.5</v>
      </c>
      <c r="K1668" t="s">
        <v>22</v>
      </c>
      <c r="L1668">
        <v>2.6</v>
      </c>
      <c r="M1668">
        <v>10</v>
      </c>
      <c r="N1668">
        <v>1223</v>
      </c>
      <c r="O1668" t="s">
        <v>75</v>
      </c>
      <c r="P1668">
        <v>75.900000000000006</v>
      </c>
      <c r="Q1668" t="s">
        <v>76</v>
      </c>
      <c r="R1668">
        <v>83.5</v>
      </c>
      <c r="S1668">
        <v>24.4</v>
      </c>
      <c r="T1668">
        <v>0.2</v>
      </c>
      <c r="U1668">
        <v>3.4</v>
      </c>
      <c r="V1668">
        <v>4.3</v>
      </c>
      <c r="W1668">
        <v>2.9</v>
      </c>
      <c r="X1668" t="s">
        <v>66</v>
      </c>
    </row>
    <row r="1669" spans="2:24" x14ac:dyDescent="0.3">
      <c r="B1669" t="s">
        <v>1762</v>
      </c>
      <c r="C1669" t="s">
        <v>73</v>
      </c>
      <c r="D1669" t="s">
        <v>3</v>
      </c>
      <c r="E1669" t="s">
        <v>19</v>
      </c>
      <c r="F1669" t="s">
        <v>10</v>
      </c>
      <c r="G1669" t="s">
        <v>78</v>
      </c>
      <c r="H1669">
        <v>2025</v>
      </c>
      <c r="I1669">
        <v>1482</v>
      </c>
      <c r="J1669">
        <v>8.5</v>
      </c>
      <c r="K1669" t="s">
        <v>25</v>
      </c>
      <c r="L1669">
        <v>2.9</v>
      </c>
      <c r="M1669">
        <v>7.1</v>
      </c>
      <c r="N1669">
        <v>370</v>
      </c>
      <c r="O1669" t="s">
        <v>64</v>
      </c>
      <c r="P1669">
        <v>31.7</v>
      </c>
      <c r="Q1669" t="s">
        <v>79</v>
      </c>
      <c r="R1669">
        <v>73.099999999999994</v>
      </c>
      <c r="S1669">
        <v>20.6</v>
      </c>
      <c r="T1669">
        <v>10.3</v>
      </c>
      <c r="U1669">
        <v>3.5</v>
      </c>
      <c r="V1669">
        <v>6.3</v>
      </c>
      <c r="W1669">
        <v>6.8</v>
      </c>
      <c r="X1669" t="s">
        <v>116</v>
      </c>
    </row>
    <row r="1670" spans="2:24" x14ac:dyDescent="0.3">
      <c r="B1670" t="s">
        <v>1763</v>
      </c>
      <c r="C1670" t="s">
        <v>53</v>
      </c>
      <c r="D1670" t="s">
        <v>3</v>
      </c>
      <c r="E1670" t="s">
        <v>16</v>
      </c>
      <c r="F1670" t="s">
        <v>9</v>
      </c>
      <c r="G1670" t="s">
        <v>74</v>
      </c>
      <c r="H1670">
        <v>2025</v>
      </c>
      <c r="I1670">
        <v>32</v>
      </c>
      <c r="J1670">
        <v>1.8</v>
      </c>
      <c r="K1670" t="s">
        <v>25</v>
      </c>
      <c r="L1670">
        <v>8.4</v>
      </c>
      <c r="M1670">
        <v>7.3</v>
      </c>
      <c r="N1670">
        <v>1026</v>
      </c>
      <c r="O1670" t="s">
        <v>64</v>
      </c>
      <c r="P1670">
        <v>45.6</v>
      </c>
      <c r="Q1670" t="s">
        <v>79</v>
      </c>
      <c r="R1670">
        <v>63.4</v>
      </c>
      <c r="S1670">
        <v>39.1</v>
      </c>
      <c r="T1670">
        <v>9.6999999999999993</v>
      </c>
      <c r="U1670">
        <v>6.9</v>
      </c>
      <c r="V1670">
        <v>8</v>
      </c>
      <c r="W1670">
        <v>6.7</v>
      </c>
      <c r="X1670" t="s">
        <v>57</v>
      </c>
    </row>
    <row r="1671" spans="2:24" x14ac:dyDescent="0.3">
      <c r="B1671" t="s">
        <v>1764</v>
      </c>
      <c r="C1671" t="s">
        <v>159</v>
      </c>
      <c r="D1671" t="s">
        <v>2</v>
      </c>
      <c r="E1671" t="s">
        <v>15</v>
      </c>
      <c r="F1671" t="s">
        <v>12</v>
      </c>
      <c r="G1671" t="s">
        <v>69</v>
      </c>
      <c r="H1671">
        <v>2025</v>
      </c>
      <c r="I1671">
        <v>3154</v>
      </c>
      <c r="J1671">
        <v>4</v>
      </c>
      <c r="K1671" t="s">
        <v>24</v>
      </c>
      <c r="L1671">
        <v>4.4000000000000004</v>
      </c>
      <c r="M1671">
        <v>5.3</v>
      </c>
      <c r="N1671">
        <v>6579</v>
      </c>
      <c r="O1671" t="s">
        <v>118</v>
      </c>
      <c r="P1671">
        <v>74.599999999999994</v>
      </c>
      <c r="Q1671" t="s">
        <v>56</v>
      </c>
      <c r="R1671">
        <v>23.8</v>
      </c>
      <c r="S1671">
        <v>2</v>
      </c>
      <c r="T1671">
        <v>-3.3</v>
      </c>
      <c r="U1671">
        <v>3.9</v>
      </c>
      <c r="V1671">
        <v>5.0999999999999996</v>
      </c>
      <c r="W1671">
        <v>6.4</v>
      </c>
      <c r="X1671" t="s">
        <v>116</v>
      </c>
    </row>
    <row r="1672" spans="2:24" x14ac:dyDescent="0.3">
      <c r="B1672" t="s">
        <v>1765</v>
      </c>
      <c r="C1672" t="s">
        <v>81</v>
      </c>
      <c r="D1672" t="s">
        <v>5</v>
      </c>
      <c r="E1672" t="s">
        <v>17</v>
      </c>
      <c r="F1672" t="s">
        <v>12</v>
      </c>
      <c r="G1672" t="s">
        <v>74</v>
      </c>
      <c r="H1672">
        <v>2025</v>
      </c>
      <c r="I1672">
        <v>6776</v>
      </c>
      <c r="J1672">
        <v>15.9</v>
      </c>
      <c r="K1672" t="s">
        <v>21</v>
      </c>
      <c r="L1672">
        <v>9.8000000000000007</v>
      </c>
      <c r="M1672">
        <v>10</v>
      </c>
      <c r="N1672">
        <v>2845</v>
      </c>
      <c r="O1672" t="s">
        <v>64</v>
      </c>
      <c r="P1672">
        <v>36.700000000000003</v>
      </c>
      <c r="Q1672" t="s">
        <v>79</v>
      </c>
      <c r="R1672">
        <v>31.1</v>
      </c>
      <c r="S1672">
        <v>48.8</v>
      </c>
      <c r="T1672">
        <v>13</v>
      </c>
      <c r="U1672">
        <v>6.3</v>
      </c>
      <c r="V1672">
        <v>7.8</v>
      </c>
      <c r="W1672">
        <v>6.8</v>
      </c>
      <c r="X1672" t="s">
        <v>116</v>
      </c>
    </row>
    <row r="1673" spans="2:24" x14ac:dyDescent="0.3">
      <c r="B1673" t="s">
        <v>1766</v>
      </c>
      <c r="C1673" t="s">
        <v>106</v>
      </c>
      <c r="D1673" t="s">
        <v>8</v>
      </c>
      <c r="E1673" t="s">
        <v>17</v>
      </c>
      <c r="F1673" t="s">
        <v>9</v>
      </c>
      <c r="G1673" t="s">
        <v>54</v>
      </c>
      <c r="H1673">
        <v>2026</v>
      </c>
      <c r="I1673">
        <v>16923</v>
      </c>
      <c r="J1673">
        <v>27.3</v>
      </c>
      <c r="K1673" t="s">
        <v>23</v>
      </c>
      <c r="L1673">
        <v>5.5</v>
      </c>
      <c r="M1673">
        <v>10</v>
      </c>
      <c r="N1673">
        <v>1007</v>
      </c>
      <c r="O1673" t="s">
        <v>64</v>
      </c>
      <c r="P1673">
        <v>81.099999999999994</v>
      </c>
      <c r="Q1673" t="s">
        <v>86</v>
      </c>
      <c r="R1673">
        <v>22.1</v>
      </c>
      <c r="S1673">
        <v>21.9</v>
      </c>
      <c r="T1673">
        <v>-1.8</v>
      </c>
      <c r="U1673">
        <v>8.1</v>
      </c>
      <c r="V1673">
        <v>6.3</v>
      </c>
      <c r="W1673">
        <v>3.4</v>
      </c>
      <c r="X1673" t="s">
        <v>66</v>
      </c>
    </row>
    <row r="1674" spans="2:24" x14ac:dyDescent="0.3">
      <c r="B1674" t="s">
        <v>1767</v>
      </c>
      <c r="C1674" t="s">
        <v>97</v>
      </c>
      <c r="D1674" t="s">
        <v>3</v>
      </c>
      <c r="E1674" t="s">
        <v>19</v>
      </c>
      <c r="F1674" t="s">
        <v>10</v>
      </c>
      <c r="G1674" t="s">
        <v>54</v>
      </c>
      <c r="H1674">
        <v>2026</v>
      </c>
      <c r="I1674">
        <v>1801</v>
      </c>
      <c r="J1674">
        <v>7.5</v>
      </c>
      <c r="K1674" t="s">
        <v>24</v>
      </c>
      <c r="L1674">
        <v>5.2</v>
      </c>
      <c r="M1674">
        <v>4.7</v>
      </c>
      <c r="N1674">
        <v>4812</v>
      </c>
      <c r="O1674" t="s">
        <v>55</v>
      </c>
      <c r="P1674">
        <v>58.4</v>
      </c>
      <c r="Q1674" t="s">
        <v>65</v>
      </c>
      <c r="R1674">
        <v>1.8</v>
      </c>
      <c r="S1674">
        <v>33.1</v>
      </c>
      <c r="T1674">
        <v>14.3</v>
      </c>
      <c r="U1674">
        <v>3.7</v>
      </c>
      <c r="V1674">
        <v>6.9</v>
      </c>
      <c r="W1674">
        <v>7.9</v>
      </c>
      <c r="X1674" t="s">
        <v>57</v>
      </c>
    </row>
    <row r="1675" spans="2:24" x14ac:dyDescent="0.3">
      <c r="B1675" t="s">
        <v>1768</v>
      </c>
      <c r="C1675" t="s">
        <v>159</v>
      </c>
      <c r="D1675" t="s">
        <v>7</v>
      </c>
      <c r="E1675" t="s">
        <v>19</v>
      </c>
      <c r="F1675" t="s">
        <v>9</v>
      </c>
      <c r="G1675" t="s">
        <v>78</v>
      </c>
      <c r="H1675">
        <v>2024</v>
      </c>
      <c r="I1675">
        <v>269</v>
      </c>
      <c r="J1675">
        <v>5.5</v>
      </c>
      <c r="K1675" t="s">
        <v>22</v>
      </c>
      <c r="L1675">
        <v>11.1</v>
      </c>
      <c r="M1675">
        <v>9.1</v>
      </c>
      <c r="N1675">
        <v>295</v>
      </c>
      <c r="O1675" t="s">
        <v>55</v>
      </c>
      <c r="P1675">
        <v>47.2</v>
      </c>
      <c r="Q1675" t="s">
        <v>84</v>
      </c>
      <c r="R1675">
        <v>-0.7</v>
      </c>
      <c r="S1675">
        <v>42.3</v>
      </c>
      <c r="T1675">
        <v>14.3</v>
      </c>
      <c r="U1675">
        <v>9</v>
      </c>
      <c r="V1675">
        <v>8.4</v>
      </c>
      <c r="W1675">
        <v>7.6</v>
      </c>
      <c r="X1675" t="s">
        <v>57</v>
      </c>
    </row>
    <row r="1676" spans="2:24" x14ac:dyDescent="0.3">
      <c r="B1676" t="s">
        <v>1769</v>
      </c>
      <c r="C1676" t="s">
        <v>137</v>
      </c>
      <c r="D1676" t="s">
        <v>3</v>
      </c>
      <c r="E1676" t="s">
        <v>14</v>
      </c>
      <c r="F1676" t="s">
        <v>10</v>
      </c>
      <c r="G1676" t="s">
        <v>78</v>
      </c>
      <c r="H1676">
        <v>2026</v>
      </c>
      <c r="I1676">
        <v>3875</v>
      </c>
      <c r="J1676">
        <v>30.8</v>
      </c>
      <c r="K1676" t="s">
        <v>22</v>
      </c>
      <c r="L1676">
        <v>11.3</v>
      </c>
      <c r="M1676">
        <v>10</v>
      </c>
      <c r="N1676">
        <v>768</v>
      </c>
      <c r="O1676" t="s">
        <v>75</v>
      </c>
      <c r="P1676">
        <v>69.8</v>
      </c>
      <c r="Q1676" t="s">
        <v>65</v>
      </c>
      <c r="R1676">
        <v>49.4</v>
      </c>
      <c r="S1676">
        <v>25.7</v>
      </c>
      <c r="T1676">
        <v>10.3</v>
      </c>
      <c r="U1676">
        <v>7.3</v>
      </c>
      <c r="V1676">
        <v>5.8</v>
      </c>
      <c r="W1676">
        <v>4</v>
      </c>
      <c r="X1676" t="s">
        <v>66</v>
      </c>
    </row>
    <row r="1677" spans="2:24" x14ac:dyDescent="0.3">
      <c r="B1677" t="s">
        <v>1770</v>
      </c>
      <c r="C1677" t="s">
        <v>122</v>
      </c>
      <c r="D1677" t="s">
        <v>2</v>
      </c>
      <c r="E1677" t="s">
        <v>14</v>
      </c>
      <c r="F1677" t="s">
        <v>11</v>
      </c>
      <c r="G1677" t="s">
        <v>54</v>
      </c>
      <c r="H1677">
        <v>2024</v>
      </c>
      <c r="I1677">
        <v>3728</v>
      </c>
      <c r="J1677">
        <v>35.200000000000003</v>
      </c>
      <c r="K1677" t="s">
        <v>22</v>
      </c>
      <c r="L1677">
        <v>9.3000000000000007</v>
      </c>
      <c r="M1677">
        <v>10</v>
      </c>
      <c r="N1677">
        <v>2199</v>
      </c>
      <c r="O1677" t="s">
        <v>75</v>
      </c>
      <c r="P1677">
        <v>73.8</v>
      </c>
      <c r="Q1677" t="s">
        <v>56</v>
      </c>
      <c r="R1677">
        <v>45.9</v>
      </c>
      <c r="S1677">
        <v>40</v>
      </c>
      <c r="T1677">
        <v>10.1</v>
      </c>
      <c r="U1677">
        <v>6.3</v>
      </c>
      <c r="V1677">
        <v>6.1</v>
      </c>
      <c r="W1677">
        <v>3.8</v>
      </c>
      <c r="X1677" t="s">
        <v>66</v>
      </c>
    </row>
    <row r="1678" spans="2:24" x14ac:dyDescent="0.3">
      <c r="B1678" t="s">
        <v>1771</v>
      </c>
      <c r="C1678" t="s">
        <v>92</v>
      </c>
      <c r="D1678" t="s">
        <v>7</v>
      </c>
      <c r="E1678" t="s">
        <v>18</v>
      </c>
      <c r="F1678" t="s">
        <v>12</v>
      </c>
      <c r="G1678" t="s">
        <v>104</v>
      </c>
      <c r="H1678">
        <v>2024</v>
      </c>
      <c r="I1678">
        <v>4249</v>
      </c>
      <c r="J1678">
        <v>35.6</v>
      </c>
      <c r="K1678" t="s">
        <v>21</v>
      </c>
      <c r="L1678">
        <v>2</v>
      </c>
      <c r="M1678">
        <v>8.3000000000000007</v>
      </c>
      <c r="N1678">
        <v>1828</v>
      </c>
      <c r="O1678" t="s">
        <v>75</v>
      </c>
      <c r="P1678">
        <v>63.7</v>
      </c>
      <c r="Q1678" t="s">
        <v>79</v>
      </c>
      <c r="R1678">
        <v>35.4</v>
      </c>
      <c r="S1678">
        <v>25.7</v>
      </c>
      <c r="T1678">
        <v>7.3</v>
      </c>
      <c r="U1678">
        <v>1.5</v>
      </c>
      <c r="V1678">
        <v>5.0999999999999996</v>
      </c>
      <c r="W1678">
        <v>3.1</v>
      </c>
      <c r="X1678" t="s">
        <v>66</v>
      </c>
    </row>
    <row r="1679" spans="2:24" x14ac:dyDescent="0.3">
      <c r="B1679" t="s">
        <v>1772</v>
      </c>
      <c r="C1679" t="s">
        <v>100</v>
      </c>
      <c r="D1679" t="s">
        <v>3</v>
      </c>
      <c r="E1679" t="s">
        <v>16</v>
      </c>
      <c r="F1679" t="s">
        <v>9</v>
      </c>
      <c r="G1679" t="s">
        <v>78</v>
      </c>
      <c r="H1679">
        <v>2026</v>
      </c>
      <c r="I1679">
        <v>15310</v>
      </c>
      <c r="J1679">
        <v>23</v>
      </c>
      <c r="K1679" t="s">
        <v>21</v>
      </c>
      <c r="L1679">
        <v>5.9</v>
      </c>
      <c r="M1679">
        <v>10</v>
      </c>
      <c r="N1679">
        <v>1576</v>
      </c>
      <c r="O1679" t="s">
        <v>75</v>
      </c>
      <c r="P1679">
        <v>86.3</v>
      </c>
      <c r="Q1679" t="s">
        <v>79</v>
      </c>
      <c r="R1679">
        <v>14.8</v>
      </c>
      <c r="S1679">
        <v>38.799999999999997</v>
      </c>
      <c r="T1679">
        <v>17.8</v>
      </c>
      <c r="U1679">
        <v>6.7</v>
      </c>
      <c r="V1679">
        <v>5.0999999999999996</v>
      </c>
      <c r="W1679">
        <v>4.2</v>
      </c>
      <c r="X1679" t="s">
        <v>66</v>
      </c>
    </row>
    <row r="1680" spans="2:24" x14ac:dyDescent="0.3">
      <c r="B1680" t="s">
        <v>1773</v>
      </c>
      <c r="C1680" t="s">
        <v>142</v>
      </c>
      <c r="D1680" t="s">
        <v>2</v>
      </c>
      <c r="E1680" t="s">
        <v>15</v>
      </c>
      <c r="F1680" t="s">
        <v>12</v>
      </c>
      <c r="G1680" t="s">
        <v>98</v>
      </c>
      <c r="H1680">
        <v>2026</v>
      </c>
      <c r="I1680">
        <v>3659</v>
      </c>
      <c r="J1680">
        <v>8.6999999999999993</v>
      </c>
      <c r="K1680" t="s">
        <v>25</v>
      </c>
      <c r="L1680">
        <v>1.6</v>
      </c>
      <c r="M1680">
        <v>6.8</v>
      </c>
      <c r="N1680">
        <v>8620</v>
      </c>
      <c r="O1680" t="s">
        <v>55</v>
      </c>
      <c r="P1680">
        <v>66.599999999999994</v>
      </c>
      <c r="Q1680" t="s">
        <v>76</v>
      </c>
      <c r="R1680">
        <v>40.5</v>
      </c>
      <c r="S1680">
        <v>33.4</v>
      </c>
      <c r="T1680">
        <v>3.5</v>
      </c>
      <c r="U1680">
        <v>2.6</v>
      </c>
      <c r="V1680">
        <v>6.8</v>
      </c>
      <c r="W1680">
        <v>7.6</v>
      </c>
      <c r="X1680" t="s">
        <v>116</v>
      </c>
    </row>
    <row r="1681" spans="2:24" x14ac:dyDescent="0.3">
      <c r="B1681" t="s">
        <v>1774</v>
      </c>
      <c r="C1681" t="s">
        <v>106</v>
      </c>
      <c r="D1681" t="s">
        <v>7</v>
      </c>
      <c r="E1681" t="s">
        <v>17</v>
      </c>
      <c r="F1681" t="s">
        <v>11</v>
      </c>
      <c r="G1681" t="s">
        <v>115</v>
      </c>
      <c r="H1681">
        <v>2026</v>
      </c>
      <c r="I1681">
        <v>7076</v>
      </c>
      <c r="J1681">
        <v>29.4</v>
      </c>
      <c r="K1681" t="s">
        <v>25</v>
      </c>
      <c r="L1681">
        <v>4.9000000000000004</v>
      </c>
      <c r="M1681">
        <v>10</v>
      </c>
      <c r="N1681">
        <v>1109</v>
      </c>
      <c r="O1681" t="s">
        <v>75</v>
      </c>
      <c r="P1681">
        <v>56.9</v>
      </c>
      <c r="Q1681" t="s">
        <v>125</v>
      </c>
      <c r="R1681">
        <v>32.700000000000003</v>
      </c>
      <c r="S1681">
        <v>50.5</v>
      </c>
      <c r="T1681">
        <v>23.1</v>
      </c>
      <c r="U1681">
        <v>7.8</v>
      </c>
      <c r="V1681">
        <v>7.3</v>
      </c>
      <c r="W1681">
        <v>5.2</v>
      </c>
      <c r="X1681" t="s">
        <v>66</v>
      </c>
    </row>
    <row r="1682" spans="2:24" x14ac:dyDescent="0.3">
      <c r="B1682" t="s">
        <v>1775</v>
      </c>
      <c r="C1682" t="s">
        <v>106</v>
      </c>
      <c r="D1682" t="s">
        <v>8</v>
      </c>
      <c r="E1682" t="s">
        <v>18</v>
      </c>
      <c r="F1682" t="s">
        <v>12</v>
      </c>
      <c r="G1682" t="s">
        <v>63</v>
      </c>
      <c r="H1682">
        <v>2026</v>
      </c>
      <c r="I1682">
        <v>15523</v>
      </c>
      <c r="J1682">
        <v>24</v>
      </c>
      <c r="K1682" t="s">
        <v>23</v>
      </c>
      <c r="L1682">
        <v>8</v>
      </c>
      <c r="M1682">
        <v>10</v>
      </c>
      <c r="N1682">
        <v>980</v>
      </c>
      <c r="O1682" t="s">
        <v>75</v>
      </c>
      <c r="P1682">
        <v>20.5</v>
      </c>
      <c r="Q1682" t="s">
        <v>88</v>
      </c>
      <c r="R1682">
        <v>88.5</v>
      </c>
      <c r="S1682">
        <v>-9.3000000000000007</v>
      </c>
      <c r="T1682">
        <v>-2.1</v>
      </c>
      <c r="U1682">
        <v>8.1999999999999993</v>
      </c>
      <c r="V1682">
        <v>5.9</v>
      </c>
      <c r="W1682">
        <v>3.3</v>
      </c>
      <c r="X1682" t="s">
        <v>66</v>
      </c>
    </row>
    <row r="1683" spans="2:24" x14ac:dyDescent="0.3">
      <c r="B1683" t="s">
        <v>1776</v>
      </c>
      <c r="C1683" t="s">
        <v>53</v>
      </c>
      <c r="D1683" t="s">
        <v>7</v>
      </c>
      <c r="E1683" t="s">
        <v>16</v>
      </c>
      <c r="F1683" t="s">
        <v>11</v>
      </c>
      <c r="G1683" t="s">
        <v>104</v>
      </c>
      <c r="H1683">
        <v>2026</v>
      </c>
      <c r="I1683">
        <v>2485</v>
      </c>
      <c r="J1683">
        <v>11.2</v>
      </c>
      <c r="K1683" t="s">
        <v>25</v>
      </c>
      <c r="L1683">
        <v>12.7</v>
      </c>
      <c r="M1683">
        <v>7.4</v>
      </c>
      <c r="N1683">
        <v>845</v>
      </c>
      <c r="O1683" t="s">
        <v>55</v>
      </c>
      <c r="P1683">
        <v>68.099999999999994</v>
      </c>
      <c r="Q1683" t="s">
        <v>125</v>
      </c>
      <c r="R1683">
        <v>87.5</v>
      </c>
      <c r="S1683">
        <v>-7.7</v>
      </c>
      <c r="T1683">
        <v>-6.2</v>
      </c>
      <c r="U1683">
        <v>7.5</v>
      </c>
      <c r="V1683">
        <v>4.9000000000000004</v>
      </c>
      <c r="W1683">
        <v>6.2</v>
      </c>
      <c r="X1683" t="s">
        <v>116</v>
      </c>
    </row>
    <row r="1684" spans="2:24" x14ac:dyDescent="0.3">
      <c r="B1684" t="s">
        <v>1777</v>
      </c>
      <c r="C1684" t="s">
        <v>106</v>
      </c>
      <c r="D1684" t="s">
        <v>8</v>
      </c>
      <c r="E1684" t="s">
        <v>14</v>
      </c>
      <c r="F1684" t="s">
        <v>11</v>
      </c>
      <c r="G1684" t="s">
        <v>54</v>
      </c>
      <c r="H1684">
        <v>2024</v>
      </c>
      <c r="I1684">
        <v>1820</v>
      </c>
      <c r="J1684">
        <v>1.4</v>
      </c>
      <c r="K1684" t="s">
        <v>24</v>
      </c>
      <c r="L1684">
        <v>1.8</v>
      </c>
      <c r="M1684">
        <v>3</v>
      </c>
      <c r="N1684">
        <v>1814</v>
      </c>
      <c r="O1684" t="s">
        <v>64</v>
      </c>
      <c r="P1684">
        <v>56.2</v>
      </c>
      <c r="Q1684" t="s">
        <v>125</v>
      </c>
      <c r="R1684">
        <v>8.1999999999999993</v>
      </c>
      <c r="S1684">
        <v>2.6</v>
      </c>
      <c r="T1684">
        <v>10.5</v>
      </c>
      <c r="U1684">
        <v>2.6</v>
      </c>
      <c r="V1684">
        <v>8.8000000000000007</v>
      </c>
      <c r="W1684">
        <v>7.3</v>
      </c>
      <c r="X1684" t="s">
        <v>57</v>
      </c>
    </row>
    <row r="1685" spans="2:24" x14ac:dyDescent="0.3">
      <c r="B1685" t="s">
        <v>1778</v>
      </c>
      <c r="C1685" t="s">
        <v>53</v>
      </c>
      <c r="D1685" t="s">
        <v>7</v>
      </c>
      <c r="E1685" t="s">
        <v>19</v>
      </c>
      <c r="F1685" t="s">
        <v>10</v>
      </c>
      <c r="G1685" t="s">
        <v>112</v>
      </c>
      <c r="H1685">
        <v>2026</v>
      </c>
      <c r="I1685">
        <v>5324</v>
      </c>
      <c r="J1685">
        <v>37.200000000000003</v>
      </c>
      <c r="K1685" t="s">
        <v>25</v>
      </c>
      <c r="L1685">
        <v>2.5</v>
      </c>
      <c r="M1685">
        <v>10</v>
      </c>
      <c r="N1685">
        <v>451</v>
      </c>
      <c r="O1685" t="s">
        <v>75</v>
      </c>
      <c r="P1685">
        <v>88.9</v>
      </c>
      <c r="Q1685" t="s">
        <v>88</v>
      </c>
      <c r="R1685">
        <v>6.9</v>
      </c>
      <c r="S1685">
        <v>38.9</v>
      </c>
      <c r="T1685">
        <v>9.6</v>
      </c>
      <c r="U1685">
        <v>3.3</v>
      </c>
      <c r="V1685">
        <v>5.4</v>
      </c>
      <c r="W1685">
        <v>2.7</v>
      </c>
      <c r="X1685" t="s">
        <v>66</v>
      </c>
    </row>
    <row r="1686" spans="2:24" x14ac:dyDescent="0.3">
      <c r="B1686" t="s">
        <v>1779</v>
      </c>
      <c r="C1686" t="s">
        <v>106</v>
      </c>
      <c r="D1686" t="s">
        <v>7</v>
      </c>
      <c r="E1686" t="s">
        <v>17</v>
      </c>
      <c r="F1686" t="s">
        <v>10</v>
      </c>
      <c r="G1686" t="s">
        <v>69</v>
      </c>
      <c r="H1686">
        <v>2026</v>
      </c>
      <c r="I1686">
        <v>10716</v>
      </c>
      <c r="J1686">
        <v>32</v>
      </c>
      <c r="K1686" t="s">
        <v>24</v>
      </c>
      <c r="L1686">
        <v>6.3</v>
      </c>
      <c r="M1686">
        <v>10</v>
      </c>
      <c r="N1686">
        <v>280</v>
      </c>
      <c r="O1686" t="s">
        <v>64</v>
      </c>
      <c r="P1686">
        <v>75</v>
      </c>
      <c r="Q1686" t="s">
        <v>86</v>
      </c>
      <c r="R1686">
        <v>-14.6</v>
      </c>
      <c r="S1686">
        <v>3.9</v>
      </c>
      <c r="T1686">
        <v>-5.6</v>
      </c>
      <c r="U1686">
        <v>9.8000000000000007</v>
      </c>
      <c r="V1686">
        <v>6.2</v>
      </c>
      <c r="W1686">
        <v>2.4</v>
      </c>
      <c r="X1686" t="s">
        <v>66</v>
      </c>
    </row>
    <row r="1687" spans="2:24" x14ac:dyDescent="0.3">
      <c r="B1687" t="s">
        <v>1780</v>
      </c>
      <c r="C1687" t="s">
        <v>68</v>
      </c>
      <c r="D1687" t="s">
        <v>8</v>
      </c>
      <c r="E1687" t="s">
        <v>18</v>
      </c>
      <c r="F1687" t="s">
        <v>10</v>
      </c>
      <c r="G1687" t="s">
        <v>54</v>
      </c>
      <c r="H1687">
        <v>2024</v>
      </c>
      <c r="I1687">
        <v>9122</v>
      </c>
      <c r="J1687">
        <v>31.8</v>
      </c>
      <c r="K1687" t="s">
        <v>21</v>
      </c>
      <c r="L1687">
        <v>4.5</v>
      </c>
      <c r="M1687">
        <v>10</v>
      </c>
      <c r="N1687">
        <v>1012</v>
      </c>
      <c r="O1687" t="s">
        <v>64</v>
      </c>
      <c r="P1687">
        <v>42.8</v>
      </c>
      <c r="Q1687" t="s">
        <v>84</v>
      </c>
      <c r="R1687">
        <v>-33.200000000000003</v>
      </c>
      <c r="S1687">
        <v>-11</v>
      </c>
      <c r="T1687">
        <v>-11.2</v>
      </c>
      <c r="U1687">
        <v>7.5</v>
      </c>
      <c r="V1687">
        <v>2.2999999999999998</v>
      </c>
      <c r="W1687">
        <v>2.2999999999999998</v>
      </c>
      <c r="X1687" t="s">
        <v>66</v>
      </c>
    </row>
    <row r="1688" spans="2:24" x14ac:dyDescent="0.3">
      <c r="B1688" t="s">
        <v>1781</v>
      </c>
      <c r="C1688" t="s">
        <v>27</v>
      </c>
      <c r="D1688" t="s">
        <v>3</v>
      </c>
      <c r="E1688" t="s">
        <v>19</v>
      </c>
      <c r="F1688" t="s">
        <v>10</v>
      </c>
      <c r="G1688" t="s">
        <v>131</v>
      </c>
      <c r="H1688">
        <v>2026</v>
      </c>
      <c r="I1688">
        <v>781</v>
      </c>
      <c r="J1688">
        <v>0.3</v>
      </c>
      <c r="K1688" t="s">
        <v>23</v>
      </c>
      <c r="L1688">
        <v>12.3</v>
      </c>
      <c r="M1688">
        <v>6.9</v>
      </c>
      <c r="N1688">
        <v>1344</v>
      </c>
      <c r="O1688" t="s">
        <v>55</v>
      </c>
      <c r="P1688">
        <v>37.200000000000003</v>
      </c>
      <c r="Q1688" t="s">
        <v>56</v>
      </c>
      <c r="R1688">
        <v>-35</v>
      </c>
      <c r="S1688">
        <v>26.1</v>
      </c>
      <c r="T1688">
        <v>16.7</v>
      </c>
      <c r="U1688">
        <v>7.8</v>
      </c>
      <c r="V1688">
        <v>7.5</v>
      </c>
      <c r="W1688">
        <v>7.9</v>
      </c>
      <c r="X1688" t="s">
        <v>57</v>
      </c>
    </row>
    <row r="1689" spans="2:24" x14ac:dyDescent="0.3">
      <c r="B1689" t="s">
        <v>1782</v>
      </c>
      <c r="C1689" t="s">
        <v>142</v>
      </c>
      <c r="D1689" t="s">
        <v>8</v>
      </c>
      <c r="E1689" t="s">
        <v>18</v>
      </c>
      <c r="F1689" t="s">
        <v>10</v>
      </c>
      <c r="G1689" t="s">
        <v>60</v>
      </c>
      <c r="H1689">
        <v>2026</v>
      </c>
      <c r="I1689">
        <v>1461</v>
      </c>
      <c r="J1689">
        <v>3.5</v>
      </c>
      <c r="K1689" t="s">
        <v>21</v>
      </c>
      <c r="L1689">
        <v>8.6</v>
      </c>
      <c r="M1689">
        <v>3.7</v>
      </c>
      <c r="N1689">
        <v>5107</v>
      </c>
      <c r="O1689" t="s">
        <v>55</v>
      </c>
      <c r="P1689">
        <v>14</v>
      </c>
      <c r="Q1689" t="s">
        <v>125</v>
      </c>
      <c r="R1689">
        <v>-11.1</v>
      </c>
      <c r="S1689">
        <v>6.8</v>
      </c>
      <c r="T1689">
        <v>5.8</v>
      </c>
      <c r="U1689">
        <v>8.6999999999999993</v>
      </c>
      <c r="V1689">
        <v>6.2</v>
      </c>
      <c r="W1689">
        <v>8</v>
      </c>
      <c r="X1689" t="s">
        <v>57</v>
      </c>
    </row>
    <row r="1690" spans="2:24" x14ac:dyDescent="0.3">
      <c r="B1690" t="s">
        <v>1783</v>
      </c>
      <c r="C1690" t="s">
        <v>137</v>
      </c>
      <c r="D1690" t="s">
        <v>4</v>
      </c>
      <c r="E1690" t="s">
        <v>14</v>
      </c>
      <c r="F1690" t="s">
        <v>11</v>
      </c>
      <c r="G1690" t="s">
        <v>104</v>
      </c>
      <c r="H1690">
        <v>2026</v>
      </c>
      <c r="I1690">
        <v>1166</v>
      </c>
      <c r="J1690">
        <v>6.7</v>
      </c>
      <c r="K1690" t="s">
        <v>21</v>
      </c>
      <c r="L1690">
        <v>2.6</v>
      </c>
      <c r="M1690">
        <v>1.3</v>
      </c>
      <c r="N1690">
        <v>3830</v>
      </c>
      <c r="O1690" t="s">
        <v>55</v>
      </c>
      <c r="P1690">
        <v>31.9</v>
      </c>
      <c r="Q1690" t="s">
        <v>65</v>
      </c>
      <c r="R1690">
        <v>22.8</v>
      </c>
      <c r="S1690">
        <v>42.9</v>
      </c>
      <c r="T1690">
        <v>18.399999999999999</v>
      </c>
      <c r="U1690">
        <v>2.1</v>
      </c>
      <c r="V1690">
        <v>9.1</v>
      </c>
      <c r="W1690">
        <v>8.1999999999999993</v>
      </c>
      <c r="X1690" t="s">
        <v>57</v>
      </c>
    </row>
    <row r="1691" spans="2:24" x14ac:dyDescent="0.3">
      <c r="B1691" t="s">
        <v>1784</v>
      </c>
      <c r="C1691" t="s">
        <v>90</v>
      </c>
      <c r="D1691" t="s">
        <v>2</v>
      </c>
      <c r="E1691" t="s">
        <v>17</v>
      </c>
      <c r="F1691" t="s">
        <v>11</v>
      </c>
      <c r="G1691" t="s">
        <v>104</v>
      </c>
      <c r="H1691">
        <v>2025</v>
      </c>
      <c r="I1691">
        <v>2395</v>
      </c>
      <c r="J1691">
        <v>8.1999999999999993</v>
      </c>
      <c r="K1691" t="s">
        <v>24</v>
      </c>
      <c r="L1691">
        <v>7.6</v>
      </c>
      <c r="M1691">
        <v>10</v>
      </c>
      <c r="N1691">
        <v>9017</v>
      </c>
      <c r="O1691" t="s">
        <v>55</v>
      </c>
      <c r="P1691">
        <v>71.2</v>
      </c>
      <c r="Q1691" t="s">
        <v>76</v>
      </c>
      <c r="R1691">
        <v>-34.1</v>
      </c>
      <c r="S1691">
        <v>41.8</v>
      </c>
      <c r="T1691">
        <v>23.7</v>
      </c>
      <c r="U1691">
        <v>7.7</v>
      </c>
      <c r="V1691">
        <v>6</v>
      </c>
      <c r="W1691">
        <v>6.3</v>
      </c>
      <c r="X1691" t="s">
        <v>57</v>
      </c>
    </row>
    <row r="1692" spans="2:24" x14ac:dyDescent="0.3">
      <c r="B1692" t="s">
        <v>1785</v>
      </c>
      <c r="C1692" t="s">
        <v>106</v>
      </c>
      <c r="D1692" t="s">
        <v>8</v>
      </c>
      <c r="E1692" t="s">
        <v>15</v>
      </c>
      <c r="F1692" t="s">
        <v>12</v>
      </c>
      <c r="G1692" t="s">
        <v>131</v>
      </c>
      <c r="H1692">
        <v>2025</v>
      </c>
      <c r="I1692">
        <v>545</v>
      </c>
      <c r="J1692">
        <v>5.9</v>
      </c>
      <c r="K1692" t="s">
        <v>22</v>
      </c>
      <c r="L1692">
        <v>2.8</v>
      </c>
      <c r="M1692">
        <v>6</v>
      </c>
      <c r="N1692">
        <v>5790</v>
      </c>
      <c r="O1692" t="s">
        <v>55</v>
      </c>
      <c r="P1692">
        <v>30.3</v>
      </c>
      <c r="Q1692" t="s">
        <v>86</v>
      </c>
      <c r="R1692">
        <v>-17.899999999999999</v>
      </c>
      <c r="S1692">
        <v>34.5</v>
      </c>
      <c r="T1692">
        <v>21.9</v>
      </c>
      <c r="U1692">
        <v>2.9</v>
      </c>
      <c r="V1692">
        <v>8.1999999999999993</v>
      </c>
      <c r="W1692">
        <v>6.4</v>
      </c>
      <c r="X1692" t="s">
        <v>57</v>
      </c>
    </row>
    <row r="1693" spans="2:24" x14ac:dyDescent="0.3">
      <c r="B1693" t="s">
        <v>1786</v>
      </c>
      <c r="C1693" t="s">
        <v>137</v>
      </c>
      <c r="D1693" t="s">
        <v>3</v>
      </c>
      <c r="E1693" t="s">
        <v>16</v>
      </c>
      <c r="F1693" t="s">
        <v>9</v>
      </c>
      <c r="G1693" t="s">
        <v>131</v>
      </c>
      <c r="H1693">
        <v>2026</v>
      </c>
      <c r="I1693">
        <v>1437</v>
      </c>
      <c r="J1693">
        <v>14.4</v>
      </c>
      <c r="K1693" t="s">
        <v>21</v>
      </c>
      <c r="L1693">
        <v>13</v>
      </c>
      <c r="M1693">
        <v>10</v>
      </c>
      <c r="N1693">
        <v>352</v>
      </c>
      <c r="O1693" t="s">
        <v>64</v>
      </c>
      <c r="P1693">
        <v>87.9</v>
      </c>
      <c r="Q1693" t="s">
        <v>88</v>
      </c>
      <c r="R1693">
        <v>44.4</v>
      </c>
      <c r="S1693">
        <v>52.9</v>
      </c>
      <c r="T1693">
        <v>28.7</v>
      </c>
      <c r="U1693">
        <v>9.3000000000000007</v>
      </c>
      <c r="V1693">
        <v>9.1</v>
      </c>
      <c r="W1693">
        <v>7.1</v>
      </c>
      <c r="X1693" t="s">
        <v>66</v>
      </c>
    </row>
    <row r="1694" spans="2:24" x14ac:dyDescent="0.3">
      <c r="B1694" t="s">
        <v>1787</v>
      </c>
      <c r="C1694" t="s">
        <v>53</v>
      </c>
      <c r="D1694" t="s">
        <v>7</v>
      </c>
      <c r="E1694" t="s">
        <v>19</v>
      </c>
      <c r="F1694" t="s">
        <v>10</v>
      </c>
      <c r="G1694" t="s">
        <v>104</v>
      </c>
      <c r="H1694">
        <v>2026</v>
      </c>
      <c r="I1694">
        <v>95</v>
      </c>
      <c r="J1694">
        <v>6.6</v>
      </c>
      <c r="K1694" t="s">
        <v>21</v>
      </c>
      <c r="L1694">
        <v>2</v>
      </c>
      <c r="M1694">
        <v>1.5</v>
      </c>
      <c r="N1694">
        <v>255</v>
      </c>
      <c r="O1694" t="s">
        <v>75</v>
      </c>
      <c r="P1694">
        <v>83.2</v>
      </c>
      <c r="Q1694" t="s">
        <v>125</v>
      </c>
      <c r="R1694">
        <v>-14.6</v>
      </c>
      <c r="S1694">
        <v>11.8</v>
      </c>
      <c r="T1694">
        <v>3.3</v>
      </c>
      <c r="U1694">
        <v>1.3</v>
      </c>
      <c r="V1694">
        <v>5.2</v>
      </c>
      <c r="W1694">
        <v>7.9</v>
      </c>
      <c r="X1694" t="s">
        <v>57</v>
      </c>
    </row>
    <row r="1695" spans="2:24" x14ac:dyDescent="0.3">
      <c r="B1695" t="s">
        <v>1788</v>
      </c>
      <c r="C1695" t="s">
        <v>106</v>
      </c>
      <c r="D1695" t="s">
        <v>8</v>
      </c>
      <c r="E1695" t="s">
        <v>17</v>
      </c>
      <c r="F1695" t="s">
        <v>11</v>
      </c>
      <c r="G1695" t="s">
        <v>54</v>
      </c>
      <c r="H1695">
        <v>2024</v>
      </c>
      <c r="I1695">
        <v>17179</v>
      </c>
      <c r="J1695">
        <v>22.5</v>
      </c>
      <c r="K1695" t="s">
        <v>25</v>
      </c>
      <c r="L1695">
        <v>3.3</v>
      </c>
      <c r="M1695">
        <v>7.6</v>
      </c>
      <c r="N1695">
        <v>1081</v>
      </c>
      <c r="O1695" t="s">
        <v>75</v>
      </c>
      <c r="P1695">
        <v>50</v>
      </c>
      <c r="Q1695" t="s">
        <v>84</v>
      </c>
      <c r="R1695">
        <v>-37.299999999999997</v>
      </c>
      <c r="S1695">
        <v>6</v>
      </c>
      <c r="T1695">
        <v>-5.0999999999999996</v>
      </c>
      <c r="U1695">
        <v>2.2000000000000002</v>
      </c>
      <c r="V1695">
        <v>3.5</v>
      </c>
      <c r="W1695">
        <v>5.0999999999999996</v>
      </c>
      <c r="X1695" t="s">
        <v>66</v>
      </c>
    </row>
    <row r="1696" spans="2:24" x14ac:dyDescent="0.3">
      <c r="B1696" t="s">
        <v>1789</v>
      </c>
      <c r="C1696" t="s">
        <v>53</v>
      </c>
      <c r="D1696" t="s">
        <v>7</v>
      </c>
      <c r="E1696" t="s">
        <v>16</v>
      </c>
      <c r="F1696" t="s">
        <v>10</v>
      </c>
      <c r="G1696" t="s">
        <v>98</v>
      </c>
      <c r="H1696">
        <v>2025</v>
      </c>
      <c r="I1696">
        <v>2422</v>
      </c>
      <c r="J1696">
        <v>7.6</v>
      </c>
      <c r="K1696" t="s">
        <v>23</v>
      </c>
      <c r="L1696">
        <v>0.9</v>
      </c>
      <c r="M1696">
        <v>1.6</v>
      </c>
      <c r="N1696">
        <v>3553</v>
      </c>
      <c r="O1696" t="s">
        <v>64</v>
      </c>
      <c r="P1696">
        <v>79</v>
      </c>
      <c r="Q1696" t="s">
        <v>86</v>
      </c>
      <c r="R1696">
        <v>27.3</v>
      </c>
      <c r="S1696">
        <v>43.9</v>
      </c>
      <c r="T1696">
        <v>13.4</v>
      </c>
      <c r="U1696">
        <v>1.4</v>
      </c>
      <c r="V1696">
        <v>6.7</v>
      </c>
      <c r="W1696">
        <v>9</v>
      </c>
      <c r="X1696" t="s">
        <v>57</v>
      </c>
    </row>
    <row r="1697" spans="2:24" x14ac:dyDescent="0.3">
      <c r="B1697" t="s">
        <v>1790</v>
      </c>
      <c r="C1697" t="s">
        <v>53</v>
      </c>
      <c r="D1697" t="s">
        <v>3</v>
      </c>
      <c r="E1697" t="s">
        <v>18</v>
      </c>
      <c r="F1697" t="s">
        <v>10</v>
      </c>
      <c r="G1697" t="s">
        <v>131</v>
      </c>
      <c r="H1697">
        <v>2026</v>
      </c>
      <c r="I1697">
        <v>13749</v>
      </c>
      <c r="J1697">
        <v>32.4</v>
      </c>
      <c r="K1697" t="s">
        <v>22</v>
      </c>
      <c r="L1697">
        <v>2.8</v>
      </c>
      <c r="M1697">
        <v>7.8</v>
      </c>
      <c r="N1697">
        <v>1577</v>
      </c>
      <c r="O1697" t="s">
        <v>75</v>
      </c>
      <c r="P1697">
        <v>39.9</v>
      </c>
      <c r="Q1697" t="s">
        <v>65</v>
      </c>
      <c r="R1697">
        <v>9.6</v>
      </c>
      <c r="S1697">
        <v>-18.3</v>
      </c>
      <c r="T1697">
        <v>-6.1</v>
      </c>
      <c r="U1697">
        <v>1.9</v>
      </c>
      <c r="V1697">
        <v>4.5999999999999996</v>
      </c>
      <c r="W1697">
        <v>2.9</v>
      </c>
      <c r="X1697" t="s">
        <v>66</v>
      </c>
    </row>
    <row r="1698" spans="2:24" x14ac:dyDescent="0.3">
      <c r="B1698" t="s">
        <v>1791</v>
      </c>
      <c r="C1698" t="s">
        <v>27</v>
      </c>
      <c r="D1698" t="s">
        <v>3</v>
      </c>
      <c r="E1698" t="s">
        <v>17</v>
      </c>
      <c r="F1698" t="s">
        <v>12</v>
      </c>
      <c r="G1698" t="s">
        <v>74</v>
      </c>
      <c r="H1698">
        <v>2024</v>
      </c>
      <c r="I1698">
        <v>945</v>
      </c>
      <c r="J1698">
        <v>16.600000000000001</v>
      </c>
      <c r="K1698" t="s">
        <v>22</v>
      </c>
      <c r="L1698">
        <v>12.9</v>
      </c>
      <c r="M1698">
        <v>9.1999999999999993</v>
      </c>
      <c r="N1698">
        <v>2556</v>
      </c>
      <c r="O1698" t="s">
        <v>55</v>
      </c>
      <c r="P1698">
        <v>30.5</v>
      </c>
      <c r="Q1698" t="s">
        <v>125</v>
      </c>
      <c r="R1698">
        <v>-3.8</v>
      </c>
      <c r="S1698">
        <v>-9.4</v>
      </c>
      <c r="T1698">
        <v>-9.8000000000000007</v>
      </c>
      <c r="U1698">
        <v>7.9</v>
      </c>
      <c r="V1698">
        <v>6.2</v>
      </c>
      <c r="W1698">
        <v>3.8</v>
      </c>
      <c r="X1698" t="s">
        <v>116</v>
      </c>
    </row>
    <row r="1699" spans="2:24" x14ac:dyDescent="0.3">
      <c r="B1699" t="s">
        <v>1792</v>
      </c>
      <c r="C1699" t="s">
        <v>100</v>
      </c>
      <c r="D1699" t="s">
        <v>3</v>
      </c>
      <c r="E1699" t="s">
        <v>18</v>
      </c>
      <c r="F1699" t="s">
        <v>11</v>
      </c>
      <c r="G1699" t="s">
        <v>112</v>
      </c>
      <c r="H1699">
        <v>2025</v>
      </c>
      <c r="I1699">
        <v>16709</v>
      </c>
      <c r="J1699">
        <v>26.2</v>
      </c>
      <c r="K1699" t="s">
        <v>25</v>
      </c>
      <c r="L1699">
        <v>3.6</v>
      </c>
      <c r="M1699">
        <v>9.6999999999999993</v>
      </c>
      <c r="N1699">
        <v>839</v>
      </c>
      <c r="O1699" t="s">
        <v>75</v>
      </c>
      <c r="P1699">
        <v>17.399999999999999</v>
      </c>
      <c r="Q1699" t="s">
        <v>65</v>
      </c>
      <c r="R1699">
        <v>-6.4</v>
      </c>
      <c r="S1699">
        <v>2.7</v>
      </c>
      <c r="T1699">
        <v>4.2</v>
      </c>
      <c r="U1699">
        <v>5.5</v>
      </c>
      <c r="V1699">
        <v>3.3</v>
      </c>
      <c r="W1699">
        <v>3.1</v>
      </c>
      <c r="X1699" t="s">
        <v>66</v>
      </c>
    </row>
    <row r="1700" spans="2:24" x14ac:dyDescent="0.3">
      <c r="B1700" t="s">
        <v>1793</v>
      </c>
      <c r="C1700" t="s">
        <v>106</v>
      </c>
      <c r="D1700" t="s">
        <v>4</v>
      </c>
      <c r="E1700" t="s">
        <v>14</v>
      </c>
      <c r="F1700" t="s">
        <v>11</v>
      </c>
      <c r="G1700" t="s">
        <v>63</v>
      </c>
      <c r="H1700">
        <v>2024</v>
      </c>
      <c r="I1700">
        <v>1572</v>
      </c>
      <c r="J1700">
        <v>5.4</v>
      </c>
      <c r="K1700" t="s">
        <v>23</v>
      </c>
      <c r="L1700">
        <v>8.5</v>
      </c>
      <c r="M1700">
        <v>10</v>
      </c>
      <c r="N1700">
        <v>3656</v>
      </c>
      <c r="O1700" t="s">
        <v>55</v>
      </c>
      <c r="P1700">
        <v>21.3</v>
      </c>
      <c r="Q1700" t="s">
        <v>84</v>
      </c>
      <c r="R1700">
        <v>30.9</v>
      </c>
      <c r="S1700">
        <v>50.7</v>
      </c>
      <c r="T1700">
        <v>12.9</v>
      </c>
      <c r="U1700">
        <v>7.6</v>
      </c>
      <c r="V1700">
        <v>9.4</v>
      </c>
      <c r="W1700">
        <v>7.5</v>
      </c>
      <c r="X1700" t="s">
        <v>57</v>
      </c>
    </row>
    <row r="1701" spans="2:24" x14ac:dyDescent="0.3">
      <c r="B1701" t="s">
        <v>1794</v>
      </c>
      <c r="C1701" t="s">
        <v>71</v>
      </c>
      <c r="D1701" t="s">
        <v>6</v>
      </c>
      <c r="E1701" t="s">
        <v>19</v>
      </c>
      <c r="F1701" t="s">
        <v>11</v>
      </c>
      <c r="G1701" t="s">
        <v>54</v>
      </c>
      <c r="H1701">
        <v>2024</v>
      </c>
      <c r="I1701">
        <v>6113</v>
      </c>
      <c r="J1701">
        <v>8.8000000000000007</v>
      </c>
      <c r="K1701" t="s">
        <v>24</v>
      </c>
      <c r="L1701">
        <v>4.8</v>
      </c>
      <c r="M1701">
        <v>8.6</v>
      </c>
      <c r="N1701">
        <v>3485</v>
      </c>
      <c r="O1701" t="s">
        <v>64</v>
      </c>
      <c r="P1701">
        <v>57.6</v>
      </c>
      <c r="Q1701" t="s">
        <v>86</v>
      </c>
      <c r="R1701">
        <v>-36.1</v>
      </c>
      <c r="S1701">
        <v>53</v>
      </c>
      <c r="T1701">
        <v>11.5</v>
      </c>
      <c r="U1701">
        <v>3.8</v>
      </c>
      <c r="V1701">
        <v>9.3000000000000007</v>
      </c>
      <c r="W1701">
        <v>7.4</v>
      </c>
      <c r="X1701" t="s">
        <v>116</v>
      </c>
    </row>
    <row r="1702" spans="2:24" x14ac:dyDescent="0.3">
      <c r="B1702" t="s">
        <v>1795</v>
      </c>
      <c r="C1702" t="s">
        <v>97</v>
      </c>
      <c r="D1702" t="s">
        <v>3</v>
      </c>
      <c r="E1702" t="s">
        <v>19</v>
      </c>
      <c r="F1702" t="s">
        <v>9</v>
      </c>
      <c r="G1702" t="s">
        <v>104</v>
      </c>
      <c r="H1702">
        <v>2025</v>
      </c>
      <c r="I1702">
        <v>1151</v>
      </c>
      <c r="J1702">
        <v>14.3</v>
      </c>
      <c r="K1702" t="s">
        <v>25</v>
      </c>
      <c r="L1702">
        <v>5.7</v>
      </c>
      <c r="M1702">
        <v>7.8</v>
      </c>
      <c r="N1702">
        <v>3488</v>
      </c>
      <c r="O1702" t="s">
        <v>64</v>
      </c>
      <c r="P1702">
        <v>21.1</v>
      </c>
      <c r="Q1702" t="s">
        <v>76</v>
      </c>
      <c r="R1702">
        <v>85.6</v>
      </c>
      <c r="S1702">
        <v>30.5</v>
      </c>
      <c r="T1702">
        <v>17.2</v>
      </c>
      <c r="U1702">
        <v>3.6</v>
      </c>
      <c r="V1702">
        <v>4.9000000000000004</v>
      </c>
      <c r="W1702">
        <v>5.7</v>
      </c>
      <c r="X1702" t="s">
        <v>116</v>
      </c>
    </row>
    <row r="1703" spans="2:24" x14ac:dyDescent="0.3">
      <c r="B1703" t="s">
        <v>1796</v>
      </c>
      <c r="C1703" t="s">
        <v>53</v>
      </c>
      <c r="D1703" t="s">
        <v>2</v>
      </c>
      <c r="E1703" t="s">
        <v>14</v>
      </c>
      <c r="F1703" t="s">
        <v>10</v>
      </c>
      <c r="G1703" t="s">
        <v>98</v>
      </c>
      <c r="H1703">
        <v>2025</v>
      </c>
      <c r="I1703">
        <v>19073</v>
      </c>
      <c r="J1703">
        <v>35.9</v>
      </c>
      <c r="K1703" t="s">
        <v>25</v>
      </c>
      <c r="L1703">
        <v>5.5</v>
      </c>
      <c r="M1703">
        <v>10</v>
      </c>
      <c r="N1703">
        <v>7616</v>
      </c>
      <c r="O1703" t="s">
        <v>64</v>
      </c>
      <c r="P1703">
        <v>19.600000000000001</v>
      </c>
      <c r="Q1703" t="s">
        <v>56</v>
      </c>
      <c r="R1703">
        <v>22.4</v>
      </c>
      <c r="S1703">
        <v>51.8</v>
      </c>
      <c r="T1703">
        <v>14.6</v>
      </c>
      <c r="U1703">
        <v>4</v>
      </c>
      <c r="V1703">
        <v>5.4</v>
      </c>
      <c r="W1703">
        <v>3.1</v>
      </c>
      <c r="X1703" t="s">
        <v>66</v>
      </c>
    </row>
    <row r="1704" spans="2:24" x14ac:dyDescent="0.3">
      <c r="B1704" t="s">
        <v>1797</v>
      </c>
      <c r="C1704" t="s">
        <v>59</v>
      </c>
      <c r="D1704" t="s">
        <v>4</v>
      </c>
      <c r="E1704" t="s">
        <v>15</v>
      </c>
      <c r="F1704" t="s">
        <v>12</v>
      </c>
      <c r="G1704" t="s">
        <v>112</v>
      </c>
      <c r="H1704">
        <v>2024</v>
      </c>
      <c r="I1704">
        <v>1932</v>
      </c>
      <c r="J1704">
        <v>9.8000000000000007</v>
      </c>
      <c r="K1704" t="s">
        <v>22</v>
      </c>
      <c r="L1704">
        <v>4.3</v>
      </c>
      <c r="M1704">
        <v>4.2</v>
      </c>
      <c r="N1704">
        <v>4640</v>
      </c>
      <c r="O1704" t="s">
        <v>64</v>
      </c>
      <c r="P1704">
        <v>46.2</v>
      </c>
      <c r="Q1704" t="s">
        <v>56</v>
      </c>
      <c r="R1704">
        <v>-19.2</v>
      </c>
      <c r="S1704">
        <v>0.8</v>
      </c>
      <c r="T1704">
        <v>0.7</v>
      </c>
      <c r="U1704">
        <v>3</v>
      </c>
      <c r="V1704">
        <v>6.6</v>
      </c>
      <c r="W1704">
        <v>6.7</v>
      </c>
      <c r="X1704" t="s">
        <v>57</v>
      </c>
    </row>
    <row r="1705" spans="2:24" x14ac:dyDescent="0.3">
      <c r="B1705" t="s">
        <v>1798</v>
      </c>
      <c r="C1705" t="s">
        <v>27</v>
      </c>
      <c r="D1705" t="s">
        <v>2</v>
      </c>
      <c r="E1705" t="s">
        <v>16</v>
      </c>
      <c r="F1705" t="s">
        <v>9</v>
      </c>
      <c r="G1705" t="s">
        <v>101</v>
      </c>
      <c r="H1705">
        <v>2024</v>
      </c>
      <c r="I1705">
        <v>862</v>
      </c>
      <c r="J1705">
        <v>7.5</v>
      </c>
      <c r="K1705" t="s">
        <v>24</v>
      </c>
      <c r="L1705">
        <v>7.5</v>
      </c>
      <c r="M1705">
        <v>5.0999999999999996</v>
      </c>
      <c r="N1705">
        <v>8810</v>
      </c>
      <c r="O1705" t="s">
        <v>55</v>
      </c>
      <c r="P1705">
        <v>39.1</v>
      </c>
      <c r="Q1705" t="s">
        <v>76</v>
      </c>
      <c r="R1705">
        <v>79.599999999999994</v>
      </c>
      <c r="S1705">
        <v>2</v>
      </c>
      <c r="T1705">
        <v>7</v>
      </c>
      <c r="U1705">
        <v>5.0999999999999996</v>
      </c>
      <c r="V1705">
        <v>5.9</v>
      </c>
      <c r="W1705">
        <v>6.3</v>
      </c>
      <c r="X1705" t="s">
        <v>116</v>
      </c>
    </row>
    <row r="1706" spans="2:24" x14ac:dyDescent="0.3">
      <c r="B1706" t="s">
        <v>1799</v>
      </c>
      <c r="C1706" t="s">
        <v>142</v>
      </c>
      <c r="D1706" t="s">
        <v>2</v>
      </c>
      <c r="E1706" t="s">
        <v>16</v>
      </c>
      <c r="F1706" t="s">
        <v>9</v>
      </c>
      <c r="G1706" t="s">
        <v>115</v>
      </c>
      <c r="H1706">
        <v>2025</v>
      </c>
      <c r="I1706">
        <v>4449</v>
      </c>
      <c r="J1706">
        <v>11.9</v>
      </c>
      <c r="K1706" t="s">
        <v>24</v>
      </c>
      <c r="L1706">
        <v>14.8</v>
      </c>
      <c r="M1706">
        <v>10</v>
      </c>
      <c r="N1706">
        <v>1621</v>
      </c>
      <c r="O1706" t="s">
        <v>55</v>
      </c>
      <c r="P1706">
        <v>85.5</v>
      </c>
      <c r="Q1706" t="s">
        <v>76</v>
      </c>
      <c r="R1706">
        <v>-0.8</v>
      </c>
      <c r="S1706">
        <v>-14.1</v>
      </c>
      <c r="T1706">
        <v>-4.8</v>
      </c>
      <c r="U1706">
        <v>9.8000000000000007</v>
      </c>
      <c r="V1706">
        <v>7.2</v>
      </c>
      <c r="W1706">
        <v>5.0999999999999996</v>
      </c>
      <c r="X1706" t="s">
        <v>116</v>
      </c>
    </row>
    <row r="1707" spans="2:24" x14ac:dyDescent="0.3">
      <c r="B1707" t="s">
        <v>1800</v>
      </c>
      <c r="C1707" t="s">
        <v>159</v>
      </c>
      <c r="D1707" t="s">
        <v>7</v>
      </c>
      <c r="E1707" t="s">
        <v>15</v>
      </c>
      <c r="F1707" t="s">
        <v>10</v>
      </c>
      <c r="G1707" t="s">
        <v>98</v>
      </c>
      <c r="H1707">
        <v>2025</v>
      </c>
      <c r="I1707">
        <v>3415</v>
      </c>
      <c r="J1707">
        <v>37.200000000000003</v>
      </c>
      <c r="K1707" t="s">
        <v>24</v>
      </c>
      <c r="L1707">
        <v>7.3</v>
      </c>
      <c r="M1707">
        <v>10</v>
      </c>
      <c r="N1707">
        <v>481</v>
      </c>
      <c r="O1707" t="s">
        <v>75</v>
      </c>
      <c r="P1707">
        <v>11.9</v>
      </c>
      <c r="Q1707" t="s">
        <v>56</v>
      </c>
      <c r="R1707">
        <v>-27.9</v>
      </c>
      <c r="S1707">
        <v>42.1</v>
      </c>
      <c r="T1707">
        <v>4.9000000000000004</v>
      </c>
      <c r="U1707">
        <v>4.4000000000000004</v>
      </c>
      <c r="V1707">
        <v>6.9</v>
      </c>
      <c r="W1707">
        <v>4.4000000000000004</v>
      </c>
      <c r="X1707" t="s">
        <v>66</v>
      </c>
    </row>
    <row r="1708" spans="2:24" x14ac:dyDescent="0.3">
      <c r="B1708" t="s">
        <v>1801</v>
      </c>
      <c r="C1708" t="s">
        <v>100</v>
      </c>
      <c r="D1708" t="s">
        <v>3</v>
      </c>
      <c r="E1708" t="s">
        <v>14</v>
      </c>
      <c r="F1708" t="s">
        <v>10</v>
      </c>
      <c r="G1708" t="s">
        <v>60</v>
      </c>
      <c r="H1708">
        <v>2026</v>
      </c>
      <c r="I1708">
        <v>1483</v>
      </c>
      <c r="J1708">
        <v>1.5</v>
      </c>
      <c r="K1708" t="s">
        <v>25</v>
      </c>
      <c r="L1708">
        <v>1.7</v>
      </c>
      <c r="M1708">
        <v>3.3</v>
      </c>
      <c r="N1708">
        <v>4804</v>
      </c>
      <c r="O1708" t="s">
        <v>55</v>
      </c>
      <c r="P1708">
        <v>13</v>
      </c>
      <c r="Q1708" t="s">
        <v>76</v>
      </c>
      <c r="R1708">
        <v>76.5</v>
      </c>
      <c r="S1708">
        <v>51.9</v>
      </c>
      <c r="T1708">
        <v>23</v>
      </c>
      <c r="U1708">
        <v>1.3</v>
      </c>
      <c r="V1708">
        <v>8.6999999999999993</v>
      </c>
      <c r="W1708">
        <v>8.6</v>
      </c>
      <c r="X1708" t="s">
        <v>57</v>
      </c>
    </row>
    <row r="1709" spans="2:24" x14ac:dyDescent="0.3">
      <c r="B1709" t="s">
        <v>1802</v>
      </c>
      <c r="C1709" t="s">
        <v>139</v>
      </c>
      <c r="D1709" t="s">
        <v>8</v>
      </c>
      <c r="E1709" t="s">
        <v>14</v>
      </c>
      <c r="F1709" t="s">
        <v>12</v>
      </c>
      <c r="G1709" t="s">
        <v>63</v>
      </c>
      <c r="H1709">
        <v>2025</v>
      </c>
      <c r="I1709">
        <v>19775</v>
      </c>
      <c r="J1709">
        <v>34.6</v>
      </c>
      <c r="K1709" t="s">
        <v>22</v>
      </c>
      <c r="L1709">
        <v>2.8</v>
      </c>
      <c r="M1709">
        <v>10</v>
      </c>
      <c r="N1709">
        <v>1242</v>
      </c>
      <c r="O1709" t="s">
        <v>75</v>
      </c>
      <c r="P1709">
        <v>84</v>
      </c>
      <c r="Q1709" t="s">
        <v>84</v>
      </c>
      <c r="R1709">
        <v>84.1</v>
      </c>
      <c r="S1709">
        <v>21.6</v>
      </c>
      <c r="T1709">
        <v>0.6</v>
      </c>
      <c r="U1709">
        <v>4.5</v>
      </c>
      <c r="V1709">
        <v>3.3</v>
      </c>
      <c r="W1709">
        <v>4.0999999999999996</v>
      </c>
      <c r="X1709" t="s">
        <v>66</v>
      </c>
    </row>
    <row r="1710" spans="2:24" x14ac:dyDescent="0.3">
      <c r="B1710" t="s">
        <v>1803</v>
      </c>
      <c r="C1710" t="s">
        <v>106</v>
      </c>
      <c r="D1710" t="s">
        <v>2</v>
      </c>
      <c r="E1710" t="s">
        <v>17</v>
      </c>
      <c r="F1710" t="s">
        <v>11</v>
      </c>
      <c r="G1710" t="s">
        <v>104</v>
      </c>
      <c r="H1710">
        <v>2026</v>
      </c>
      <c r="I1710">
        <v>6599</v>
      </c>
      <c r="J1710">
        <v>36.200000000000003</v>
      </c>
      <c r="K1710" t="s">
        <v>23</v>
      </c>
      <c r="L1710">
        <v>2.8</v>
      </c>
      <c r="M1710">
        <v>9.9</v>
      </c>
      <c r="N1710">
        <v>9431</v>
      </c>
      <c r="O1710" t="s">
        <v>64</v>
      </c>
      <c r="P1710">
        <v>68.3</v>
      </c>
      <c r="Q1710" t="s">
        <v>76</v>
      </c>
      <c r="R1710">
        <v>-36.799999999999997</v>
      </c>
      <c r="S1710">
        <v>9.3000000000000007</v>
      </c>
      <c r="T1710">
        <v>-13.5</v>
      </c>
      <c r="U1710">
        <v>2.4</v>
      </c>
      <c r="V1710">
        <v>5.7</v>
      </c>
      <c r="W1710">
        <v>3.3</v>
      </c>
      <c r="X1710" t="s">
        <v>66</v>
      </c>
    </row>
    <row r="1711" spans="2:24" x14ac:dyDescent="0.3">
      <c r="B1711" t="s">
        <v>1804</v>
      </c>
      <c r="C1711" t="s">
        <v>71</v>
      </c>
      <c r="D1711" t="s">
        <v>6</v>
      </c>
      <c r="E1711" t="s">
        <v>19</v>
      </c>
      <c r="F1711" t="s">
        <v>9</v>
      </c>
      <c r="G1711" t="s">
        <v>101</v>
      </c>
      <c r="H1711">
        <v>2025</v>
      </c>
      <c r="I1711">
        <v>2721</v>
      </c>
      <c r="J1711">
        <v>16.100000000000001</v>
      </c>
      <c r="K1711" t="s">
        <v>24</v>
      </c>
      <c r="L1711">
        <v>5.8</v>
      </c>
      <c r="M1711">
        <v>10</v>
      </c>
      <c r="N1711">
        <v>3243</v>
      </c>
      <c r="O1711" t="s">
        <v>64</v>
      </c>
      <c r="P1711">
        <v>14.2</v>
      </c>
      <c r="Q1711" t="s">
        <v>86</v>
      </c>
      <c r="R1711">
        <v>-8.1999999999999993</v>
      </c>
      <c r="S1711">
        <v>23</v>
      </c>
      <c r="T1711">
        <v>17</v>
      </c>
      <c r="U1711">
        <v>9.3000000000000007</v>
      </c>
      <c r="V1711">
        <v>4.7</v>
      </c>
      <c r="W1711">
        <v>5.2</v>
      </c>
      <c r="X1711" t="s">
        <v>116</v>
      </c>
    </row>
    <row r="1712" spans="2:24" x14ac:dyDescent="0.3">
      <c r="B1712" t="s">
        <v>1805</v>
      </c>
      <c r="C1712" t="s">
        <v>90</v>
      </c>
      <c r="D1712" t="s">
        <v>6</v>
      </c>
      <c r="E1712" t="s">
        <v>18</v>
      </c>
      <c r="F1712" t="s">
        <v>9</v>
      </c>
      <c r="G1712" t="s">
        <v>104</v>
      </c>
      <c r="H1712">
        <v>2025</v>
      </c>
      <c r="I1712">
        <v>4363</v>
      </c>
      <c r="J1712">
        <v>9</v>
      </c>
      <c r="K1712" t="s">
        <v>24</v>
      </c>
      <c r="L1712">
        <v>2.2000000000000002</v>
      </c>
      <c r="M1712">
        <v>1.6</v>
      </c>
      <c r="N1712">
        <v>2158</v>
      </c>
      <c r="O1712" t="s">
        <v>64</v>
      </c>
      <c r="P1712">
        <v>55.9</v>
      </c>
      <c r="Q1712" t="s">
        <v>76</v>
      </c>
      <c r="R1712">
        <v>-25.9</v>
      </c>
      <c r="S1712">
        <v>36.299999999999997</v>
      </c>
      <c r="T1712">
        <v>15.6</v>
      </c>
      <c r="U1712">
        <v>1.9</v>
      </c>
      <c r="V1712">
        <v>6.5</v>
      </c>
      <c r="W1712">
        <v>8.1999999999999993</v>
      </c>
      <c r="X1712" t="s">
        <v>116</v>
      </c>
    </row>
    <row r="1713" spans="2:24" x14ac:dyDescent="0.3">
      <c r="B1713" t="s">
        <v>1806</v>
      </c>
      <c r="C1713" t="s">
        <v>94</v>
      </c>
      <c r="D1713" t="s">
        <v>6</v>
      </c>
      <c r="E1713" t="s">
        <v>19</v>
      </c>
      <c r="F1713" t="s">
        <v>12</v>
      </c>
      <c r="G1713" t="s">
        <v>60</v>
      </c>
      <c r="H1713">
        <v>2024</v>
      </c>
      <c r="I1713">
        <v>1244</v>
      </c>
      <c r="J1713">
        <v>4.0999999999999996</v>
      </c>
      <c r="K1713" t="s">
        <v>21</v>
      </c>
      <c r="L1713">
        <v>15.2</v>
      </c>
      <c r="M1713">
        <v>6.8</v>
      </c>
      <c r="N1713">
        <v>2347</v>
      </c>
      <c r="O1713" t="s">
        <v>55</v>
      </c>
      <c r="P1713">
        <v>26</v>
      </c>
      <c r="Q1713" t="s">
        <v>86</v>
      </c>
      <c r="R1713">
        <v>40.700000000000003</v>
      </c>
      <c r="S1713">
        <v>-5.5</v>
      </c>
      <c r="T1713">
        <v>0</v>
      </c>
      <c r="U1713">
        <v>9</v>
      </c>
      <c r="V1713">
        <v>6</v>
      </c>
      <c r="W1713">
        <v>5.3</v>
      </c>
      <c r="X1713" t="s">
        <v>57</v>
      </c>
    </row>
    <row r="1714" spans="2:24" x14ac:dyDescent="0.3">
      <c r="B1714" t="s">
        <v>1807</v>
      </c>
      <c r="C1714" t="s">
        <v>142</v>
      </c>
      <c r="D1714" t="s">
        <v>2</v>
      </c>
      <c r="E1714" t="s">
        <v>14</v>
      </c>
      <c r="F1714" t="s">
        <v>11</v>
      </c>
      <c r="G1714" t="s">
        <v>98</v>
      </c>
      <c r="H1714">
        <v>2026</v>
      </c>
      <c r="I1714">
        <v>1499</v>
      </c>
      <c r="J1714">
        <v>8.4</v>
      </c>
      <c r="K1714" t="s">
        <v>23</v>
      </c>
      <c r="L1714">
        <v>3.2</v>
      </c>
      <c r="M1714">
        <v>3.1</v>
      </c>
      <c r="N1714">
        <v>4284</v>
      </c>
      <c r="O1714" t="s">
        <v>64</v>
      </c>
      <c r="P1714">
        <v>11.3</v>
      </c>
      <c r="Q1714" t="s">
        <v>76</v>
      </c>
      <c r="R1714">
        <v>20.9</v>
      </c>
      <c r="S1714">
        <v>1.7</v>
      </c>
      <c r="T1714">
        <v>0.1</v>
      </c>
      <c r="U1714">
        <v>2.4</v>
      </c>
      <c r="V1714">
        <v>5.7</v>
      </c>
      <c r="W1714">
        <v>7.3</v>
      </c>
      <c r="X1714" t="s">
        <v>57</v>
      </c>
    </row>
    <row r="1715" spans="2:24" x14ac:dyDescent="0.3">
      <c r="B1715" t="s">
        <v>1808</v>
      </c>
      <c r="C1715" t="s">
        <v>106</v>
      </c>
      <c r="D1715" t="s">
        <v>3</v>
      </c>
      <c r="E1715" t="s">
        <v>16</v>
      </c>
      <c r="F1715" t="s">
        <v>11</v>
      </c>
      <c r="G1715" t="s">
        <v>54</v>
      </c>
      <c r="H1715">
        <v>2026</v>
      </c>
      <c r="I1715">
        <v>5751</v>
      </c>
      <c r="J1715">
        <v>15.2</v>
      </c>
      <c r="K1715" t="s">
        <v>23</v>
      </c>
      <c r="L1715">
        <v>7</v>
      </c>
      <c r="M1715">
        <v>6.2</v>
      </c>
      <c r="N1715">
        <v>1395</v>
      </c>
      <c r="O1715" t="s">
        <v>64</v>
      </c>
      <c r="P1715">
        <v>12</v>
      </c>
      <c r="Q1715" t="s">
        <v>76</v>
      </c>
      <c r="R1715">
        <v>66.400000000000006</v>
      </c>
      <c r="S1715">
        <v>20.399999999999999</v>
      </c>
      <c r="T1715">
        <v>1.6</v>
      </c>
      <c r="U1715">
        <v>5.8</v>
      </c>
      <c r="V1715">
        <v>4.5</v>
      </c>
      <c r="W1715">
        <v>4.9000000000000004</v>
      </c>
      <c r="X1715" t="s">
        <v>66</v>
      </c>
    </row>
    <row r="1716" spans="2:24" x14ac:dyDescent="0.3">
      <c r="B1716" t="s">
        <v>1809</v>
      </c>
      <c r="C1716" t="s">
        <v>90</v>
      </c>
      <c r="D1716" t="s">
        <v>2</v>
      </c>
      <c r="E1716" t="s">
        <v>19</v>
      </c>
      <c r="F1716" t="s">
        <v>10</v>
      </c>
      <c r="G1716" t="s">
        <v>60</v>
      </c>
      <c r="H1716">
        <v>2024</v>
      </c>
      <c r="I1716">
        <v>15664</v>
      </c>
      <c r="J1716">
        <v>19.399999999999999</v>
      </c>
      <c r="K1716" t="s">
        <v>23</v>
      </c>
      <c r="L1716">
        <v>4</v>
      </c>
      <c r="M1716">
        <v>6.5</v>
      </c>
      <c r="N1716">
        <v>8029</v>
      </c>
      <c r="O1716" t="s">
        <v>64</v>
      </c>
      <c r="P1716">
        <v>78.2</v>
      </c>
      <c r="Q1716" t="s">
        <v>76</v>
      </c>
      <c r="R1716">
        <v>-16.5</v>
      </c>
      <c r="S1716">
        <v>23.7</v>
      </c>
      <c r="T1716">
        <v>-0.5</v>
      </c>
      <c r="U1716">
        <v>3.1</v>
      </c>
      <c r="V1716">
        <v>4.5999999999999996</v>
      </c>
      <c r="W1716">
        <v>4.9000000000000004</v>
      </c>
      <c r="X1716" t="s">
        <v>66</v>
      </c>
    </row>
    <row r="1717" spans="2:24" x14ac:dyDescent="0.3">
      <c r="B1717" t="s">
        <v>1810</v>
      </c>
      <c r="C1717" t="s">
        <v>122</v>
      </c>
      <c r="D1717" t="s">
        <v>2</v>
      </c>
      <c r="E1717" t="s">
        <v>17</v>
      </c>
      <c r="F1717" t="s">
        <v>11</v>
      </c>
      <c r="G1717" t="s">
        <v>54</v>
      </c>
      <c r="H1717">
        <v>2024</v>
      </c>
      <c r="I1717">
        <v>152</v>
      </c>
      <c r="J1717">
        <v>0.2</v>
      </c>
      <c r="K1717" t="s">
        <v>23</v>
      </c>
      <c r="L1717">
        <v>9</v>
      </c>
      <c r="M1717">
        <v>1.7</v>
      </c>
      <c r="N1717">
        <v>1881</v>
      </c>
      <c r="O1717" t="s">
        <v>55</v>
      </c>
      <c r="P1717">
        <v>55.5</v>
      </c>
      <c r="Q1717" t="s">
        <v>56</v>
      </c>
      <c r="R1717">
        <v>35.799999999999997</v>
      </c>
      <c r="S1717">
        <v>2.4</v>
      </c>
      <c r="T1717">
        <v>8.8000000000000007</v>
      </c>
      <c r="U1717">
        <v>5.7</v>
      </c>
      <c r="V1717">
        <v>6.5</v>
      </c>
      <c r="W1717">
        <v>8</v>
      </c>
      <c r="X1717" t="s">
        <v>57</v>
      </c>
    </row>
    <row r="1718" spans="2:24" x14ac:dyDescent="0.3">
      <c r="B1718" t="s">
        <v>1811</v>
      </c>
      <c r="C1718" t="s">
        <v>137</v>
      </c>
      <c r="D1718" t="s">
        <v>3</v>
      </c>
      <c r="E1718" t="s">
        <v>14</v>
      </c>
      <c r="F1718" t="s">
        <v>9</v>
      </c>
      <c r="G1718" t="s">
        <v>78</v>
      </c>
      <c r="H1718">
        <v>2026</v>
      </c>
      <c r="I1718">
        <v>361</v>
      </c>
      <c r="J1718">
        <v>1.8</v>
      </c>
      <c r="K1718" t="s">
        <v>23</v>
      </c>
      <c r="L1718">
        <v>10.8</v>
      </c>
      <c r="M1718">
        <v>6.3</v>
      </c>
      <c r="N1718">
        <v>1117</v>
      </c>
      <c r="O1718" t="s">
        <v>55</v>
      </c>
      <c r="P1718">
        <v>56.2</v>
      </c>
      <c r="Q1718" t="s">
        <v>56</v>
      </c>
      <c r="R1718">
        <v>24.8</v>
      </c>
      <c r="S1718">
        <v>26.1</v>
      </c>
      <c r="T1718">
        <v>11.1</v>
      </c>
      <c r="U1718">
        <v>9.1</v>
      </c>
      <c r="V1718">
        <v>8.6999999999999993</v>
      </c>
      <c r="W1718">
        <v>6.4</v>
      </c>
      <c r="X1718" t="s">
        <v>57</v>
      </c>
    </row>
    <row r="1719" spans="2:24" x14ac:dyDescent="0.3">
      <c r="B1719" t="s">
        <v>1812</v>
      </c>
      <c r="C1719" t="s">
        <v>106</v>
      </c>
      <c r="D1719" t="s">
        <v>8</v>
      </c>
      <c r="E1719" t="s">
        <v>19</v>
      </c>
      <c r="F1719" t="s">
        <v>11</v>
      </c>
      <c r="G1719" t="s">
        <v>112</v>
      </c>
      <c r="H1719">
        <v>2024</v>
      </c>
      <c r="I1719">
        <v>5556</v>
      </c>
      <c r="J1719">
        <v>27.3</v>
      </c>
      <c r="K1719" t="s">
        <v>23</v>
      </c>
      <c r="L1719">
        <v>11.2</v>
      </c>
      <c r="M1719">
        <v>10</v>
      </c>
      <c r="N1719">
        <v>396</v>
      </c>
      <c r="O1719" t="s">
        <v>64</v>
      </c>
      <c r="P1719">
        <v>79.099999999999994</v>
      </c>
      <c r="Q1719" t="s">
        <v>76</v>
      </c>
      <c r="R1719">
        <v>68.2</v>
      </c>
      <c r="S1719">
        <v>58.5</v>
      </c>
      <c r="T1719">
        <v>27.2</v>
      </c>
      <c r="U1719">
        <v>9</v>
      </c>
      <c r="V1719">
        <v>7.8</v>
      </c>
      <c r="W1719">
        <v>4.4000000000000004</v>
      </c>
      <c r="X1719" t="s">
        <v>66</v>
      </c>
    </row>
    <row r="1720" spans="2:24" x14ac:dyDescent="0.3">
      <c r="B1720" t="s">
        <v>1813</v>
      </c>
      <c r="C1720" t="s">
        <v>137</v>
      </c>
      <c r="D1720" t="s">
        <v>4</v>
      </c>
      <c r="E1720" t="s">
        <v>16</v>
      </c>
      <c r="F1720" t="s">
        <v>11</v>
      </c>
      <c r="G1720" t="s">
        <v>69</v>
      </c>
      <c r="H1720">
        <v>2025</v>
      </c>
      <c r="I1720">
        <v>17626</v>
      </c>
      <c r="J1720">
        <v>14.7</v>
      </c>
      <c r="K1720" t="s">
        <v>25</v>
      </c>
      <c r="L1720">
        <v>6.2</v>
      </c>
      <c r="M1720">
        <v>9.4</v>
      </c>
      <c r="N1720">
        <v>584</v>
      </c>
      <c r="O1720" t="s">
        <v>55</v>
      </c>
      <c r="P1720">
        <v>79.5</v>
      </c>
      <c r="Q1720" t="s">
        <v>65</v>
      </c>
      <c r="R1720">
        <v>-29.3</v>
      </c>
      <c r="S1720">
        <v>20.2</v>
      </c>
      <c r="T1720">
        <v>12.9</v>
      </c>
      <c r="U1720">
        <v>8.8000000000000007</v>
      </c>
      <c r="V1720">
        <v>7.2</v>
      </c>
      <c r="W1720">
        <v>4.5</v>
      </c>
      <c r="X1720" t="s">
        <v>66</v>
      </c>
    </row>
    <row r="1721" spans="2:24" x14ac:dyDescent="0.3">
      <c r="B1721" t="s">
        <v>1814</v>
      </c>
      <c r="C1721" t="s">
        <v>73</v>
      </c>
      <c r="D1721" t="s">
        <v>2</v>
      </c>
      <c r="E1721" t="s">
        <v>18</v>
      </c>
      <c r="F1721" t="s">
        <v>9</v>
      </c>
      <c r="G1721" t="s">
        <v>60</v>
      </c>
      <c r="H1721">
        <v>2025</v>
      </c>
      <c r="I1721">
        <v>6949</v>
      </c>
      <c r="J1721">
        <v>5</v>
      </c>
      <c r="K1721" t="s">
        <v>21</v>
      </c>
      <c r="L1721">
        <v>4.8</v>
      </c>
      <c r="M1721">
        <v>1.5</v>
      </c>
      <c r="N1721">
        <v>8361</v>
      </c>
      <c r="O1721" t="s">
        <v>55</v>
      </c>
      <c r="P1721">
        <v>51.4</v>
      </c>
      <c r="Q1721" t="s">
        <v>56</v>
      </c>
      <c r="R1721">
        <v>22</v>
      </c>
      <c r="S1721">
        <v>4.0999999999999996</v>
      </c>
      <c r="T1721">
        <v>-7.3</v>
      </c>
      <c r="U1721">
        <v>3.4</v>
      </c>
      <c r="V1721">
        <v>5.4</v>
      </c>
      <c r="W1721">
        <v>6.8</v>
      </c>
      <c r="X1721" t="s">
        <v>116</v>
      </c>
    </row>
    <row r="1722" spans="2:24" x14ac:dyDescent="0.3">
      <c r="B1722" t="s">
        <v>1815</v>
      </c>
      <c r="C1722" t="s">
        <v>53</v>
      </c>
      <c r="D1722" t="s">
        <v>2</v>
      </c>
      <c r="E1722" t="s">
        <v>18</v>
      </c>
      <c r="F1722" t="s">
        <v>12</v>
      </c>
      <c r="G1722" t="s">
        <v>54</v>
      </c>
      <c r="H1722">
        <v>2024</v>
      </c>
      <c r="I1722">
        <v>14907</v>
      </c>
      <c r="J1722">
        <v>39.1</v>
      </c>
      <c r="K1722" t="s">
        <v>21</v>
      </c>
      <c r="L1722">
        <v>3.2</v>
      </c>
      <c r="M1722">
        <v>10</v>
      </c>
      <c r="N1722">
        <v>2553</v>
      </c>
      <c r="O1722" t="s">
        <v>75</v>
      </c>
      <c r="P1722">
        <v>73.099999999999994</v>
      </c>
      <c r="Q1722" t="s">
        <v>76</v>
      </c>
      <c r="R1722">
        <v>14.1</v>
      </c>
      <c r="S1722">
        <v>-17.899999999999999</v>
      </c>
      <c r="T1722">
        <v>-17.600000000000001</v>
      </c>
      <c r="U1722">
        <v>3.1</v>
      </c>
      <c r="V1722">
        <v>1.6</v>
      </c>
      <c r="W1722">
        <v>1.5</v>
      </c>
      <c r="X1722" t="s">
        <v>66</v>
      </c>
    </row>
    <row r="1723" spans="2:24" x14ac:dyDescent="0.3">
      <c r="B1723" t="s">
        <v>1816</v>
      </c>
      <c r="C1723" t="s">
        <v>53</v>
      </c>
      <c r="D1723" t="s">
        <v>7</v>
      </c>
      <c r="E1723" t="s">
        <v>18</v>
      </c>
      <c r="F1723" t="s">
        <v>12</v>
      </c>
      <c r="G1723" t="s">
        <v>101</v>
      </c>
      <c r="H1723">
        <v>2024</v>
      </c>
      <c r="I1723">
        <v>2422</v>
      </c>
      <c r="J1723">
        <v>9.1999999999999993</v>
      </c>
      <c r="K1723" t="s">
        <v>22</v>
      </c>
      <c r="L1723">
        <v>12.7</v>
      </c>
      <c r="M1723">
        <v>10</v>
      </c>
      <c r="N1723">
        <v>1516</v>
      </c>
      <c r="O1723" t="s">
        <v>55</v>
      </c>
      <c r="P1723">
        <v>37.6</v>
      </c>
      <c r="Q1723" t="s">
        <v>76</v>
      </c>
      <c r="R1723">
        <v>51.8</v>
      </c>
      <c r="S1723">
        <v>59.2</v>
      </c>
      <c r="T1723">
        <v>16.600000000000001</v>
      </c>
      <c r="U1723">
        <v>8</v>
      </c>
      <c r="V1723">
        <v>7.4</v>
      </c>
      <c r="W1723">
        <v>7.6</v>
      </c>
      <c r="X1723" t="s">
        <v>57</v>
      </c>
    </row>
    <row r="1724" spans="2:24" x14ac:dyDescent="0.3">
      <c r="B1724" t="s">
        <v>1817</v>
      </c>
      <c r="C1724" t="s">
        <v>92</v>
      </c>
      <c r="D1724" t="s">
        <v>7</v>
      </c>
      <c r="E1724" t="s">
        <v>19</v>
      </c>
      <c r="F1724" t="s">
        <v>9</v>
      </c>
      <c r="G1724" t="s">
        <v>104</v>
      </c>
      <c r="H1724">
        <v>2025</v>
      </c>
      <c r="I1724">
        <v>488</v>
      </c>
      <c r="J1724">
        <v>3.9</v>
      </c>
      <c r="K1724" t="s">
        <v>24</v>
      </c>
      <c r="L1724">
        <v>4.7</v>
      </c>
      <c r="M1724">
        <v>7.3</v>
      </c>
      <c r="N1724">
        <v>1593</v>
      </c>
      <c r="O1724" t="s">
        <v>55</v>
      </c>
      <c r="P1724">
        <v>70</v>
      </c>
      <c r="Q1724" t="s">
        <v>65</v>
      </c>
      <c r="R1724">
        <v>88.8</v>
      </c>
      <c r="S1724">
        <v>57.9</v>
      </c>
      <c r="T1724">
        <v>33.200000000000003</v>
      </c>
      <c r="U1724">
        <v>6.7</v>
      </c>
      <c r="V1724">
        <v>8.6999999999999993</v>
      </c>
      <c r="W1724">
        <v>7.5</v>
      </c>
      <c r="X1724" t="s">
        <v>116</v>
      </c>
    </row>
    <row r="1725" spans="2:24" x14ac:dyDescent="0.3">
      <c r="B1725" t="s">
        <v>1818</v>
      </c>
      <c r="C1725" t="s">
        <v>159</v>
      </c>
      <c r="D1725" t="s">
        <v>7</v>
      </c>
      <c r="E1725" t="s">
        <v>16</v>
      </c>
      <c r="F1725" t="s">
        <v>11</v>
      </c>
      <c r="G1725" t="s">
        <v>74</v>
      </c>
      <c r="H1725">
        <v>2026</v>
      </c>
      <c r="I1725">
        <v>5931</v>
      </c>
      <c r="J1725">
        <v>13.6</v>
      </c>
      <c r="K1725" t="s">
        <v>24</v>
      </c>
      <c r="L1725">
        <v>4.3</v>
      </c>
      <c r="M1725">
        <v>5.3</v>
      </c>
      <c r="N1725">
        <v>4098</v>
      </c>
      <c r="O1725" t="s">
        <v>64</v>
      </c>
      <c r="P1725">
        <v>84.7</v>
      </c>
      <c r="Q1725" t="s">
        <v>86</v>
      </c>
      <c r="R1725">
        <v>20.3</v>
      </c>
      <c r="S1725">
        <v>40.5</v>
      </c>
      <c r="T1725">
        <v>22.8</v>
      </c>
      <c r="U1725">
        <v>3.2</v>
      </c>
      <c r="V1725">
        <v>6.5</v>
      </c>
      <c r="W1725">
        <v>6.3</v>
      </c>
      <c r="X1725" t="s">
        <v>116</v>
      </c>
    </row>
    <row r="1726" spans="2:24" x14ac:dyDescent="0.3">
      <c r="B1726" t="s">
        <v>1819</v>
      </c>
      <c r="C1726" t="s">
        <v>53</v>
      </c>
      <c r="D1726" t="s">
        <v>2</v>
      </c>
      <c r="E1726" t="s">
        <v>18</v>
      </c>
      <c r="F1726" t="s">
        <v>11</v>
      </c>
      <c r="G1726" t="s">
        <v>115</v>
      </c>
      <c r="H1726">
        <v>2025</v>
      </c>
      <c r="I1726">
        <v>2385</v>
      </c>
      <c r="J1726">
        <v>5.3</v>
      </c>
      <c r="K1726" t="s">
        <v>24</v>
      </c>
      <c r="L1726">
        <v>4.4000000000000004</v>
      </c>
      <c r="M1726">
        <v>3.3</v>
      </c>
      <c r="N1726">
        <v>6299</v>
      </c>
      <c r="O1726" t="s">
        <v>55</v>
      </c>
      <c r="P1726">
        <v>70.5</v>
      </c>
      <c r="Q1726" t="s">
        <v>56</v>
      </c>
      <c r="R1726">
        <v>71.900000000000006</v>
      </c>
      <c r="S1726">
        <v>-12.6</v>
      </c>
      <c r="T1726">
        <v>-9.1</v>
      </c>
      <c r="U1726">
        <v>2.9</v>
      </c>
      <c r="V1726">
        <v>6.3</v>
      </c>
      <c r="W1726">
        <v>7.1</v>
      </c>
      <c r="X1726" t="s">
        <v>57</v>
      </c>
    </row>
    <row r="1727" spans="2:24" x14ac:dyDescent="0.3">
      <c r="B1727" t="s">
        <v>1820</v>
      </c>
      <c r="C1727" t="s">
        <v>27</v>
      </c>
      <c r="D1727" t="s">
        <v>3</v>
      </c>
      <c r="E1727" t="s">
        <v>14</v>
      </c>
      <c r="F1727" t="s">
        <v>11</v>
      </c>
      <c r="G1727" t="s">
        <v>98</v>
      </c>
      <c r="H1727">
        <v>2025</v>
      </c>
      <c r="I1727">
        <v>375</v>
      </c>
      <c r="J1727">
        <v>6.1</v>
      </c>
      <c r="K1727" t="s">
        <v>23</v>
      </c>
      <c r="L1727">
        <v>4.9000000000000004</v>
      </c>
      <c r="M1727">
        <v>8.4</v>
      </c>
      <c r="N1727">
        <v>3856</v>
      </c>
      <c r="O1727" t="s">
        <v>64</v>
      </c>
      <c r="P1727">
        <v>21.2</v>
      </c>
      <c r="Q1727" t="s">
        <v>65</v>
      </c>
      <c r="R1727">
        <v>-39.200000000000003</v>
      </c>
      <c r="S1727">
        <v>12.6</v>
      </c>
      <c r="T1727">
        <v>8.6</v>
      </c>
      <c r="U1727">
        <v>4.9000000000000004</v>
      </c>
      <c r="V1727">
        <v>6</v>
      </c>
      <c r="W1727">
        <v>5.2</v>
      </c>
      <c r="X1727" t="s">
        <v>57</v>
      </c>
    </row>
    <row r="1728" spans="2:24" x14ac:dyDescent="0.3">
      <c r="B1728" t="s">
        <v>1821</v>
      </c>
      <c r="C1728" t="s">
        <v>90</v>
      </c>
      <c r="D1728" t="s">
        <v>5</v>
      </c>
      <c r="E1728" t="s">
        <v>18</v>
      </c>
      <c r="F1728" t="s">
        <v>12</v>
      </c>
      <c r="G1728" t="s">
        <v>98</v>
      </c>
      <c r="H1728">
        <v>2024</v>
      </c>
      <c r="I1728">
        <v>2595</v>
      </c>
      <c r="J1728">
        <v>18</v>
      </c>
      <c r="K1728" t="s">
        <v>25</v>
      </c>
      <c r="L1728">
        <v>4.5999999999999996</v>
      </c>
      <c r="M1728">
        <v>10</v>
      </c>
      <c r="N1728">
        <v>5644</v>
      </c>
      <c r="O1728" t="s">
        <v>55</v>
      </c>
      <c r="P1728">
        <v>37.6</v>
      </c>
      <c r="Q1728" t="s">
        <v>79</v>
      </c>
      <c r="R1728">
        <v>24.9</v>
      </c>
      <c r="S1728">
        <v>44.7</v>
      </c>
      <c r="T1728">
        <v>21.4</v>
      </c>
      <c r="U1728">
        <v>5.7</v>
      </c>
      <c r="V1728">
        <v>6</v>
      </c>
      <c r="W1728">
        <v>5.0999999999999996</v>
      </c>
      <c r="X1728" t="s">
        <v>116</v>
      </c>
    </row>
    <row r="1729" spans="2:24" x14ac:dyDescent="0.3">
      <c r="B1729" t="s">
        <v>1822</v>
      </c>
      <c r="C1729" t="s">
        <v>122</v>
      </c>
      <c r="D1729" t="s">
        <v>2</v>
      </c>
      <c r="E1729" t="s">
        <v>15</v>
      </c>
      <c r="F1729" t="s">
        <v>12</v>
      </c>
      <c r="G1729" t="s">
        <v>98</v>
      </c>
      <c r="H1729">
        <v>2026</v>
      </c>
      <c r="I1729">
        <v>950</v>
      </c>
      <c r="J1729">
        <v>5.2</v>
      </c>
      <c r="K1729" t="s">
        <v>24</v>
      </c>
      <c r="L1729">
        <v>6.3</v>
      </c>
      <c r="M1729">
        <v>7.4</v>
      </c>
      <c r="N1729">
        <v>9104</v>
      </c>
      <c r="O1729" t="s">
        <v>118</v>
      </c>
      <c r="P1729">
        <v>23.7</v>
      </c>
      <c r="Q1729" t="s">
        <v>76</v>
      </c>
      <c r="R1729">
        <v>60.1</v>
      </c>
      <c r="S1729">
        <v>41.6</v>
      </c>
      <c r="T1729">
        <v>24.4</v>
      </c>
      <c r="U1729">
        <v>9.3000000000000007</v>
      </c>
      <c r="V1729">
        <v>8.6</v>
      </c>
      <c r="W1729">
        <v>6.7</v>
      </c>
      <c r="X1729" t="s">
        <v>57</v>
      </c>
    </row>
    <row r="1730" spans="2:24" x14ac:dyDescent="0.3">
      <c r="B1730" t="s">
        <v>1823</v>
      </c>
      <c r="C1730" t="s">
        <v>100</v>
      </c>
      <c r="D1730" t="s">
        <v>3</v>
      </c>
      <c r="E1730" t="s">
        <v>15</v>
      </c>
      <c r="F1730" t="s">
        <v>9</v>
      </c>
      <c r="G1730" t="s">
        <v>78</v>
      </c>
      <c r="H1730">
        <v>2026</v>
      </c>
      <c r="I1730">
        <v>1517</v>
      </c>
      <c r="J1730">
        <v>0.9</v>
      </c>
      <c r="K1730" t="s">
        <v>23</v>
      </c>
      <c r="L1730">
        <v>4.2</v>
      </c>
      <c r="M1730">
        <v>5.8</v>
      </c>
      <c r="N1730">
        <v>863</v>
      </c>
      <c r="O1730" t="s">
        <v>55</v>
      </c>
      <c r="P1730">
        <v>89.2</v>
      </c>
      <c r="Q1730" t="s">
        <v>88</v>
      </c>
      <c r="R1730">
        <v>-24.1</v>
      </c>
      <c r="S1730">
        <v>15.4</v>
      </c>
      <c r="T1730">
        <v>13.2</v>
      </c>
      <c r="U1730">
        <v>3.1</v>
      </c>
      <c r="V1730">
        <v>7.5</v>
      </c>
      <c r="W1730">
        <v>8.1999999999999993</v>
      </c>
      <c r="X1730" t="s">
        <v>57</v>
      </c>
    </row>
    <row r="1731" spans="2:24" x14ac:dyDescent="0.3">
      <c r="B1731" t="s">
        <v>1824</v>
      </c>
      <c r="C1731" t="s">
        <v>90</v>
      </c>
      <c r="D1731" t="s">
        <v>5</v>
      </c>
      <c r="E1731" t="s">
        <v>18</v>
      </c>
      <c r="F1731" t="s">
        <v>11</v>
      </c>
      <c r="G1731" t="s">
        <v>60</v>
      </c>
      <c r="H1731">
        <v>2024</v>
      </c>
      <c r="I1731">
        <v>829</v>
      </c>
      <c r="J1731">
        <v>4.3</v>
      </c>
      <c r="K1731" t="s">
        <v>25</v>
      </c>
      <c r="L1731">
        <v>3.1</v>
      </c>
      <c r="M1731">
        <v>4.5</v>
      </c>
      <c r="N1731">
        <v>3314</v>
      </c>
      <c r="O1731" t="s">
        <v>64</v>
      </c>
      <c r="P1731">
        <v>36.799999999999997</v>
      </c>
      <c r="Q1731" t="s">
        <v>76</v>
      </c>
      <c r="R1731">
        <v>43.6</v>
      </c>
      <c r="S1731">
        <v>-15.6</v>
      </c>
      <c r="T1731">
        <v>2.2000000000000002</v>
      </c>
      <c r="U1731">
        <v>4.2</v>
      </c>
      <c r="V1731">
        <v>7.5</v>
      </c>
      <c r="W1731">
        <v>6.6</v>
      </c>
      <c r="X1731" t="s">
        <v>57</v>
      </c>
    </row>
    <row r="1732" spans="2:24" x14ac:dyDescent="0.3">
      <c r="B1732" t="s">
        <v>1825</v>
      </c>
      <c r="C1732" t="s">
        <v>159</v>
      </c>
      <c r="D1732" t="s">
        <v>7</v>
      </c>
      <c r="E1732" t="s">
        <v>17</v>
      </c>
      <c r="F1732" t="s">
        <v>10</v>
      </c>
      <c r="G1732" t="s">
        <v>54</v>
      </c>
      <c r="H1732">
        <v>2025</v>
      </c>
      <c r="I1732">
        <v>3726</v>
      </c>
      <c r="J1732">
        <v>6</v>
      </c>
      <c r="K1732" t="s">
        <v>24</v>
      </c>
      <c r="L1732">
        <v>8.1999999999999993</v>
      </c>
      <c r="M1732">
        <v>10</v>
      </c>
      <c r="N1732">
        <v>4107</v>
      </c>
      <c r="O1732" t="s">
        <v>55</v>
      </c>
      <c r="P1732">
        <v>14.9</v>
      </c>
      <c r="Q1732" t="s">
        <v>88</v>
      </c>
      <c r="R1732">
        <v>-19.2</v>
      </c>
      <c r="S1732">
        <v>1.6</v>
      </c>
      <c r="T1732">
        <v>5.2</v>
      </c>
      <c r="U1732">
        <v>9.3000000000000007</v>
      </c>
      <c r="V1732">
        <v>5.0999999999999996</v>
      </c>
      <c r="W1732">
        <v>6.4</v>
      </c>
      <c r="X1732" t="s">
        <v>116</v>
      </c>
    </row>
    <row r="1733" spans="2:24" x14ac:dyDescent="0.3">
      <c r="B1733" t="s">
        <v>1826</v>
      </c>
      <c r="C1733" t="s">
        <v>53</v>
      </c>
      <c r="D1733" t="s">
        <v>4</v>
      </c>
      <c r="E1733" t="s">
        <v>19</v>
      </c>
      <c r="F1733" t="s">
        <v>9</v>
      </c>
      <c r="G1733" t="s">
        <v>78</v>
      </c>
      <c r="H1733">
        <v>2024</v>
      </c>
      <c r="I1733">
        <v>8056</v>
      </c>
      <c r="J1733">
        <v>10.9</v>
      </c>
      <c r="K1733" t="s">
        <v>23</v>
      </c>
      <c r="L1733">
        <v>8.9</v>
      </c>
      <c r="M1733">
        <v>8.4</v>
      </c>
      <c r="N1733">
        <v>273</v>
      </c>
      <c r="O1733" t="s">
        <v>55</v>
      </c>
      <c r="P1733">
        <v>11.1</v>
      </c>
      <c r="Q1733" t="s">
        <v>88</v>
      </c>
      <c r="R1733">
        <v>60.8</v>
      </c>
      <c r="S1733">
        <v>2</v>
      </c>
      <c r="T1733">
        <v>1.6</v>
      </c>
      <c r="U1733">
        <v>8.4</v>
      </c>
      <c r="V1733">
        <v>4.7</v>
      </c>
      <c r="W1733">
        <v>5.6</v>
      </c>
      <c r="X1733" t="s">
        <v>66</v>
      </c>
    </row>
    <row r="1734" spans="2:24" x14ac:dyDescent="0.3">
      <c r="B1734" t="s">
        <v>1827</v>
      </c>
      <c r="C1734" t="s">
        <v>27</v>
      </c>
      <c r="D1734" t="s">
        <v>2</v>
      </c>
      <c r="E1734" t="s">
        <v>17</v>
      </c>
      <c r="F1734" t="s">
        <v>10</v>
      </c>
      <c r="G1734" t="s">
        <v>60</v>
      </c>
      <c r="H1734">
        <v>2026</v>
      </c>
      <c r="I1734">
        <v>340</v>
      </c>
      <c r="J1734">
        <v>11.2</v>
      </c>
      <c r="K1734" t="s">
        <v>24</v>
      </c>
      <c r="L1734">
        <v>2.8</v>
      </c>
      <c r="M1734">
        <v>6.8</v>
      </c>
      <c r="N1734">
        <v>2248</v>
      </c>
      <c r="O1734" t="s">
        <v>64</v>
      </c>
      <c r="P1734">
        <v>43.7</v>
      </c>
      <c r="Q1734" t="s">
        <v>76</v>
      </c>
      <c r="R1734">
        <v>76.2</v>
      </c>
      <c r="S1734">
        <v>-2.7</v>
      </c>
      <c r="T1734">
        <v>0.7</v>
      </c>
      <c r="U1734">
        <v>3.4</v>
      </c>
      <c r="V1734">
        <v>4.5999999999999996</v>
      </c>
      <c r="W1734">
        <v>4.5999999999999996</v>
      </c>
      <c r="X1734" t="s">
        <v>116</v>
      </c>
    </row>
    <row r="1735" spans="2:24" x14ac:dyDescent="0.3">
      <c r="B1735" t="s">
        <v>1828</v>
      </c>
      <c r="C1735" t="s">
        <v>90</v>
      </c>
      <c r="D1735" t="s">
        <v>3</v>
      </c>
      <c r="E1735" t="s">
        <v>17</v>
      </c>
      <c r="F1735" t="s">
        <v>10</v>
      </c>
      <c r="G1735" t="s">
        <v>63</v>
      </c>
      <c r="H1735">
        <v>2026</v>
      </c>
      <c r="I1735">
        <v>216</v>
      </c>
      <c r="J1735">
        <v>9.3000000000000007</v>
      </c>
      <c r="K1735" t="s">
        <v>23</v>
      </c>
      <c r="L1735">
        <v>10</v>
      </c>
      <c r="M1735">
        <v>5.8</v>
      </c>
      <c r="N1735">
        <v>1595</v>
      </c>
      <c r="O1735" t="s">
        <v>64</v>
      </c>
      <c r="P1735">
        <v>38.6</v>
      </c>
      <c r="Q1735" t="s">
        <v>84</v>
      </c>
      <c r="R1735">
        <v>12.4</v>
      </c>
      <c r="S1735">
        <v>8.6</v>
      </c>
      <c r="T1735">
        <v>9</v>
      </c>
      <c r="U1735">
        <v>6.1</v>
      </c>
      <c r="V1735">
        <v>6.6</v>
      </c>
      <c r="W1735">
        <v>5.3</v>
      </c>
      <c r="X1735" t="s">
        <v>57</v>
      </c>
    </row>
    <row r="1736" spans="2:24" x14ac:dyDescent="0.3">
      <c r="B1736" t="s">
        <v>1829</v>
      </c>
      <c r="C1736" t="s">
        <v>53</v>
      </c>
      <c r="D1736" t="s">
        <v>4</v>
      </c>
      <c r="E1736" t="s">
        <v>14</v>
      </c>
      <c r="F1736" t="s">
        <v>11</v>
      </c>
      <c r="G1736" t="s">
        <v>104</v>
      </c>
      <c r="H1736">
        <v>2026</v>
      </c>
      <c r="I1736">
        <v>10710</v>
      </c>
      <c r="J1736">
        <v>26.2</v>
      </c>
      <c r="K1736" t="s">
        <v>23</v>
      </c>
      <c r="L1736">
        <v>5.3</v>
      </c>
      <c r="M1736">
        <v>10</v>
      </c>
      <c r="N1736">
        <v>1070</v>
      </c>
      <c r="O1736" t="s">
        <v>64</v>
      </c>
      <c r="P1736">
        <v>83.8</v>
      </c>
      <c r="Q1736" t="s">
        <v>76</v>
      </c>
      <c r="R1736">
        <v>-9.1</v>
      </c>
      <c r="S1736">
        <v>9.4</v>
      </c>
      <c r="T1736">
        <v>-1.5</v>
      </c>
      <c r="U1736">
        <v>8.3000000000000007</v>
      </c>
      <c r="V1736">
        <v>5.6</v>
      </c>
      <c r="W1736">
        <v>3.5</v>
      </c>
      <c r="X1736" t="s">
        <v>66</v>
      </c>
    </row>
    <row r="1737" spans="2:24" x14ac:dyDescent="0.3">
      <c r="B1737" t="s">
        <v>1830</v>
      </c>
      <c r="C1737" t="s">
        <v>73</v>
      </c>
      <c r="D1737" t="s">
        <v>3</v>
      </c>
      <c r="E1737" t="s">
        <v>19</v>
      </c>
      <c r="F1737" t="s">
        <v>9</v>
      </c>
      <c r="G1737" t="s">
        <v>60</v>
      </c>
      <c r="H1737">
        <v>2026</v>
      </c>
      <c r="I1737">
        <v>4027</v>
      </c>
      <c r="J1737">
        <v>17.600000000000001</v>
      </c>
      <c r="K1737" t="s">
        <v>21</v>
      </c>
      <c r="L1737">
        <v>8.4</v>
      </c>
      <c r="M1737">
        <v>10</v>
      </c>
      <c r="N1737">
        <v>1870</v>
      </c>
      <c r="O1737" t="s">
        <v>64</v>
      </c>
      <c r="P1737">
        <v>68.5</v>
      </c>
      <c r="Q1737" t="s">
        <v>88</v>
      </c>
      <c r="R1737">
        <v>1.7</v>
      </c>
      <c r="S1737">
        <v>59.4</v>
      </c>
      <c r="T1737">
        <v>17.899999999999999</v>
      </c>
      <c r="U1737">
        <v>6.4</v>
      </c>
      <c r="V1737">
        <v>6.4</v>
      </c>
      <c r="W1737">
        <v>5.7</v>
      </c>
      <c r="X1737" t="s">
        <v>116</v>
      </c>
    </row>
    <row r="1738" spans="2:24" x14ac:dyDescent="0.3">
      <c r="B1738" t="s">
        <v>1831</v>
      </c>
      <c r="C1738" t="s">
        <v>137</v>
      </c>
      <c r="D1738" t="s">
        <v>3</v>
      </c>
      <c r="E1738" t="s">
        <v>18</v>
      </c>
      <c r="F1738" t="s">
        <v>12</v>
      </c>
      <c r="G1738" t="s">
        <v>98</v>
      </c>
      <c r="H1738">
        <v>2026</v>
      </c>
      <c r="I1738">
        <v>2419</v>
      </c>
      <c r="J1738">
        <v>5.6</v>
      </c>
      <c r="K1738" t="s">
        <v>22</v>
      </c>
      <c r="L1738">
        <v>7.8</v>
      </c>
      <c r="M1738">
        <v>10</v>
      </c>
      <c r="N1738">
        <v>3921</v>
      </c>
      <c r="O1738" t="s">
        <v>55</v>
      </c>
      <c r="P1738">
        <v>55.7</v>
      </c>
      <c r="Q1738" t="s">
        <v>56</v>
      </c>
      <c r="R1738">
        <v>16.3</v>
      </c>
      <c r="S1738">
        <v>4</v>
      </c>
      <c r="T1738">
        <v>-4.2</v>
      </c>
      <c r="U1738">
        <v>9.6</v>
      </c>
      <c r="V1738">
        <v>7.1</v>
      </c>
      <c r="W1738">
        <v>5.6</v>
      </c>
      <c r="X1738" t="s">
        <v>116</v>
      </c>
    </row>
    <row r="1739" spans="2:24" x14ac:dyDescent="0.3">
      <c r="B1739" t="s">
        <v>1832</v>
      </c>
      <c r="C1739" t="s">
        <v>90</v>
      </c>
      <c r="D1739" t="s">
        <v>2</v>
      </c>
      <c r="E1739" t="s">
        <v>14</v>
      </c>
      <c r="F1739" t="s">
        <v>11</v>
      </c>
      <c r="G1739" t="s">
        <v>74</v>
      </c>
      <c r="H1739">
        <v>2026</v>
      </c>
      <c r="I1739">
        <v>3187</v>
      </c>
      <c r="J1739">
        <v>12.5</v>
      </c>
      <c r="K1739" t="s">
        <v>25</v>
      </c>
      <c r="L1739">
        <v>7.3</v>
      </c>
      <c r="M1739">
        <v>8.4</v>
      </c>
      <c r="N1739">
        <v>4844</v>
      </c>
      <c r="O1739" t="s">
        <v>55</v>
      </c>
      <c r="P1739">
        <v>65.099999999999994</v>
      </c>
      <c r="Q1739" t="s">
        <v>76</v>
      </c>
      <c r="R1739">
        <v>37.4</v>
      </c>
      <c r="S1739">
        <v>53.3</v>
      </c>
      <c r="T1739">
        <v>17.5</v>
      </c>
      <c r="U1739">
        <v>6.3</v>
      </c>
      <c r="V1739">
        <v>7.8</v>
      </c>
      <c r="W1739">
        <v>7.2</v>
      </c>
      <c r="X1739" t="s">
        <v>116</v>
      </c>
    </row>
    <row r="1740" spans="2:24" x14ac:dyDescent="0.3">
      <c r="B1740" t="s">
        <v>1833</v>
      </c>
      <c r="C1740" t="s">
        <v>27</v>
      </c>
      <c r="D1740" t="s">
        <v>2</v>
      </c>
      <c r="E1740" t="s">
        <v>16</v>
      </c>
      <c r="F1740" t="s">
        <v>10</v>
      </c>
      <c r="G1740" t="s">
        <v>63</v>
      </c>
      <c r="H1740">
        <v>2025</v>
      </c>
      <c r="I1740">
        <v>2174</v>
      </c>
      <c r="J1740">
        <v>5.4</v>
      </c>
      <c r="K1740" t="s">
        <v>23</v>
      </c>
      <c r="L1740">
        <v>1.2</v>
      </c>
      <c r="M1740">
        <v>1</v>
      </c>
      <c r="N1740">
        <v>4917</v>
      </c>
      <c r="O1740" t="s">
        <v>55</v>
      </c>
      <c r="P1740">
        <v>67.599999999999994</v>
      </c>
      <c r="Q1740" t="s">
        <v>56</v>
      </c>
      <c r="R1740">
        <v>28.5</v>
      </c>
      <c r="S1740">
        <v>30.4</v>
      </c>
      <c r="T1740">
        <v>6.6</v>
      </c>
      <c r="U1740">
        <v>1.5</v>
      </c>
      <c r="V1740">
        <v>6.3</v>
      </c>
      <c r="W1740">
        <v>8</v>
      </c>
      <c r="X1740" t="s">
        <v>57</v>
      </c>
    </row>
    <row r="1741" spans="2:24" x14ac:dyDescent="0.3">
      <c r="B1741" t="s">
        <v>1834</v>
      </c>
      <c r="C1741" t="s">
        <v>106</v>
      </c>
      <c r="D1741" t="s">
        <v>8</v>
      </c>
      <c r="E1741" t="s">
        <v>15</v>
      </c>
      <c r="F1741" t="s">
        <v>10</v>
      </c>
      <c r="G1741" t="s">
        <v>98</v>
      </c>
      <c r="H1741">
        <v>2026</v>
      </c>
      <c r="I1741">
        <v>1515</v>
      </c>
      <c r="J1741">
        <v>20.8</v>
      </c>
      <c r="K1741" t="s">
        <v>23</v>
      </c>
      <c r="L1741">
        <v>5.2</v>
      </c>
      <c r="M1741">
        <v>10</v>
      </c>
      <c r="N1741">
        <v>658</v>
      </c>
      <c r="O1741" t="s">
        <v>64</v>
      </c>
      <c r="P1741">
        <v>84.9</v>
      </c>
      <c r="Q1741" t="s">
        <v>65</v>
      </c>
      <c r="R1741">
        <v>-36.4</v>
      </c>
      <c r="S1741">
        <v>-20</v>
      </c>
      <c r="T1741">
        <v>-18.3</v>
      </c>
      <c r="U1741">
        <v>6</v>
      </c>
      <c r="V1741">
        <v>3.2</v>
      </c>
      <c r="W1741">
        <v>2.8</v>
      </c>
      <c r="X1741" t="s">
        <v>66</v>
      </c>
    </row>
    <row r="1742" spans="2:24" x14ac:dyDescent="0.3">
      <c r="B1742" t="s">
        <v>1835</v>
      </c>
      <c r="C1742" t="s">
        <v>27</v>
      </c>
      <c r="D1742" t="s">
        <v>2</v>
      </c>
      <c r="E1742" t="s">
        <v>16</v>
      </c>
      <c r="F1742" t="s">
        <v>10</v>
      </c>
      <c r="G1742" t="s">
        <v>98</v>
      </c>
      <c r="H1742">
        <v>2026</v>
      </c>
      <c r="I1742">
        <v>17914</v>
      </c>
      <c r="J1742">
        <v>21.3</v>
      </c>
      <c r="K1742" t="s">
        <v>24</v>
      </c>
      <c r="L1742">
        <v>2.5</v>
      </c>
      <c r="M1742">
        <v>5.5</v>
      </c>
      <c r="N1742">
        <v>6497</v>
      </c>
      <c r="O1742" t="s">
        <v>64</v>
      </c>
      <c r="P1742">
        <v>18.5</v>
      </c>
      <c r="Q1742" t="s">
        <v>56</v>
      </c>
      <c r="R1742">
        <v>49.5</v>
      </c>
      <c r="S1742">
        <v>44.6</v>
      </c>
      <c r="T1742">
        <v>5.0999999999999996</v>
      </c>
      <c r="U1742">
        <v>1.9</v>
      </c>
      <c r="V1742">
        <v>6.6</v>
      </c>
      <c r="W1742">
        <v>6.4</v>
      </c>
      <c r="X1742" t="s">
        <v>66</v>
      </c>
    </row>
    <row r="1743" spans="2:24" x14ac:dyDescent="0.3">
      <c r="B1743" t="s">
        <v>1836</v>
      </c>
      <c r="C1743" t="s">
        <v>106</v>
      </c>
      <c r="D1743" t="s">
        <v>3</v>
      </c>
      <c r="E1743" t="s">
        <v>17</v>
      </c>
      <c r="F1743" t="s">
        <v>10</v>
      </c>
      <c r="G1743" t="s">
        <v>69</v>
      </c>
      <c r="H1743">
        <v>2026</v>
      </c>
      <c r="I1743">
        <v>47</v>
      </c>
      <c r="J1743">
        <v>6.4</v>
      </c>
      <c r="K1743" t="s">
        <v>22</v>
      </c>
      <c r="L1743">
        <v>3.3</v>
      </c>
      <c r="M1743">
        <v>6.2</v>
      </c>
      <c r="N1743">
        <v>4167</v>
      </c>
      <c r="O1743" t="s">
        <v>55</v>
      </c>
      <c r="P1743">
        <v>66.599999999999994</v>
      </c>
      <c r="Q1743" t="s">
        <v>79</v>
      </c>
      <c r="R1743">
        <v>21.5</v>
      </c>
      <c r="S1743">
        <v>41.4</v>
      </c>
      <c r="T1743">
        <v>22.9</v>
      </c>
      <c r="U1743">
        <v>4.4000000000000004</v>
      </c>
      <c r="V1743">
        <v>7.5</v>
      </c>
      <c r="W1743">
        <v>7.7</v>
      </c>
      <c r="X1743" t="s">
        <v>57</v>
      </c>
    </row>
    <row r="1744" spans="2:24" x14ac:dyDescent="0.3">
      <c r="B1744" t="s">
        <v>1837</v>
      </c>
      <c r="C1744" t="s">
        <v>92</v>
      </c>
      <c r="D1744" t="s">
        <v>7</v>
      </c>
      <c r="E1744" t="s">
        <v>15</v>
      </c>
      <c r="F1744" t="s">
        <v>9</v>
      </c>
      <c r="G1744" t="s">
        <v>131</v>
      </c>
      <c r="H1744">
        <v>2026</v>
      </c>
      <c r="I1744">
        <v>6226</v>
      </c>
      <c r="J1744">
        <v>2.2000000000000002</v>
      </c>
      <c r="K1744" t="s">
        <v>22</v>
      </c>
      <c r="L1744">
        <v>3.5</v>
      </c>
      <c r="M1744">
        <v>2.2999999999999998</v>
      </c>
      <c r="N1744">
        <v>1698</v>
      </c>
      <c r="O1744" t="s">
        <v>64</v>
      </c>
      <c r="P1744">
        <v>20.6</v>
      </c>
      <c r="Q1744" t="s">
        <v>65</v>
      </c>
      <c r="R1744">
        <v>-10.1</v>
      </c>
      <c r="S1744">
        <v>-3</v>
      </c>
      <c r="T1744">
        <v>-5.3</v>
      </c>
      <c r="U1744">
        <v>2.8</v>
      </c>
      <c r="V1744">
        <v>6.4</v>
      </c>
      <c r="W1744">
        <v>6.5</v>
      </c>
      <c r="X1744" t="s">
        <v>116</v>
      </c>
    </row>
    <row r="1745" spans="2:24" x14ac:dyDescent="0.3">
      <c r="B1745" t="s">
        <v>1838</v>
      </c>
      <c r="C1745" t="s">
        <v>137</v>
      </c>
      <c r="D1745" t="s">
        <v>4</v>
      </c>
      <c r="E1745" t="s">
        <v>15</v>
      </c>
      <c r="F1745" t="s">
        <v>9</v>
      </c>
      <c r="G1745" t="s">
        <v>78</v>
      </c>
      <c r="H1745">
        <v>2026</v>
      </c>
      <c r="I1745">
        <v>913</v>
      </c>
      <c r="J1745">
        <v>0.9</v>
      </c>
      <c r="K1745" t="s">
        <v>23</v>
      </c>
      <c r="L1745">
        <v>2.1</v>
      </c>
      <c r="M1745">
        <v>3.7</v>
      </c>
      <c r="N1745">
        <v>2506</v>
      </c>
      <c r="O1745" t="s">
        <v>64</v>
      </c>
      <c r="P1745">
        <v>31.3</v>
      </c>
      <c r="Q1745" t="s">
        <v>56</v>
      </c>
      <c r="R1745">
        <v>6.4</v>
      </c>
      <c r="S1745">
        <v>-10.3</v>
      </c>
      <c r="T1745">
        <v>-3.1</v>
      </c>
      <c r="U1745">
        <v>3.1</v>
      </c>
      <c r="V1745">
        <v>8.1999999999999993</v>
      </c>
      <c r="W1745">
        <v>6.8</v>
      </c>
      <c r="X1745" t="s">
        <v>57</v>
      </c>
    </row>
    <row r="1746" spans="2:24" x14ac:dyDescent="0.3">
      <c r="B1746" t="s">
        <v>1839</v>
      </c>
      <c r="C1746" t="s">
        <v>159</v>
      </c>
      <c r="D1746" t="s">
        <v>7</v>
      </c>
      <c r="E1746" t="s">
        <v>19</v>
      </c>
      <c r="F1746" t="s">
        <v>10</v>
      </c>
      <c r="G1746" t="s">
        <v>60</v>
      </c>
      <c r="H1746">
        <v>2025</v>
      </c>
      <c r="I1746">
        <v>8797</v>
      </c>
      <c r="J1746">
        <v>22.2</v>
      </c>
      <c r="K1746" t="s">
        <v>24</v>
      </c>
      <c r="L1746">
        <v>2.7</v>
      </c>
      <c r="M1746">
        <v>7.8</v>
      </c>
      <c r="N1746">
        <v>1439</v>
      </c>
      <c r="O1746" t="s">
        <v>75</v>
      </c>
      <c r="P1746">
        <v>10.3</v>
      </c>
      <c r="Q1746" t="s">
        <v>79</v>
      </c>
      <c r="R1746">
        <v>7.9</v>
      </c>
      <c r="S1746">
        <v>31.5</v>
      </c>
      <c r="T1746">
        <v>3.1</v>
      </c>
      <c r="U1746">
        <v>1.8</v>
      </c>
      <c r="V1746">
        <v>6.3</v>
      </c>
      <c r="W1746">
        <v>4.5</v>
      </c>
      <c r="X1746" t="s">
        <v>66</v>
      </c>
    </row>
    <row r="1747" spans="2:24" x14ac:dyDescent="0.3">
      <c r="B1747" t="s">
        <v>1840</v>
      </c>
      <c r="C1747" t="s">
        <v>142</v>
      </c>
      <c r="D1747" t="s">
        <v>2</v>
      </c>
      <c r="E1747" t="s">
        <v>14</v>
      </c>
      <c r="F1747" t="s">
        <v>10</v>
      </c>
      <c r="G1747" t="s">
        <v>112</v>
      </c>
      <c r="H1747">
        <v>2024</v>
      </c>
      <c r="I1747">
        <v>17755</v>
      </c>
      <c r="J1747">
        <v>21</v>
      </c>
      <c r="K1747" t="s">
        <v>21</v>
      </c>
      <c r="L1747">
        <v>9.4</v>
      </c>
      <c r="M1747">
        <v>10</v>
      </c>
      <c r="N1747">
        <v>4202</v>
      </c>
      <c r="O1747" t="s">
        <v>64</v>
      </c>
      <c r="P1747">
        <v>59.7</v>
      </c>
      <c r="Q1747" t="s">
        <v>56</v>
      </c>
      <c r="R1747">
        <v>-35.799999999999997</v>
      </c>
      <c r="S1747">
        <v>2.4</v>
      </c>
      <c r="T1747">
        <v>-7.8</v>
      </c>
      <c r="U1747">
        <v>6.4</v>
      </c>
      <c r="V1747">
        <v>6.5</v>
      </c>
      <c r="W1747">
        <v>4.7</v>
      </c>
      <c r="X1747" t="s">
        <v>66</v>
      </c>
    </row>
    <row r="1748" spans="2:24" x14ac:dyDescent="0.3">
      <c r="B1748" t="s">
        <v>1841</v>
      </c>
      <c r="C1748" t="s">
        <v>27</v>
      </c>
      <c r="D1748" t="s">
        <v>2</v>
      </c>
      <c r="E1748" t="s">
        <v>18</v>
      </c>
      <c r="F1748" t="s">
        <v>9</v>
      </c>
      <c r="G1748" t="s">
        <v>74</v>
      </c>
      <c r="H1748">
        <v>2024</v>
      </c>
      <c r="I1748">
        <v>516</v>
      </c>
      <c r="J1748">
        <v>1.4</v>
      </c>
      <c r="K1748" t="s">
        <v>21</v>
      </c>
      <c r="L1748">
        <v>8.1</v>
      </c>
      <c r="M1748">
        <v>10</v>
      </c>
      <c r="N1748">
        <v>3680</v>
      </c>
      <c r="O1748" t="s">
        <v>55</v>
      </c>
      <c r="P1748">
        <v>26.9</v>
      </c>
      <c r="Q1748" t="s">
        <v>76</v>
      </c>
      <c r="R1748">
        <v>20.399999999999999</v>
      </c>
      <c r="S1748">
        <v>15.1</v>
      </c>
      <c r="T1748">
        <v>7</v>
      </c>
      <c r="U1748">
        <v>7.2</v>
      </c>
      <c r="V1748">
        <v>8.1999999999999993</v>
      </c>
      <c r="W1748">
        <v>7</v>
      </c>
      <c r="X1748" t="s">
        <v>57</v>
      </c>
    </row>
    <row r="1749" spans="2:24" x14ac:dyDescent="0.3">
      <c r="B1749" t="s">
        <v>1842</v>
      </c>
      <c r="C1749" t="s">
        <v>53</v>
      </c>
      <c r="D1749" t="s">
        <v>2</v>
      </c>
      <c r="E1749" t="s">
        <v>19</v>
      </c>
      <c r="F1749" t="s">
        <v>9</v>
      </c>
      <c r="G1749" t="s">
        <v>112</v>
      </c>
      <c r="H1749">
        <v>2026</v>
      </c>
      <c r="I1749">
        <v>1831</v>
      </c>
      <c r="J1749">
        <v>8</v>
      </c>
      <c r="K1749" t="s">
        <v>24</v>
      </c>
      <c r="L1749">
        <v>3.1</v>
      </c>
      <c r="M1749">
        <v>5.8</v>
      </c>
      <c r="N1749">
        <v>2814</v>
      </c>
      <c r="O1749" t="s">
        <v>55</v>
      </c>
      <c r="P1749">
        <v>78.7</v>
      </c>
      <c r="Q1749" t="s">
        <v>76</v>
      </c>
      <c r="R1749">
        <v>45.7</v>
      </c>
      <c r="S1749">
        <v>16.7</v>
      </c>
      <c r="T1749">
        <v>-2.6</v>
      </c>
      <c r="U1749">
        <v>2.4</v>
      </c>
      <c r="V1749">
        <v>5.5</v>
      </c>
      <c r="W1749">
        <v>6.6</v>
      </c>
      <c r="X1749" t="s">
        <v>57</v>
      </c>
    </row>
    <row r="1750" spans="2:24" x14ac:dyDescent="0.3">
      <c r="B1750" t="s">
        <v>1843</v>
      </c>
      <c r="C1750" t="s">
        <v>122</v>
      </c>
      <c r="D1750" t="s">
        <v>2</v>
      </c>
      <c r="E1750" t="s">
        <v>15</v>
      </c>
      <c r="F1750" t="s">
        <v>10</v>
      </c>
      <c r="G1750" t="s">
        <v>131</v>
      </c>
      <c r="H1750">
        <v>2025</v>
      </c>
      <c r="I1750">
        <v>15086</v>
      </c>
      <c r="J1750">
        <v>33.799999999999997</v>
      </c>
      <c r="K1750" t="s">
        <v>24</v>
      </c>
      <c r="L1750">
        <v>7.2</v>
      </c>
      <c r="M1750">
        <v>10</v>
      </c>
      <c r="N1750">
        <v>4555</v>
      </c>
      <c r="O1750" t="s">
        <v>75</v>
      </c>
      <c r="P1750">
        <v>17.7</v>
      </c>
      <c r="Q1750" t="s">
        <v>76</v>
      </c>
      <c r="R1750">
        <v>-3.6</v>
      </c>
      <c r="S1750">
        <v>-14.6</v>
      </c>
      <c r="T1750">
        <v>-9.8000000000000007</v>
      </c>
      <c r="U1750">
        <v>4.7</v>
      </c>
      <c r="V1750">
        <v>5.6</v>
      </c>
      <c r="W1750">
        <v>1.5</v>
      </c>
      <c r="X1750" t="s">
        <v>66</v>
      </c>
    </row>
    <row r="1751" spans="2:24" x14ac:dyDescent="0.3">
      <c r="B1751" t="s">
        <v>1844</v>
      </c>
      <c r="C1751" t="s">
        <v>71</v>
      </c>
      <c r="D1751" t="s">
        <v>5</v>
      </c>
      <c r="E1751" t="s">
        <v>14</v>
      </c>
      <c r="F1751" t="s">
        <v>10</v>
      </c>
      <c r="G1751" t="s">
        <v>115</v>
      </c>
      <c r="H1751">
        <v>2024</v>
      </c>
      <c r="I1751">
        <v>12142</v>
      </c>
      <c r="J1751">
        <v>25.6</v>
      </c>
      <c r="K1751" t="s">
        <v>23</v>
      </c>
      <c r="L1751">
        <v>9.9</v>
      </c>
      <c r="M1751">
        <v>10</v>
      </c>
      <c r="N1751">
        <v>451</v>
      </c>
      <c r="O1751" t="s">
        <v>64</v>
      </c>
      <c r="P1751">
        <v>84.7</v>
      </c>
      <c r="Q1751" t="s">
        <v>86</v>
      </c>
      <c r="R1751">
        <v>-18.5</v>
      </c>
      <c r="S1751">
        <v>-10.4</v>
      </c>
      <c r="T1751">
        <v>-4.0999999999999996</v>
      </c>
      <c r="U1751">
        <v>8.5</v>
      </c>
      <c r="V1751">
        <v>5.5</v>
      </c>
      <c r="W1751">
        <v>4.0999999999999996</v>
      </c>
      <c r="X1751" t="s">
        <v>66</v>
      </c>
    </row>
    <row r="1752" spans="2:24" x14ac:dyDescent="0.3">
      <c r="B1752" t="s">
        <v>1845</v>
      </c>
      <c r="C1752" t="s">
        <v>53</v>
      </c>
      <c r="D1752" t="s">
        <v>3</v>
      </c>
      <c r="E1752" t="s">
        <v>19</v>
      </c>
      <c r="F1752" t="s">
        <v>11</v>
      </c>
      <c r="G1752" t="s">
        <v>115</v>
      </c>
      <c r="H1752">
        <v>2025</v>
      </c>
      <c r="I1752">
        <v>2165</v>
      </c>
      <c r="J1752">
        <v>15.2</v>
      </c>
      <c r="K1752" t="s">
        <v>23</v>
      </c>
      <c r="L1752">
        <v>4.2</v>
      </c>
      <c r="M1752">
        <v>10</v>
      </c>
      <c r="N1752">
        <v>1420</v>
      </c>
      <c r="O1752" t="s">
        <v>64</v>
      </c>
      <c r="P1752">
        <v>80.2</v>
      </c>
      <c r="Q1752" t="s">
        <v>76</v>
      </c>
      <c r="R1752">
        <v>10.1</v>
      </c>
      <c r="S1752">
        <v>-4.9000000000000004</v>
      </c>
      <c r="T1752">
        <v>2.8</v>
      </c>
      <c r="U1752">
        <v>6.6</v>
      </c>
      <c r="V1752">
        <v>6.8</v>
      </c>
      <c r="W1752">
        <v>5.2</v>
      </c>
      <c r="X1752" t="s">
        <v>66</v>
      </c>
    </row>
    <row r="1753" spans="2:24" x14ac:dyDescent="0.3">
      <c r="B1753" t="s">
        <v>1846</v>
      </c>
      <c r="C1753" t="s">
        <v>106</v>
      </c>
      <c r="D1753" t="s">
        <v>8</v>
      </c>
      <c r="E1753" t="s">
        <v>15</v>
      </c>
      <c r="F1753" t="s">
        <v>12</v>
      </c>
      <c r="G1753" t="s">
        <v>54</v>
      </c>
      <c r="H1753">
        <v>2026</v>
      </c>
      <c r="I1753">
        <v>1568</v>
      </c>
      <c r="J1753">
        <v>2.4</v>
      </c>
      <c r="K1753" t="s">
        <v>23</v>
      </c>
      <c r="L1753">
        <v>11.5</v>
      </c>
      <c r="M1753">
        <v>3.2</v>
      </c>
      <c r="N1753">
        <v>5932</v>
      </c>
      <c r="O1753" t="s">
        <v>118</v>
      </c>
      <c r="P1753">
        <v>76.3</v>
      </c>
      <c r="Q1753" t="s">
        <v>56</v>
      </c>
      <c r="R1753">
        <v>39.200000000000003</v>
      </c>
      <c r="S1753">
        <v>-17.899999999999999</v>
      </c>
      <c r="T1753">
        <v>-3.7</v>
      </c>
      <c r="U1753">
        <v>8.5</v>
      </c>
      <c r="V1753">
        <v>7.4</v>
      </c>
      <c r="W1753">
        <v>7.3</v>
      </c>
      <c r="X1753" t="s">
        <v>57</v>
      </c>
    </row>
    <row r="1754" spans="2:24" x14ac:dyDescent="0.3">
      <c r="B1754" t="s">
        <v>1847</v>
      </c>
      <c r="C1754" t="s">
        <v>122</v>
      </c>
      <c r="D1754" t="s">
        <v>2</v>
      </c>
      <c r="E1754" t="s">
        <v>17</v>
      </c>
      <c r="F1754" t="s">
        <v>11</v>
      </c>
      <c r="G1754" t="s">
        <v>69</v>
      </c>
      <c r="H1754">
        <v>2026</v>
      </c>
      <c r="I1754">
        <v>2384</v>
      </c>
      <c r="J1754">
        <v>3.7</v>
      </c>
      <c r="K1754" t="s">
        <v>23</v>
      </c>
      <c r="L1754">
        <v>3.7</v>
      </c>
      <c r="M1754">
        <v>6.2</v>
      </c>
      <c r="N1754">
        <v>6805</v>
      </c>
      <c r="O1754" t="s">
        <v>55</v>
      </c>
      <c r="P1754">
        <v>82.8</v>
      </c>
      <c r="Q1754" t="s">
        <v>76</v>
      </c>
      <c r="R1754">
        <v>-37.6</v>
      </c>
      <c r="S1754">
        <v>51.1</v>
      </c>
      <c r="T1754">
        <v>18</v>
      </c>
      <c r="U1754">
        <v>3.1</v>
      </c>
      <c r="V1754">
        <v>8.4</v>
      </c>
      <c r="W1754">
        <v>8.6</v>
      </c>
      <c r="X1754" t="s">
        <v>116</v>
      </c>
    </row>
    <row r="1755" spans="2:24" x14ac:dyDescent="0.3">
      <c r="B1755" t="s">
        <v>1848</v>
      </c>
      <c r="C1755" t="s">
        <v>90</v>
      </c>
      <c r="D1755" t="s">
        <v>3</v>
      </c>
      <c r="E1755" t="s">
        <v>16</v>
      </c>
      <c r="F1755" t="s">
        <v>9</v>
      </c>
      <c r="G1755" t="s">
        <v>63</v>
      </c>
      <c r="H1755">
        <v>2026</v>
      </c>
      <c r="I1755">
        <v>6439</v>
      </c>
      <c r="J1755">
        <v>9.6999999999999993</v>
      </c>
      <c r="K1755" t="s">
        <v>25</v>
      </c>
      <c r="L1755">
        <v>12.8</v>
      </c>
      <c r="M1755">
        <v>9.3000000000000007</v>
      </c>
      <c r="N1755">
        <v>4994</v>
      </c>
      <c r="O1755" t="s">
        <v>55</v>
      </c>
      <c r="P1755">
        <v>47.6</v>
      </c>
      <c r="Q1755" t="s">
        <v>84</v>
      </c>
      <c r="R1755">
        <v>-6.5</v>
      </c>
      <c r="S1755">
        <v>-2</v>
      </c>
      <c r="T1755">
        <v>0.2</v>
      </c>
      <c r="U1755">
        <v>7.6</v>
      </c>
      <c r="V1755">
        <v>4.3</v>
      </c>
      <c r="W1755">
        <v>4.3</v>
      </c>
      <c r="X1755" t="s">
        <v>116</v>
      </c>
    </row>
    <row r="1756" spans="2:24" x14ac:dyDescent="0.3">
      <c r="B1756" t="s">
        <v>1849</v>
      </c>
      <c r="C1756" t="s">
        <v>106</v>
      </c>
      <c r="D1756" t="s">
        <v>4</v>
      </c>
      <c r="E1756" t="s">
        <v>18</v>
      </c>
      <c r="F1756" t="s">
        <v>10</v>
      </c>
      <c r="G1756" t="s">
        <v>63</v>
      </c>
      <c r="H1756">
        <v>2024</v>
      </c>
      <c r="I1756">
        <v>2714</v>
      </c>
      <c r="J1756">
        <v>15.4</v>
      </c>
      <c r="K1756" t="s">
        <v>25</v>
      </c>
      <c r="L1756">
        <v>4.9000000000000004</v>
      </c>
      <c r="M1756">
        <v>7.3</v>
      </c>
      <c r="N1756">
        <v>210</v>
      </c>
      <c r="O1756" t="s">
        <v>64</v>
      </c>
      <c r="P1756">
        <v>48.4</v>
      </c>
      <c r="Q1756" t="s">
        <v>86</v>
      </c>
      <c r="R1756">
        <v>13.7</v>
      </c>
      <c r="S1756">
        <v>-13.7</v>
      </c>
      <c r="T1756">
        <v>-14.7</v>
      </c>
      <c r="U1756">
        <v>3.9</v>
      </c>
      <c r="V1756">
        <v>5</v>
      </c>
      <c r="W1756">
        <v>3.8</v>
      </c>
      <c r="X1756" t="s">
        <v>116</v>
      </c>
    </row>
    <row r="1757" spans="2:24" x14ac:dyDescent="0.3">
      <c r="B1757" t="s">
        <v>1850</v>
      </c>
      <c r="C1757" t="s">
        <v>122</v>
      </c>
      <c r="D1757" t="s">
        <v>2</v>
      </c>
      <c r="E1757" t="s">
        <v>19</v>
      </c>
      <c r="F1757" t="s">
        <v>12</v>
      </c>
      <c r="G1757" t="s">
        <v>69</v>
      </c>
      <c r="H1757">
        <v>2026</v>
      </c>
      <c r="I1757">
        <v>1329</v>
      </c>
      <c r="J1757">
        <v>5.9</v>
      </c>
      <c r="K1757" t="s">
        <v>22</v>
      </c>
      <c r="L1757">
        <v>1.8</v>
      </c>
      <c r="M1757">
        <v>1</v>
      </c>
      <c r="N1757">
        <v>1054</v>
      </c>
      <c r="O1757" t="s">
        <v>64</v>
      </c>
      <c r="P1757">
        <v>85.4</v>
      </c>
      <c r="Q1757" t="s">
        <v>76</v>
      </c>
      <c r="R1757">
        <v>-35.4</v>
      </c>
      <c r="S1757">
        <v>32.1</v>
      </c>
      <c r="T1757">
        <v>7.7</v>
      </c>
      <c r="U1757">
        <v>1.2</v>
      </c>
      <c r="V1757">
        <v>5.9</v>
      </c>
      <c r="W1757">
        <v>9.1999999999999993</v>
      </c>
      <c r="X1757" t="s">
        <v>57</v>
      </c>
    </row>
    <row r="1758" spans="2:24" x14ac:dyDescent="0.3">
      <c r="B1758" t="s">
        <v>1851</v>
      </c>
      <c r="C1758" t="s">
        <v>97</v>
      </c>
      <c r="D1758" t="s">
        <v>3</v>
      </c>
      <c r="E1758" t="s">
        <v>14</v>
      </c>
      <c r="F1758" t="s">
        <v>9</v>
      </c>
      <c r="G1758" t="s">
        <v>74</v>
      </c>
      <c r="H1758">
        <v>2025</v>
      </c>
      <c r="I1758">
        <v>15502</v>
      </c>
      <c r="J1758">
        <v>21.6</v>
      </c>
      <c r="K1758" t="s">
        <v>24</v>
      </c>
      <c r="L1758">
        <v>4</v>
      </c>
      <c r="M1758">
        <v>10</v>
      </c>
      <c r="N1758">
        <v>780</v>
      </c>
      <c r="O1758" t="s">
        <v>75</v>
      </c>
      <c r="P1758">
        <v>21.6</v>
      </c>
      <c r="Q1758" t="s">
        <v>76</v>
      </c>
      <c r="R1758">
        <v>56.9</v>
      </c>
      <c r="S1758">
        <v>-9.5</v>
      </c>
      <c r="T1758">
        <v>-12.3</v>
      </c>
      <c r="U1758">
        <v>6</v>
      </c>
      <c r="V1758">
        <v>4.5</v>
      </c>
      <c r="W1758">
        <v>4</v>
      </c>
      <c r="X1758" t="s">
        <v>66</v>
      </c>
    </row>
    <row r="1759" spans="2:24" x14ac:dyDescent="0.3">
      <c r="B1759" t="s">
        <v>1852</v>
      </c>
      <c r="C1759" t="s">
        <v>71</v>
      </c>
      <c r="D1759" t="s">
        <v>6</v>
      </c>
      <c r="E1759" t="s">
        <v>16</v>
      </c>
      <c r="F1759" t="s">
        <v>10</v>
      </c>
      <c r="G1759" t="s">
        <v>115</v>
      </c>
      <c r="H1759">
        <v>2024</v>
      </c>
      <c r="I1759">
        <v>1403</v>
      </c>
      <c r="J1759">
        <v>7.9</v>
      </c>
      <c r="K1759" t="s">
        <v>24</v>
      </c>
      <c r="L1759">
        <v>12.6</v>
      </c>
      <c r="M1759">
        <v>10</v>
      </c>
      <c r="N1759">
        <v>1214</v>
      </c>
      <c r="O1759" t="s">
        <v>64</v>
      </c>
      <c r="P1759">
        <v>47.9</v>
      </c>
      <c r="Q1759" t="s">
        <v>65</v>
      </c>
      <c r="R1759">
        <v>84.5</v>
      </c>
      <c r="S1759">
        <v>45.8</v>
      </c>
      <c r="T1759">
        <v>23.9</v>
      </c>
      <c r="U1759">
        <v>9.6999999999999993</v>
      </c>
      <c r="V1759">
        <v>7</v>
      </c>
      <c r="W1759">
        <v>6</v>
      </c>
      <c r="X1759" t="s">
        <v>57</v>
      </c>
    </row>
    <row r="1760" spans="2:24" x14ac:dyDescent="0.3">
      <c r="B1760" t="s">
        <v>1853</v>
      </c>
      <c r="C1760" t="s">
        <v>142</v>
      </c>
      <c r="D1760" t="s">
        <v>8</v>
      </c>
      <c r="E1760" t="s">
        <v>16</v>
      </c>
      <c r="F1760" t="s">
        <v>11</v>
      </c>
      <c r="G1760" t="s">
        <v>131</v>
      </c>
      <c r="H1760">
        <v>2026</v>
      </c>
      <c r="I1760">
        <v>2075</v>
      </c>
      <c r="J1760">
        <v>8.3000000000000007</v>
      </c>
      <c r="K1760" t="s">
        <v>23</v>
      </c>
      <c r="L1760">
        <v>2.1</v>
      </c>
      <c r="M1760">
        <v>4.5999999999999996</v>
      </c>
      <c r="N1760">
        <v>5610</v>
      </c>
      <c r="O1760" t="s">
        <v>64</v>
      </c>
      <c r="P1760">
        <v>73</v>
      </c>
      <c r="Q1760" t="s">
        <v>84</v>
      </c>
      <c r="R1760">
        <v>63.6</v>
      </c>
      <c r="S1760">
        <v>53.5</v>
      </c>
      <c r="T1760">
        <v>28</v>
      </c>
      <c r="U1760">
        <v>1.6</v>
      </c>
      <c r="V1760">
        <v>9.9</v>
      </c>
      <c r="W1760">
        <v>7.4</v>
      </c>
      <c r="X1760" t="s">
        <v>57</v>
      </c>
    </row>
    <row r="1761" spans="2:24" x14ac:dyDescent="0.3">
      <c r="B1761" t="s">
        <v>1854</v>
      </c>
      <c r="C1761" t="s">
        <v>90</v>
      </c>
      <c r="D1761" t="s">
        <v>6</v>
      </c>
      <c r="E1761" t="s">
        <v>18</v>
      </c>
      <c r="F1761" t="s">
        <v>10</v>
      </c>
      <c r="G1761" t="s">
        <v>104</v>
      </c>
      <c r="H1761">
        <v>2026</v>
      </c>
      <c r="I1761">
        <v>3072</v>
      </c>
      <c r="J1761">
        <v>9.1</v>
      </c>
      <c r="K1761" t="s">
        <v>24</v>
      </c>
      <c r="L1761">
        <v>8.9</v>
      </c>
      <c r="M1761">
        <v>8.3000000000000007</v>
      </c>
      <c r="N1761">
        <v>1986</v>
      </c>
      <c r="O1761" t="s">
        <v>55</v>
      </c>
      <c r="P1761">
        <v>10.5</v>
      </c>
      <c r="Q1761" t="s">
        <v>79</v>
      </c>
      <c r="R1761">
        <v>35.700000000000003</v>
      </c>
      <c r="S1761">
        <v>16.7</v>
      </c>
      <c r="T1761">
        <v>12.3</v>
      </c>
      <c r="U1761">
        <v>7</v>
      </c>
      <c r="V1761">
        <v>8.5</v>
      </c>
      <c r="W1761">
        <v>6.6</v>
      </c>
      <c r="X1761" t="s">
        <v>66</v>
      </c>
    </row>
    <row r="1762" spans="2:24" x14ac:dyDescent="0.3">
      <c r="B1762" t="s">
        <v>1855</v>
      </c>
      <c r="C1762" t="s">
        <v>92</v>
      </c>
      <c r="D1762" t="s">
        <v>7</v>
      </c>
      <c r="E1762" t="s">
        <v>18</v>
      </c>
      <c r="F1762" t="s">
        <v>10</v>
      </c>
      <c r="G1762" t="s">
        <v>74</v>
      </c>
      <c r="H1762">
        <v>2025</v>
      </c>
      <c r="I1762">
        <v>3503</v>
      </c>
      <c r="J1762">
        <v>2.6</v>
      </c>
      <c r="K1762" t="s">
        <v>24</v>
      </c>
      <c r="L1762">
        <v>9.1999999999999993</v>
      </c>
      <c r="M1762">
        <v>6.8</v>
      </c>
      <c r="N1762">
        <v>3725</v>
      </c>
      <c r="O1762" t="s">
        <v>55</v>
      </c>
      <c r="P1762">
        <v>47.8</v>
      </c>
      <c r="Q1762" t="s">
        <v>125</v>
      </c>
      <c r="R1762">
        <v>14.3</v>
      </c>
      <c r="S1762">
        <v>-17.399999999999999</v>
      </c>
      <c r="T1762">
        <v>-0.1</v>
      </c>
      <c r="U1762">
        <v>6.1</v>
      </c>
      <c r="V1762">
        <v>6.9</v>
      </c>
      <c r="W1762">
        <v>5.3</v>
      </c>
      <c r="X1762" t="s">
        <v>116</v>
      </c>
    </row>
    <row r="1763" spans="2:24" x14ac:dyDescent="0.3">
      <c r="B1763" t="s">
        <v>1856</v>
      </c>
      <c r="C1763" t="s">
        <v>73</v>
      </c>
      <c r="D1763" t="s">
        <v>3</v>
      </c>
      <c r="E1763" t="s">
        <v>16</v>
      </c>
      <c r="F1763" t="s">
        <v>12</v>
      </c>
      <c r="G1763" t="s">
        <v>69</v>
      </c>
      <c r="H1763">
        <v>2025</v>
      </c>
      <c r="I1763">
        <v>558</v>
      </c>
      <c r="J1763">
        <v>8.1</v>
      </c>
      <c r="K1763" t="s">
        <v>22</v>
      </c>
      <c r="L1763">
        <v>12.2</v>
      </c>
      <c r="M1763">
        <v>10</v>
      </c>
      <c r="N1763">
        <v>1449</v>
      </c>
      <c r="O1763" t="s">
        <v>55</v>
      </c>
      <c r="P1763">
        <v>60.9</v>
      </c>
      <c r="Q1763" t="s">
        <v>76</v>
      </c>
      <c r="R1763">
        <v>21.2</v>
      </c>
      <c r="S1763">
        <v>1.1000000000000001</v>
      </c>
      <c r="T1763">
        <v>-3.3</v>
      </c>
      <c r="U1763">
        <v>9.3000000000000007</v>
      </c>
      <c r="V1763">
        <v>7.5</v>
      </c>
      <c r="W1763">
        <v>4.5999999999999996</v>
      </c>
      <c r="X1763" t="s">
        <v>57</v>
      </c>
    </row>
    <row r="1764" spans="2:24" x14ac:dyDescent="0.3">
      <c r="B1764" t="s">
        <v>1857</v>
      </c>
      <c r="C1764" t="s">
        <v>90</v>
      </c>
      <c r="D1764" t="s">
        <v>5</v>
      </c>
      <c r="E1764" t="s">
        <v>16</v>
      </c>
      <c r="F1764" t="s">
        <v>12</v>
      </c>
      <c r="G1764" t="s">
        <v>104</v>
      </c>
      <c r="H1764">
        <v>2026</v>
      </c>
      <c r="I1764">
        <v>17395</v>
      </c>
      <c r="J1764">
        <v>27.3</v>
      </c>
      <c r="K1764" t="s">
        <v>24</v>
      </c>
      <c r="L1764">
        <v>7.7</v>
      </c>
      <c r="M1764">
        <v>10</v>
      </c>
      <c r="N1764">
        <v>1706</v>
      </c>
      <c r="O1764" t="s">
        <v>64</v>
      </c>
      <c r="P1764">
        <v>29.2</v>
      </c>
      <c r="Q1764" t="s">
        <v>65</v>
      </c>
      <c r="R1764">
        <v>30.3</v>
      </c>
      <c r="S1764">
        <v>-19</v>
      </c>
      <c r="T1764">
        <v>-3</v>
      </c>
      <c r="U1764">
        <v>9.4</v>
      </c>
      <c r="V1764">
        <v>3.4</v>
      </c>
      <c r="W1764">
        <v>3.2</v>
      </c>
      <c r="X1764" t="s">
        <v>66</v>
      </c>
    </row>
    <row r="1765" spans="2:24" x14ac:dyDescent="0.3">
      <c r="B1765" t="s">
        <v>1858</v>
      </c>
      <c r="C1765" t="s">
        <v>53</v>
      </c>
      <c r="D1765" t="s">
        <v>3</v>
      </c>
      <c r="E1765" t="s">
        <v>17</v>
      </c>
      <c r="F1765" t="s">
        <v>11</v>
      </c>
      <c r="G1765" t="s">
        <v>74</v>
      </c>
      <c r="H1765">
        <v>2025</v>
      </c>
      <c r="I1765">
        <v>693</v>
      </c>
      <c r="J1765">
        <v>12.5</v>
      </c>
      <c r="K1765" t="s">
        <v>25</v>
      </c>
      <c r="L1765">
        <v>2.8</v>
      </c>
      <c r="M1765">
        <v>8.9</v>
      </c>
      <c r="N1765">
        <v>3227</v>
      </c>
      <c r="O1765" t="s">
        <v>64</v>
      </c>
      <c r="P1765">
        <v>70.3</v>
      </c>
      <c r="Q1765" t="s">
        <v>88</v>
      </c>
      <c r="R1765">
        <v>70.400000000000006</v>
      </c>
      <c r="S1765">
        <v>10</v>
      </c>
      <c r="T1765">
        <v>-4.9000000000000004</v>
      </c>
      <c r="U1765">
        <v>4.3</v>
      </c>
      <c r="V1765">
        <v>7.5</v>
      </c>
      <c r="W1765">
        <v>5.2</v>
      </c>
      <c r="X1765" t="s">
        <v>116</v>
      </c>
    </row>
    <row r="1766" spans="2:24" x14ac:dyDescent="0.3">
      <c r="B1766" t="s">
        <v>1859</v>
      </c>
      <c r="C1766" t="s">
        <v>142</v>
      </c>
      <c r="D1766" t="s">
        <v>8</v>
      </c>
      <c r="E1766" t="s">
        <v>18</v>
      </c>
      <c r="F1766" t="s">
        <v>10</v>
      </c>
      <c r="G1766" t="s">
        <v>131</v>
      </c>
      <c r="H1766">
        <v>2024</v>
      </c>
      <c r="I1766">
        <v>2178</v>
      </c>
      <c r="J1766">
        <v>31.7</v>
      </c>
      <c r="K1766" t="s">
        <v>25</v>
      </c>
      <c r="L1766">
        <v>5.6</v>
      </c>
      <c r="M1766">
        <v>10</v>
      </c>
      <c r="N1766">
        <v>364</v>
      </c>
      <c r="O1766" t="s">
        <v>75</v>
      </c>
      <c r="P1766">
        <v>22.6</v>
      </c>
      <c r="Q1766" t="s">
        <v>79</v>
      </c>
      <c r="R1766">
        <v>9.5</v>
      </c>
      <c r="S1766">
        <v>51.2</v>
      </c>
      <c r="T1766">
        <v>21.5</v>
      </c>
      <c r="U1766">
        <v>3.9</v>
      </c>
      <c r="V1766">
        <v>7.3</v>
      </c>
      <c r="W1766">
        <v>3.7</v>
      </c>
      <c r="X1766" t="s">
        <v>66</v>
      </c>
    </row>
    <row r="1767" spans="2:24" x14ac:dyDescent="0.3">
      <c r="B1767" t="s">
        <v>1860</v>
      </c>
      <c r="C1767" t="s">
        <v>90</v>
      </c>
      <c r="D1767" t="s">
        <v>2</v>
      </c>
      <c r="E1767" t="s">
        <v>19</v>
      </c>
      <c r="F1767" t="s">
        <v>9</v>
      </c>
      <c r="G1767" t="s">
        <v>54</v>
      </c>
      <c r="H1767">
        <v>2025</v>
      </c>
      <c r="I1767">
        <v>868</v>
      </c>
      <c r="J1767">
        <v>11</v>
      </c>
      <c r="K1767" t="s">
        <v>23</v>
      </c>
      <c r="L1767">
        <v>2.6</v>
      </c>
      <c r="M1767">
        <v>7.1</v>
      </c>
      <c r="N1767">
        <v>7346</v>
      </c>
      <c r="O1767" t="s">
        <v>55</v>
      </c>
      <c r="P1767">
        <v>32.9</v>
      </c>
      <c r="Q1767" t="s">
        <v>76</v>
      </c>
      <c r="R1767">
        <v>-25</v>
      </c>
      <c r="S1767">
        <v>30.3</v>
      </c>
      <c r="T1767">
        <v>1.4</v>
      </c>
      <c r="U1767">
        <v>2.8</v>
      </c>
      <c r="V1767">
        <v>8.6999999999999993</v>
      </c>
      <c r="W1767">
        <v>6.6</v>
      </c>
      <c r="X1767" t="s">
        <v>116</v>
      </c>
    </row>
    <row r="1768" spans="2:24" x14ac:dyDescent="0.3">
      <c r="B1768" t="s">
        <v>1861</v>
      </c>
      <c r="C1768" t="s">
        <v>137</v>
      </c>
      <c r="D1768" t="s">
        <v>4</v>
      </c>
      <c r="E1768" t="s">
        <v>14</v>
      </c>
      <c r="F1768" t="s">
        <v>10</v>
      </c>
      <c r="G1768" t="s">
        <v>98</v>
      </c>
      <c r="H1768">
        <v>2025</v>
      </c>
      <c r="I1768">
        <v>6809</v>
      </c>
      <c r="J1768">
        <v>15.8</v>
      </c>
      <c r="K1768" t="s">
        <v>24</v>
      </c>
      <c r="L1768">
        <v>6.9</v>
      </c>
      <c r="M1768">
        <v>10</v>
      </c>
      <c r="N1768">
        <v>786</v>
      </c>
      <c r="O1768" t="s">
        <v>55</v>
      </c>
      <c r="P1768">
        <v>88</v>
      </c>
      <c r="Q1768" t="s">
        <v>125</v>
      </c>
      <c r="R1768">
        <v>64.7</v>
      </c>
      <c r="S1768">
        <v>23.3</v>
      </c>
      <c r="T1768">
        <v>14.8</v>
      </c>
      <c r="U1768">
        <v>9.4</v>
      </c>
      <c r="V1768">
        <v>6.9</v>
      </c>
      <c r="W1768">
        <v>5.0999999999999996</v>
      </c>
      <c r="X1768" t="s">
        <v>116</v>
      </c>
    </row>
    <row r="1769" spans="2:24" x14ac:dyDescent="0.3">
      <c r="B1769" t="s">
        <v>1862</v>
      </c>
      <c r="C1769" t="s">
        <v>83</v>
      </c>
      <c r="D1769" t="s">
        <v>4</v>
      </c>
      <c r="E1769" t="s">
        <v>14</v>
      </c>
      <c r="F1769" t="s">
        <v>12</v>
      </c>
      <c r="G1769" t="s">
        <v>112</v>
      </c>
      <c r="H1769">
        <v>2025</v>
      </c>
      <c r="I1769">
        <v>2271</v>
      </c>
      <c r="J1769">
        <v>7.1</v>
      </c>
      <c r="K1769" t="s">
        <v>24</v>
      </c>
      <c r="L1769">
        <v>2.9</v>
      </c>
      <c r="M1769">
        <v>2.9</v>
      </c>
      <c r="N1769">
        <v>5734</v>
      </c>
      <c r="O1769" t="s">
        <v>64</v>
      </c>
      <c r="P1769">
        <v>47.6</v>
      </c>
      <c r="Q1769" t="s">
        <v>79</v>
      </c>
      <c r="R1769">
        <v>-2.1</v>
      </c>
      <c r="S1769">
        <v>31.7</v>
      </c>
      <c r="T1769">
        <v>16.399999999999999</v>
      </c>
      <c r="U1769">
        <v>1.8</v>
      </c>
      <c r="V1769">
        <v>8.3000000000000007</v>
      </c>
      <c r="W1769">
        <v>8.3000000000000007</v>
      </c>
      <c r="X1769" t="s">
        <v>57</v>
      </c>
    </row>
    <row r="1770" spans="2:24" x14ac:dyDescent="0.3">
      <c r="B1770" t="s">
        <v>1863</v>
      </c>
      <c r="C1770" t="s">
        <v>142</v>
      </c>
      <c r="D1770" t="s">
        <v>8</v>
      </c>
      <c r="E1770" t="s">
        <v>18</v>
      </c>
      <c r="F1770" t="s">
        <v>11</v>
      </c>
      <c r="G1770" t="s">
        <v>98</v>
      </c>
      <c r="H1770">
        <v>2025</v>
      </c>
      <c r="I1770">
        <v>522</v>
      </c>
      <c r="J1770">
        <v>10</v>
      </c>
      <c r="K1770" t="s">
        <v>21</v>
      </c>
      <c r="L1770">
        <v>7</v>
      </c>
      <c r="M1770">
        <v>8.1</v>
      </c>
      <c r="N1770">
        <v>4136</v>
      </c>
      <c r="O1770" t="s">
        <v>55</v>
      </c>
      <c r="P1770">
        <v>79.599999999999994</v>
      </c>
      <c r="Q1770" t="s">
        <v>76</v>
      </c>
      <c r="R1770">
        <v>-44.1</v>
      </c>
      <c r="S1770">
        <v>24.9</v>
      </c>
      <c r="T1770">
        <v>14</v>
      </c>
      <c r="U1770">
        <v>8.8000000000000007</v>
      </c>
      <c r="V1770">
        <v>8.6</v>
      </c>
      <c r="W1770">
        <v>6.2</v>
      </c>
      <c r="X1770" t="s">
        <v>57</v>
      </c>
    </row>
    <row r="1771" spans="2:24" x14ac:dyDescent="0.3">
      <c r="B1771" t="s">
        <v>1864</v>
      </c>
      <c r="C1771" t="s">
        <v>106</v>
      </c>
      <c r="D1771" t="s">
        <v>3</v>
      </c>
      <c r="E1771" t="s">
        <v>15</v>
      </c>
      <c r="F1771" t="s">
        <v>10</v>
      </c>
      <c r="G1771" t="s">
        <v>112</v>
      </c>
      <c r="H1771">
        <v>2025</v>
      </c>
      <c r="I1771">
        <v>2163</v>
      </c>
      <c r="J1771">
        <v>2.4</v>
      </c>
      <c r="K1771" t="s">
        <v>23</v>
      </c>
      <c r="L1771">
        <v>1.4</v>
      </c>
      <c r="M1771">
        <v>1</v>
      </c>
      <c r="N1771">
        <v>2408</v>
      </c>
      <c r="O1771" t="s">
        <v>64</v>
      </c>
      <c r="P1771">
        <v>77.8</v>
      </c>
      <c r="Q1771" t="s">
        <v>79</v>
      </c>
      <c r="R1771">
        <v>-13.1</v>
      </c>
      <c r="S1771">
        <v>-4.5</v>
      </c>
      <c r="T1771">
        <v>7.3</v>
      </c>
      <c r="U1771">
        <v>1.1000000000000001</v>
      </c>
      <c r="V1771">
        <v>5.8</v>
      </c>
      <c r="W1771">
        <v>7.3</v>
      </c>
      <c r="X1771" t="s">
        <v>116</v>
      </c>
    </row>
    <row r="1772" spans="2:24" x14ac:dyDescent="0.3">
      <c r="B1772" t="s">
        <v>1865</v>
      </c>
      <c r="C1772" t="s">
        <v>83</v>
      </c>
      <c r="D1772" t="s">
        <v>4</v>
      </c>
      <c r="E1772" t="s">
        <v>14</v>
      </c>
      <c r="F1772" t="s">
        <v>10</v>
      </c>
      <c r="G1772" t="s">
        <v>98</v>
      </c>
      <c r="H1772">
        <v>2024</v>
      </c>
      <c r="I1772">
        <v>10628</v>
      </c>
      <c r="J1772">
        <v>14</v>
      </c>
      <c r="K1772" t="s">
        <v>21</v>
      </c>
      <c r="L1772">
        <v>4.9000000000000004</v>
      </c>
      <c r="M1772">
        <v>9.1</v>
      </c>
      <c r="N1772">
        <v>819</v>
      </c>
      <c r="O1772" t="s">
        <v>64</v>
      </c>
      <c r="P1772">
        <v>80.400000000000006</v>
      </c>
      <c r="Q1772" t="s">
        <v>84</v>
      </c>
      <c r="R1772">
        <v>-18.8</v>
      </c>
      <c r="S1772">
        <v>33.299999999999997</v>
      </c>
      <c r="T1772">
        <v>8.8000000000000007</v>
      </c>
      <c r="U1772">
        <v>6.6</v>
      </c>
      <c r="V1772">
        <v>7.9</v>
      </c>
      <c r="W1772">
        <v>5.2</v>
      </c>
      <c r="X1772" t="s">
        <v>66</v>
      </c>
    </row>
    <row r="1773" spans="2:24" x14ac:dyDescent="0.3">
      <c r="B1773" t="s">
        <v>1866</v>
      </c>
      <c r="C1773" t="s">
        <v>137</v>
      </c>
      <c r="D1773" t="s">
        <v>3</v>
      </c>
      <c r="E1773" t="s">
        <v>18</v>
      </c>
      <c r="F1773" t="s">
        <v>10</v>
      </c>
      <c r="G1773" t="s">
        <v>74</v>
      </c>
      <c r="H1773">
        <v>2024</v>
      </c>
      <c r="I1773">
        <v>2162</v>
      </c>
      <c r="J1773">
        <v>4.2</v>
      </c>
      <c r="K1773" t="s">
        <v>23</v>
      </c>
      <c r="L1773">
        <v>4.0999999999999996</v>
      </c>
      <c r="M1773">
        <v>6.7</v>
      </c>
      <c r="N1773">
        <v>3627</v>
      </c>
      <c r="O1773" t="s">
        <v>55</v>
      </c>
      <c r="P1773">
        <v>27.2</v>
      </c>
      <c r="Q1773" t="s">
        <v>76</v>
      </c>
      <c r="R1773">
        <v>-23.4</v>
      </c>
      <c r="S1773">
        <v>-6.5</v>
      </c>
      <c r="T1773">
        <v>-4.0999999999999996</v>
      </c>
      <c r="U1773">
        <v>3.2</v>
      </c>
      <c r="V1773">
        <v>5.0999999999999996</v>
      </c>
      <c r="W1773">
        <v>5.3</v>
      </c>
      <c r="X1773" t="s">
        <v>57</v>
      </c>
    </row>
    <row r="1774" spans="2:24" x14ac:dyDescent="0.3">
      <c r="B1774" t="s">
        <v>1867</v>
      </c>
      <c r="C1774" t="s">
        <v>73</v>
      </c>
      <c r="D1774" t="s">
        <v>2</v>
      </c>
      <c r="E1774" t="s">
        <v>18</v>
      </c>
      <c r="F1774" t="s">
        <v>9</v>
      </c>
      <c r="G1774" t="s">
        <v>74</v>
      </c>
      <c r="H1774">
        <v>2026</v>
      </c>
      <c r="I1774">
        <v>14625</v>
      </c>
      <c r="J1774">
        <v>9.1</v>
      </c>
      <c r="K1774" t="s">
        <v>25</v>
      </c>
      <c r="L1774">
        <v>5.2</v>
      </c>
      <c r="M1774">
        <v>5</v>
      </c>
      <c r="N1774">
        <v>8774</v>
      </c>
      <c r="O1774" t="s">
        <v>55</v>
      </c>
      <c r="P1774">
        <v>58</v>
      </c>
      <c r="Q1774" t="s">
        <v>56</v>
      </c>
      <c r="R1774">
        <v>3.9</v>
      </c>
      <c r="S1774">
        <v>-18.2</v>
      </c>
      <c r="T1774">
        <v>-15.2</v>
      </c>
      <c r="U1774">
        <v>5.5</v>
      </c>
      <c r="V1774">
        <v>4.3</v>
      </c>
      <c r="W1774">
        <v>4.5999999999999996</v>
      </c>
      <c r="X1774" t="s">
        <v>66</v>
      </c>
    </row>
    <row r="1775" spans="2:24" x14ac:dyDescent="0.3">
      <c r="B1775" t="s">
        <v>1868</v>
      </c>
      <c r="C1775" t="s">
        <v>90</v>
      </c>
      <c r="D1775" t="s">
        <v>6</v>
      </c>
      <c r="E1775" t="s">
        <v>15</v>
      </c>
      <c r="F1775" t="s">
        <v>11</v>
      </c>
      <c r="G1775" t="s">
        <v>74</v>
      </c>
      <c r="H1775">
        <v>2026</v>
      </c>
      <c r="I1775">
        <v>1483</v>
      </c>
      <c r="J1775">
        <v>4.0999999999999996</v>
      </c>
      <c r="K1775" t="s">
        <v>25</v>
      </c>
      <c r="L1775">
        <v>7.6</v>
      </c>
      <c r="M1775">
        <v>8.6999999999999993</v>
      </c>
      <c r="N1775">
        <v>4464</v>
      </c>
      <c r="O1775" t="s">
        <v>118</v>
      </c>
      <c r="P1775">
        <v>21.4</v>
      </c>
      <c r="Q1775" t="s">
        <v>86</v>
      </c>
      <c r="R1775">
        <v>-37.200000000000003</v>
      </c>
      <c r="S1775">
        <v>12.7</v>
      </c>
      <c r="T1775">
        <v>0</v>
      </c>
      <c r="U1775">
        <v>7.9</v>
      </c>
      <c r="V1775">
        <v>5.3</v>
      </c>
      <c r="W1775">
        <v>6.7</v>
      </c>
      <c r="X1775" t="s">
        <v>57</v>
      </c>
    </row>
    <row r="1776" spans="2:24" x14ac:dyDescent="0.3">
      <c r="B1776" t="s">
        <v>1869</v>
      </c>
      <c r="C1776" t="s">
        <v>106</v>
      </c>
      <c r="D1776" t="s">
        <v>8</v>
      </c>
      <c r="E1776" t="s">
        <v>14</v>
      </c>
      <c r="F1776" t="s">
        <v>12</v>
      </c>
      <c r="G1776" t="s">
        <v>60</v>
      </c>
      <c r="H1776">
        <v>2026</v>
      </c>
      <c r="I1776">
        <v>541</v>
      </c>
      <c r="J1776">
        <v>5.0999999999999996</v>
      </c>
      <c r="K1776" t="s">
        <v>23</v>
      </c>
      <c r="L1776">
        <v>1.4</v>
      </c>
      <c r="M1776">
        <v>2.2999999999999998</v>
      </c>
      <c r="N1776">
        <v>228</v>
      </c>
      <c r="O1776" t="s">
        <v>75</v>
      </c>
      <c r="P1776">
        <v>70.2</v>
      </c>
      <c r="Q1776" t="s">
        <v>84</v>
      </c>
      <c r="R1776">
        <v>-22</v>
      </c>
      <c r="S1776">
        <v>-9.8000000000000007</v>
      </c>
      <c r="T1776">
        <v>-1.5</v>
      </c>
      <c r="U1776">
        <v>1.7</v>
      </c>
      <c r="V1776">
        <v>5</v>
      </c>
      <c r="W1776">
        <v>5.8</v>
      </c>
      <c r="X1776" t="s">
        <v>57</v>
      </c>
    </row>
    <row r="1777" spans="2:24" x14ac:dyDescent="0.3">
      <c r="B1777" t="s">
        <v>1870</v>
      </c>
      <c r="C1777" t="s">
        <v>62</v>
      </c>
      <c r="D1777" t="s">
        <v>2</v>
      </c>
      <c r="E1777" t="s">
        <v>19</v>
      </c>
      <c r="F1777" t="s">
        <v>12</v>
      </c>
      <c r="G1777" t="s">
        <v>104</v>
      </c>
      <c r="H1777">
        <v>2025</v>
      </c>
      <c r="I1777">
        <v>3889</v>
      </c>
      <c r="J1777">
        <v>9.3000000000000007</v>
      </c>
      <c r="K1777" t="s">
        <v>23</v>
      </c>
      <c r="L1777">
        <v>5.6</v>
      </c>
      <c r="M1777">
        <v>7.6</v>
      </c>
      <c r="N1777">
        <v>3590</v>
      </c>
      <c r="O1777" t="s">
        <v>55</v>
      </c>
      <c r="P1777">
        <v>61.9</v>
      </c>
      <c r="Q1777" t="s">
        <v>56</v>
      </c>
      <c r="R1777">
        <v>23.8</v>
      </c>
      <c r="S1777">
        <v>-12.1</v>
      </c>
      <c r="T1777">
        <v>1.3</v>
      </c>
      <c r="U1777">
        <v>5.0999999999999996</v>
      </c>
      <c r="V1777">
        <v>6.7</v>
      </c>
      <c r="W1777">
        <v>6.1</v>
      </c>
      <c r="X1777" t="s">
        <v>116</v>
      </c>
    </row>
    <row r="1778" spans="2:24" x14ac:dyDescent="0.3">
      <c r="B1778" t="s">
        <v>1871</v>
      </c>
      <c r="C1778" t="s">
        <v>62</v>
      </c>
      <c r="D1778" t="s">
        <v>2</v>
      </c>
      <c r="E1778" t="s">
        <v>14</v>
      </c>
      <c r="F1778" t="s">
        <v>10</v>
      </c>
      <c r="G1778" t="s">
        <v>74</v>
      </c>
      <c r="H1778">
        <v>2026</v>
      </c>
      <c r="I1778">
        <v>2353</v>
      </c>
      <c r="J1778">
        <v>3.1</v>
      </c>
      <c r="K1778" t="s">
        <v>25</v>
      </c>
      <c r="L1778">
        <v>15.3</v>
      </c>
      <c r="M1778">
        <v>7.6</v>
      </c>
      <c r="N1778">
        <v>5619</v>
      </c>
      <c r="O1778" t="s">
        <v>55</v>
      </c>
      <c r="P1778">
        <v>19.2</v>
      </c>
      <c r="Q1778" t="s">
        <v>56</v>
      </c>
      <c r="R1778">
        <v>64.099999999999994</v>
      </c>
      <c r="S1778">
        <v>59.9</v>
      </c>
      <c r="T1778">
        <v>20.5</v>
      </c>
      <c r="U1778">
        <v>9.6</v>
      </c>
      <c r="V1778">
        <v>9.1</v>
      </c>
      <c r="W1778">
        <v>8.8000000000000007</v>
      </c>
      <c r="X1778" t="s">
        <v>57</v>
      </c>
    </row>
    <row r="1779" spans="2:24" x14ac:dyDescent="0.3">
      <c r="B1779" t="s">
        <v>1872</v>
      </c>
      <c r="C1779" t="s">
        <v>106</v>
      </c>
      <c r="D1779" t="s">
        <v>8</v>
      </c>
      <c r="E1779" t="s">
        <v>19</v>
      </c>
      <c r="F1779" t="s">
        <v>9</v>
      </c>
      <c r="G1779" t="s">
        <v>112</v>
      </c>
      <c r="H1779">
        <v>2025</v>
      </c>
      <c r="I1779">
        <v>18535</v>
      </c>
      <c r="J1779">
        <v>15.6</v>
      </c>
      <c r="K1779" t="s">
        <v>21</v>
      </c>
      <c r="L1779">
        <v>6.8</v>
      </c>
      <c r="M1779">
        <v>10</v>
      </c>
      <c r="N1779">
        <v>1544</v>
      </c>
      <c r="O1779" t="s">
        <v>64</v>
      </c>
      <c r="P1779">
        <v>41.7</v>
      </c>
      <c r="Q1779" t="s">
        <v>88</v>
      </c>
      <c r="R1779">
        <v>-9.4</v>
      </c>
      <c r="S1779">
        <v>51.1</v>
      </c>
      <c r="T1779">
        <v>28.2</v>
      </c>
      <c r="U1779">
        <v>5.8</v>
      </c>
      <c r="V1779">
        <v>5.9</v>
      </c>
      <c r="W1779">
        <v>6</v>
      </c>
      <c r="X1779" t="s">
        <v>66</v>
      </c>
    </row>
    <row r="1780" spans="2:24" x14ac:dyDescent="0.3">
      <c r="B1780" t="s">
        <v>1873</v>
      </c>
      <c r="C1780" t="s">
        <v>106</v>
      </c>
      <c r="D1780" t="s">
        <v>3</v>
      </c>
      <c r="E1780" t="s">
        <v>15</v>
      </c>
      <c r="F1780" t="s">
        <v>9</v>
      </c>
      <c r="G1780" t="s">
        <v>115</v>
      </c>
      <c r="H1780">
        <v>2024</v>
      </c>
      <c r="I1780">
        <v>291</v>
      </c>
      <c r="J1780">
        <v>4</v>
      </c>
      <c r="K1780" t="s">
        <v>24</v>
      </c>
      <c r="L1780">
        <v>6.4</v>
      </c>
      <c r="M1780">
        <v>4.5999999999999996</v>
      </c>
      <c r="N1780">
        <v>1199</v>
      </c>
      <c r="O1780" t="s">
        <v>64</v>
      </c>
      <c r="P1780">
        <v>18.899999999999999</v>
      </c>
      <c r="Q1780" t="s">
        <v>56</v>
      </c>
      <c r="R1780">
        <v>60.7</v>
      </c>
      <c r="S1780">
        <v>30.7</v>
      </c>
      <c r="T1780">
        <v>15.4</v>
      </c>
      <c r="U1780">
        <v>6</v>
      </c>
      <c r="V1780">
        <v>9.3000000000000007</v>
      </c>
      <c r="W1780">
        <v>7.9</v>
      </c>
      <c r="X1780" t="s">
        <v>57</v>
      </c>
    </row>
    <row r="1781" spans="2:24" x14ac:dyDescent="0.3">
      <c r="B1781" t="s">
        <v>1874</v>
      </c>
      <c r="C1781" t="s">
        <v>53</v>
      </c>
      <c r="D1781" t="s">
        <v>3</v>
      </c>
      <c r="E1781" t="s">
        <v>17</v>
      </c>
      <c r="F1781" t="s">
        <v>10</v>
      </c>
      <c r="G1781" t="s">
        <v>112</v>
      </c>
      <c r="H1781">
        <v>2024</v>
      </c>
      <c r="I1781">
        <v>14717</v>
      </c>
      <c r="J1781">
        <v>38.700000000000003</v>
      </c>
      <c r="K1781" t="s">
        <v>23</v>
      </c>
      <c r="L1781">
        <v>4</v>
      </c>
      <c r="M1781">
        <v>10</v>
      </c>
      <c r="N1781">
        <v>1974</v>
      </c>
      <c r="O1781" t="s">
        <v>75</v>
      </c>
      <c r="P1781">
        <v>25.9</v>
      </c>
      <c r="Q1781" t="s">
        <v>65</v>
      </c>
      <c r="R1781">
        <v>29.8</v>
      </c>
      <c r="S1781">
        <v>14</v>
      </c>
      <c r="T1781">
        <v>-1.9</v>
      </c>
      <c r="U1781">
        <v>5.4</v>
      </c>
      <c r="V1781">
        <v>3.5</v>
      </c>
      <c r="W1781">
        <v>1.7</v>
      </c>
      <c r="X1781" t="s">
        <v>66</v>
      </c>
    </row>
    <row r="1782" spans="2:24" x14ac:dyDescent="0.3">
      <c r="B1782" t="s">
        <v>1875</v>
      </c>
      <c r="C1782" t="s">
        <v>142</v>
      </c>
      <c r="D1782" t="s">
        <v>8</v>
      </c>
      <c r="E1782" t="s">
        <v>15</v>
      </c>
      <c r="F1782" t="s">
        <v>12</v>
      </c>
      <c r="G1782" t="s">
        <v>104</v>
      </c>
      <c r="H1782">
        <v>2026</v>
      </c>
      <c r="I1782">
        <v>14675</v>
      </c>
      <c r="J1782">
        <v>32.1</v>
      </c>
      <c r="K1782" t="s">
        <v>22</v>
      </c>
      <c r="L1782">
        <v>3.2</v>
      </c>
      <c r="M1782">
        <v>10</v>
      </c>
      <c r="N1782">
        <v>1744</v>
      </c>
      <c r="O1782" t="s">
        <v>75</v>
      </c>
      <c r="P1782">
        <v>58.7</v>
      </c>
      <c r="Q1782" t="s">
        <v>88</v>
      </c>
      <c r="R1782">
        <v>86.7</v>
      </c>
      <c r="S1782">
        <v>-2.2999999999999998</v>
      </c>
      <c r="T1782">
        <v>-9</v>
      </c>
      <c r="U1782">
        <v>2</v>
      </c>
      <c r="V1782">
        <v>5.7</v>
      </c>
      <c r="W1782">
        <v>2.2000000000000002</v>
      </c>
      <c r="X1782" t="s">
        <v>66</v>
      </c>
    </row>
    <row r="1783" spans="2:24" x14ac:dyDescent="0.3">
      <c r="B1783" t="s">
        <v>1876</v>
      </c>
      <c r="C1783" t="s">
        <v>97</v>
      </c>
      <c r="D1783" t="s">
        <v>3</v>
      </c>
      <c r="E1783" t="s">
        <v>15</v>
      </c>
      <c r="F1783" t="s">
        <v>10</v>
      </c>
      <c r="G1783" t="s">
        <v>60</v>
      </c>
      <c r="H1783">
        <v>2025</v>
      </c>
      <c r="I1783">
        <v>2061</v>
      </c>
      <c r="J1783">
        <v>7.2</v>
      </c>
      <c r="K1783" t="s">
        <v>24</v>
      </c>
      <c r="L1783">
        <v>1</v>
      </c>
      <c r="M1783">
        <v>3.6</v>
      </c>
      <c r="N1783">
        <v>1894</v>
      </c>
      <c r="O1783" t="s">
        <v>64</v>
      </c>
      <c r="P1783">
        <v>62.6</v>
      </c>
      <c r="Q1783" t="s">
        <v>125</v>
      </c>
      <c r="R1783">
        <v>79.8</v>
      </c>
      <c r="S1783">
        <v>43.7</v>
      </c>
      <c r="T1783">
        <v>13.6</v>
      </c>
      <c r="U1783">
        <v>1.6</v>
      </c>
      <c r="V1783">
        <v>8</v>
      </c>
      <c r="W1783">
        <v>8.9</v>
      </c>
      <c r="X1783" t="s">
        <v>57</v>
      </c>
    </row>
    <row r="1784" spans="2:24" x14ac:dyDescent="0.3">
      <c r="B1784" t="s">
        <v>1877</v>
      </c>
      <c r="C1784" t="s">
        <v>53</v>
      </c>
      <c r="D1784" t="s">
        <v>7</v>
      </c>
      <c r="E1784" t="s">
        <v>15</v>
      </c>
      <c r="F1784" t="s">
        <v>10</v>
      </c>
      <c r="G1784" t="s">
        <v>104</v>
      </c>
      <c r="H1784">
        <v>2026</v>
      </c>
      <c r="I1784">
        <v>2222</v>
      </c>
      <c r="J1784">
        <v>0</v>
      </c>
      <c r="K1784" t="s">
        <v>21</v>
      </c>
      <c r="L1784">
        <v>8.6999999999999993</v>
      </c>
      <c r="M1784">
        <v>5.5</v>
      </c>
      <c r="N1784">
        <v>3999</v>
      </c>
      <c r="O1784" t="s">
        <v>55</v>
      </c>
      <c r="P1784">
        <v>48.8</v>
      </c>
      <c r="Q1784" t="s">
        <v>76</v>
      </c>
      <c r="R1784">
        <v>-1.9</v>
      </c>
      <c r="S1784">
        <v>12.9</v>
      </c>
      <c r="T1784">
        <v>5.7</v>
      </c>
      <c r="U1784">
        <v>8.5</v>
      </c>
      <c r="V1784">
        <v>8.9</v>
      </c>
      <c r="W1784">
        <v>7.4</v>
      </c>
      <c r="X1784" t="s">
        <v>57</v>
      </c>
    </row>
    <row r="1785" spans="2:24" x14ac:dyDescent="0.3">
      <c r="B1785" t="s">
        <v>1878</v>
      </c>
      <c r="C1785" t="s">
        <v>71</v>
      </c>
      <c r="D1785" t="s">
        <v>5</v>
      </c>
      <c r="E1785" t="s">
        <v>18</v>
      </c>
      <c r="F1785" t="s">
        <v>9</v>
      </c>
      <c r="G1785" t="s">
        <v>98</v>
      </c>
      <c r="H1785">
        <v>2024</v>
      </c>
      <c r="I1785">
        <v>5215</v>
      </c>
      <c r="J1785">
        <v>1.6</v>
      </c>
      <c r="K1785" t="s">
        <v>25</v>
      </c>
      <c r="L1785">
        <v>4.8</v>
      </c>
      <c r="M1785">
        <v>5.2</v>
      </c>
      <c r="N1785">
        <v>4824</v>
      </c>
      <c r="O1785" t="s">
        <v>55</v>
      </c>
      <c r="P1785">
        <v>30.8</v>
      </c>
      <c r="Q1785" t="s">
        <v>88</v>
      </c>
      <c r="R1785">
        <v>54.4</v>
      </c>
      <c r="S1785">
        <v>6.3</v>
      </c>
      <c r="T1785">
        <v>-1.5</v>
      </c>
      <c r="U1785">
        <v>3.8</v>
      </c>
      <c r="V1785">
        <v>7.7</v>
      </c>
      <c r="W1785">
        <v>7.6</v>
      </c>
      <c r="X1785" t="s">
        <v>116</v>
      </c>
    </row>
    <row r="1786" spans="2:24" x14ac:dyDescent="0.3">
      <c r="B1786" t="s">
        <v>1879</v>
      </c>
      <c r="C1786" t="s">
        <v>53</v>
      </c>
      <c r="D1786" t="s">
        <v>3</v>
      </c>
      <c r="E1786" t="s">
        <v>14</v>
      </c>
      <c r="F1786" t="s">
        <v>10</v>
      </c>
      <c r="G1786" t="s">
        <v>131</v>
      </c>
      <c r="H1786">
        <v>2024</v>
      </c>
      <c r="I1786">
        <v>3341</v>
      </c>
      <c r="J1786">
        <v>11.6</v>
      </c>
      <c r="K1786" t="s">
        <v>23</v>
      </c>
      <c r="L1786">
        <v>1.8</v>
      </c>
      <c r="M1786">
        <v>4.5999999999999996</v>
      </c>
      <c r="N1786">
        <v>4304</v>
      </c>
      <c r="O1786" t="s">
        <v>64</v>
      </c>
      <c r="P1786">
        <v>69.599999999999994</v>
      </c>
      <c r="Q1786" t="s">
        <v>79</v>
      </c>
      <c r="R1786">
        <v>26.3</v>
      </c>
      <c r="S1786">
        <v>23.2</v>
      </c>
      <c r="T1786">
        <v>2.6</v>
      </c>
      <c r="U1786">
        <v>1.1000000000000001</v>
      </c>
      <c r="V1786">
        <v>4.9000000000000004</v>
      </c>
      <c r="W1786">
        <v>6.3</v>
      </c>
      <c r="X1786" t="s">
        <v>116</v>
      </c>
    </row>
    <row r="1787" spans="2:24" x14ac:dyDescent="0.3">
      <c r="B1787" t="s">
        <v>1880</v>
      </c>
      <c r="C1787" t="s">
        <v>90</v>
      </c>
      <c r="D1787" t="s">
        <v>3</v>
      </c>
      <c r="E1787" t="s">
        <v>16</v>
      </c>
      <c r="F1787" t="s">
        <v>12</v>
      </c>
      <c r="G1787" t="s">
        <v>98</v>
      </c>
      <c r="H1787">
        <v>2026</v>
      </c>
      <c r="I1787">
        <v>1943</v>
      </c>
      <c r="J1787">
        <v>5.2</v>
      </c>
      <c r="K1787" t="s">
        <v>22</v>
      </c>
      <c r="L1787">
        <v>2.6</v>
      </c>
      <c r="M1787">
        <v>1</v>
      </c>
      <c r="N1787">
        <v>2832</v>
      </c>
      <c r="O1787" t="s">
        <v>64</v>
      </c>
      <c r="P1787">
        <v>54.2</v>
      </c>
      <c r="Q1787" t="s">
        <v>79</v>
      </c>
      <c r="R1787">
        <v>-30.6</v>
      </c>
      <c r="S1787">
        <v>59.9</v>
      </c>
      <c r="T1787">
        <v>26.7</v>
      </c>
      <c r="U1787">
        <v>1.6</v>
      </c>
      <c r="V1787">
        <v>9.1</v>
      </c>
      <c r="W1787">
        <v>9.1999999999999993</v>
      </c>
      <c r="X1787" t="s">
        <v>57</v>
      </c>
    </row>
    <row r="1788" spans="2:24" x14ac:dyDescent="0.3">
      <c r="B1788" t="s">
        <v>1881</v>
      </c>
      <c r="C1788" t="s">
        <v>71</v>
      </c>
      <c r="D1788" t="s">
        <v>6</v>
      </c>
      <c r="E1788" t="s">
        <v>18</v>
      </c>
      <c r="F1788" t="s">
        <v>10</v>
      </c>
      <c r="G1788" t="s">
        <v>63</v>
      </c>
      <c r="H1788">
        <v>2024</v>
      </c>
      <c r="I1788">
        <v>4597</v>
      </c>
      <c r="J1788">
        <v>11.7</v>
      </c>
      <c r="K1788" t="s">
        <v>23</v>
      </c>
      <c r="L1788">
        <v>2.9</v>
      </c>
      <c r="M1788">
        <v>5.0999999999999996</v>
      </c>
      <c r="N1788">
        <v>5647</v>
      </c>
      <c r="O1788" t="s">
        <v>64</v>
      </c>
      <c r="P1788">
        <v>56.2</v>
      </c>
      <c r="Q1788" t="s">
        <v>88</v>
      </c>
      <c r="R1788">
        <v>10.5</v>
      </c>
      <c r="S1788">
        <v>22.9</v>
      </c>
      <c r="T1788">
        <v>1.7</v>
      </c>
      <c r="U1788">
        <v>3.7</v>
      </c>
      <c r="V1788">
        <v>5.0999999999999996</v>
      </c>
      <c r="W1788">
        <v>7.1</v>
      </c>
      <c r="X1788" t="s">
        <v>116</v>
      </c>
    </row>
    <row r="1789" spans="2:24" x14ac:dyDescent="0.3">
      <c r="B1789" t="s">
        <v>1882</v>
      </c>
      <c r="C1789" t="s">
        <v>97</v>
      </c>
      <c r="D1789" t="s">
        <v>3</v>
      </c>
      <c r="E1789" t="s">
        <v>16</v>
      </c>
      <c r="F1789" t="s">
        <v>11</v>
      </c>
      <c r="G1789" t="s">
        <v>69</v>
      </c>
      <c r="H1789">
        <v>2025</v>
      </c>
      <c r="I1789">
        <v>12752</v>
      </c>
      <c r="J1789">
        <v>27.8</v>
      </c>
      <c r="K1789" t="s">
        <v>25</v>
      </c>
      <c r="L1789">
        <v>4.0999999999999996</v>
      </c>
      <c r="M1789">
        <v>7.8</v>
      </c>
      <c r="N1789">
        <v>869</v>
      </c>
      <c r="O1789" t="s">
        <v>75</v>
      </c>
      <c r="P1789">
        <v>88.8</v>
      </c>
      <c r="Q1789" t="s">
        <v>76</v>
      </c>
      <c r="R1789">
        <v>-4.5999999999999996</v>
      </c>
      <c r="S1789">
        <v>-7.4</v>
      </c>
      <c r="T1789">
        <v>-4.7</v>
      </c>
      <c r="U1789">
        <v>5.5</v>
      </c>
      <c r="V1789">
        <v>2.8</v>
      </c>
      <c r="W1789">
        <v>3</v>
      </c>
      <c r="X1789" t="s">
        <v>66</v>
      </c>
    </row>
    <row r="1790" spans="2:24" x14ac:dyDescent="0.3">
      <c r="B1790" t="s">
        <v>1883</v>
      </c>
      <c r="C1790" t="s">
        <v>100</v>
      </c>
      <c r="D1790" t="s">
        <v>3</v>
      </c>
      <c r="E1790" t="s">
        <v>15</v>
      </c>
      <c r="F1790" t="s">
        <v>9</v>
      </c>
      <c r="G1790" t="s">
        <v>98</v>
      </c>
      <c r="H1790">
        <v>2025</v>
      </c>
      <c r="I1790">
        <v>6304</v>
      </c>
      <c r="J1790">
        <v>13.2</v>
      </c>
      <c r="K1790" t="s">
        <v>21</v>
      </c>
      <c r="L1790">
        <v>4.5999999999999996</v>
      </c>
      <c r="M1790">
        <v>6.6</v>
      </c>
      <c r="N1790">
        <v>1920</v>
      </c>
      <c r="O1790" t="s">
        <v>55</v>
      </c>
      <c r="P1790">
        <v>89.9</v>
      </c>
      <c r="Q1790" t="s">
        <v>56</v>
      </c>
      <c r="R1790">
        <v>24.5</v>
      </c>
      <c r="S1790">
        <v>2.5</v>
      </c>
      <c r="T1790">
        <v>10.199999999999999</v>
      </c>
      <c r="U1790">
        <v>7.2</v>
      </c>
      <c r="V1790">
        <v>5.2</v>
      </c>
      <c r="W1790">
        <v>4.7</v>
      </c>
      <c r="X1790" t="s">
        <v>116</v>
      </c>
    </row>
    <row r="1791" spans="2:24" x14ac:dyDescent="0.3">
      <c r="B1791" t="s">
        <v>1884</v>
      </c>
      <c r="C1791" t="s">
        <v>106</v>
      </c>
      <c r="D1791" t="s">
        <v>4</v>
      </c>
      <c r="E1791" t="s">
        <v>14</v>
      </c>
      <c r="F1791" t="s">
        <v>9</v>
      </c>
      <c r="G1791" t="s">
        <v>104</v>
      </c>
      <c r="H1791">
        <v>2026</v>
      </c>
      <c r="I1791">
        <v>14609</v>
      </c>
      <c r="J1791">
        <v>25.6</v>
      </c>
      <c r="K1791" t="s">
        <v>25</v>
      </c>
      <c r="L1791">
        <v>6.5</v>
      </c>
      <c r="M1791">
        <v>7.1</v>
      </c>
      <c r="N1791">
        <v>1788</v>
      </c>
      <c r="O1791" t="s">
        <v>75</v>
      </c>
      <c r="P1791">
        <v>23</v>
      </c>
      <c r="Q1791" t="s">
        <v>76</v>
      </c>
      <c r="R1791">
        <v>28.4</v>
      </c>
      <c r="S1791">
        <v>-15.4</v>
      </c>
      <c r="T1791">
        <v>-9.9</v>
      </c>
      <c r="U1791">
        <v>5.4</v>
      </c>
      <c r="V1791">
        <v>3.6</v>
      </c>
      <c r="W1791">
        <v>3.1</v>
      </c>
      <c r="X1791" t="s">
        <v>66</v>
      </c>
    </row>
    <row r="1792" spans="2:24" x14ac:dyDescent="0.3">
      <c r="B1792" t="s">
        <v>1885</v>
      </c>
      <c r="C1792" t="s">
        <v>100</v>
      </c>
      <c r="D1792" t="s">
        <v>3</v>
      </c>
      <c r="E1792" t="s">
        <v>16</v>
      </c>
      <c r="F1792" t="s">
        <v>11</v>
      </c>
      <c r="G1792" t="s">
        <v>54</v>
      </c>
      <c r="H1792">
        <v>2026</v>
      </c>
      <c r="I1792">
        <v>3934</v>
      </c>
      <c r="J1792">
        <v>15.1</v>
      </c>
      <c r="K1792" t="s">
        <v>22</v>
      </c>
      <c r="L1792">
        <v>2.2000000000000002</v>
      </c>
      <c r="M1792">
        <v>7.9</v>
      </c>
      <c r="N1792">
        <v>5066</v>
      </c>
      <c r="O1792" t="s">
        <v>55</v>
      </c>
      <c r="P1792">
        <v>19.7</v>
      </c>
      <c r="Q1792" t="s">
        <v>88</v>
      </c>
      <c r="R1792">
        <v>18.899999999999999</v>
      </c>
      <c r="S1792">
        <v>20.5</v>
      </c>
      <c r="T1792">
        <v>5.3</v>
      </c>
      <c r="U1792">
        <v>2.8</v>
      </c>
      <c r="V1792">
        <v>6.5</v>
      </c>
      <c r="W1792">
        <v>6.2</v>
      </c>
      <c r="X1792" t="s">
        <v>116</v>
      </c>
    </row>
    <row r="1793" spans="2:24" x14ac:dyDescent="0.3">
      <c r="B1793" t="s">
        <v>1886</v>
      </c>
      <c r="C1793" t="s">
        <v>90</v>
      </c>
      <c r="D1793" t="s">
        <v>3</v>
      </c>
      <c r="E1793" t="s">
        <v>16</v>
      </c>
      <c r="F1793" t="s">
        <v>9</v>
      </c>
      <c r="G1793" t="s">
        <v>54</v>
      </c>
      <c r="H1793">
        <v>2025</v>
      </c>
      <c r="I1793">
        <v>3527</v>
      </c>
      <c r="J1793">
        <v>15</v>
      </c>
      <c r="K1793" t="s">
        <v>25</v>
      </c>
      <c r="L1793">
        <v>6</v>
      </c>
      <c r="M1793">
        <v>6.8</v>
      </c>
      <c r="N1793">
        <v>1278</v>
      </c>
      <c r="O1793" t="s">
        <v>75</v>
      </c>
      <c r="P1793">
        <v>84.2</v>
      </c>
      <c r="Q1793" t="s">
        <v>86</v>
      </c>
      <c r="R1793">
        <v>59.8</v>
      </c>
      <c r="S1793">
        <v>-4.2</v>
      </c>
      <c r="T1793">
        <v>2.5</v>
      </c>
      <c r="U1793">
        <v>3.7</v>
      </c>
      <c r="V1793">
        <v>4.3</v>
      </c>
      <c r="W1793">
        <v>5.4</v>
      </c>
      <c r="X1793" t="s">
        <v>116</v>
      </c>
    </row>
    <row r="1794" spans="2:24" x14ac:dyDescent="0.3">
      <c r="B1794" t="s">
        <v>1887</v>
      </c>
      <c r="C1794" t="s">
        <v>106</v>
      </c>
      <c r="D1794" t="s">
        <v>7</v>
      </c>
      <c r="E1794" t="s">
        <v>18</v>
      </c>
      <c r="F1794" t="s">
        <v>11</v>
      </c>
      <c r="G1794" t="s">
        <v>131</v>
      </c>
      <c r="H1794">
        <v>2024</v>
      </c>
      <c r="I1794">
        <v>6240</v>
      </c>
      <c r="J1794">
        <v>11.3</v>
      </c>
      <c r="K1794" t="s">
        <v>23</v>
      </c>
      <c r="L1794">
        <v>5.9</v>
      </c>
      <c r="M1794">
        <v>8.8000000000000007</v>
      </c>
      <c r="N1794">
        <v>4012</v>
      </c>
      <c r="O1794" t="s">
        <v>64</v>
      </c>
      <c r="P1794">
        <v>68.5</v>
      </c>
      <c r="Q1794" t="s">
        <v>88</v>
      </c>
      <c r="R1794">
        <v>-29.4</v>
      </c>
      <c r="S1794">
        <v>21.1</v>
      </c>
      <c r="T1794">
        <v>3.8</v>
      </c>
      <c r="U1794">
        <v>4.2</v>
      </c>
      <c r="V1794">
        <v>6.8</v>
      </c>
      <c r="W1794">
        <v>6.2</v>
      </c>
      <c r="X1794" t="s">
        <v>116</v>
      </c>
    </row>
    <row r="1795" spans="2:24" x14ac:dyDescent="0.3">
      <c r="B1795" t="s">
        <v>1888</v>
      </c>
      <c r="C1795" t="s">
        <v>81</v>
      </c>
      <c r="D1795" t="s">
        <v>5</v>
      </c>
      <c r="E1795" t="s">
        <v>14</v>
      </c>
      <c r="F1795" t="s">
        <v>9</v>
      </c>
      <c r="G1795" t="s">
        <v>101</v>
      </c>
      <c r="H1795">
        <v>2025</v>
      </c>
      <c r="I1795">
        <v>1679</v>
      </c>
      <c r="J1795">
        <v>4.2</v>
      </c>
      <c r="K1795" t="s">
        <v>24</v>
      </c>
      <c r="L1795">
        <v>7.9</v>
      </c>
      <c r="M1795">
        <v>9</v>
      </c>
      <c r="N1795">
        <v>5601</v>
      </c>
      <c r="O1795" t="s">
        <v>118</v>
      </c>
      <c r="P1795">
        <v>40.700000000000003</v>
      </c>
      <c r="Q1795" t="s">
        <v>65</v>
      </c>
      <c r="R1795">
        <v>-34.1</v>
      </c>
      <c r="S1795">
        <v>35</v>
      </c>
      <c r="T1795">
        <v>19.3</v>
      </c>
      <c r="U1795">
        <v>7.7</v>
      </c>
      <c r="V1795">
        <v>7.4</v>
      </c>
      <c r="W1795">
        <v>7.7</v>
      </c>
      <c r="X1795" t="s">
        <v>57</v>
      </c>
    </row>
    <row r="1796" spans="2:24" x14ac:dyDescent="0.3">
      <c r="B1796" t="s">
        <v>1889</v>
      </c>
      <c r="C1796" t="s">
        <v>106</v>
      </c>
      <c r="D1796" t="s">
        <v>4</v>
      </c>
      <c r="E1796" t="s">
        <v>14</v>
      </c>
      <c r="F1796" t="s">
        <v>12</v>
      </c>
      <c r="G1796" t="s">
        <v>78</v>
      </c>
      <c r="H1796">
        <v>2026</v>
      </c>
      <c r="I1796">
        <v>1100</v>
      </c>
      <c r="J1796">
        <v>4.5</v>
      </c>
      <c r="K1796" t="s">
        <v>21</v>
      </c>
      <c r="L1796">
        <v>3.9</v>
      </c>
      <c r="M1796">
        <v>6.9</v>
      </c>
      <c r="N1796">
        <v>1052</v>
      </c>
      <c r="O1796" t="s">
        <v>55</v>
      </c>
      <c r="P1796">
        <v>17.899999999999999</v>
      </c>
      <c r="Q1796" t="s">
        <v>84</v>
      </c>
      <c r="R1796">
        <v>42.8</v>
      </c>
      <c r="S1796">
        <v>26.7</v>
      </c>
      <c r="T1796">
        <v>20.8</v>
      </c>
      <c r="U1796">
        <v>6.2</v>
      </c>
      <c r="V1796">
        <v>7.6</v>
      </c>
      <c r="W1796">
        <v>6.7</v>
      </c>
      <c r="X1796" t="s">
        <v>57</v>
      </c>
    </row>
    <row r="1797" spans="2:24" x14ac:dyDescent="0.3">
      <c r="B1797" t="s">
        <v>1890</v>
      </c>
      <c r="C1797" t="s">
        <v>53</v>
      </c>
      <c r="D1797" t="s">
        <v>4</v>
      </c>
      <c r="E1797" t="s">
        <v>14</v>
      </c>
      <c r="F1797" t="s">
        <v>9</v>
      </c>
      <c r="G1797" t="s">
        <v>104</v>
      </c>
      <c r="H1797">
        <v>2025</v>
      </c>
      <c r="I1797">
        <v>1326</v>
      </c>
      <c r="J1797">
        <v>8.5</v>
      </c>
      <c r="K1797" t="s">
        <v>22</v>
      </c>
      <c r="L1797">
        <v>15.9</v>
      </c>
      <c r="M1797">
        <v>10</v>
      </c>
      <c r="N1797">
        <v>1225</v>
      </c>
      <c r="O1797" t="s">
        <v>55</v>
      </c>
      <c r="P1797">
        <v>51</v>
      </c>
      <c r="Q1797" t="s">
        <v>84</v>
      </c>
      <c r="R1797">
        <v>30.7</v>
      </c>
      <c r="S1797">
        <v>58.3</v>
      </c>
      <c r="T1797">
        <v>35.700000000000003</v>
      </c>
      <c r="U1797">
        <v>9.9</v>
      </c>
      <c r="V1797">
        <v>6.3</v>
      </c>
      <c r="W1797">
        <v>7.4</v>
      </c>
      <c r="X1797" t="s">
        <v>57</v>
      </c>
    </row>
    <row r="1798" spans="2:24" x14ac:dyDescent="0.3">
      <c r="B1798" t="s">
        <v>1891</v>
      </c>
      <c r="C1798" t="s">
        <v>53</v>
      </c>
      <c r="D1798" t="s">
        <v>7</v>
      </c>
      <c r="E1798" t="s">
        <v>14</v>
      </c>
      <c r="F1798" t="s">
        <v>10</v>
      </c>
      <c r="G1798" t="s">
        <v>78</v>
      </c>
      <c r="H1798">
        <v>2025</v>
      </c>
      <c r="I1798">
        <v>1243</v>
      </c>
      <c r="J1798">
        <v>2.8</v>
      </c>
      <c r="K1798" t="s">
        <v>25</v>
      </c>
      <c r="L1798">
        <v>7.6</v>
      </c>
      <c r="M1798">
        <v>6.9</v>
      </c>
      <c r="N1798">
        <v>2676</v>
      </c>
      <c r="O1798" t="s">
        <v>55</v>
      </c>
      <c r="P1798">
        <v>35.799999999999997</v>
      </c>
      <c r="Q1798" t="s">
        <v>84</v>
      </c>
      <c r="R1798">
        <v>37.700000000000003</v>
      </c>
      <c r="S1798">
        <v>-0.4</v>
      </c>
      <c r="T1798">
        <v>6.7</v>
      </c>
      <c r="U1798">
        <v>7.7</v>
      </c>
      <c r="V1798">
        <v>8.1999999999999993</v>
      </c>
      <c r="W1798">
        <v>7.3</v>
      </c>
      <c r="X1798" t="s">
        <v>57</v>
      </c>
    </row>
    <row r="1799" spans="2:24" x14ac:dyDescent="0.3">
      <c r="B1799" t="s">
        <v>1892</v>
      </c>
      <c r="C1799" t="s">
        <v>159</v>
      </c>
      <c r="D1799" t="s">
        <v>2</v>
      </c>
      <c r="E1799" t="s">
        <v>15</v>
      </c>
      <c r="F1799" t="s">
        <v>11</v>
      </c>
      <c r="G1799" t="s">
        <v>104</v>
      </c>
      <c r="H1799">
        <v>2025</v>
      </c>
      <c r="I1799">
        <v>1543</v>
      </c>
      <c r="J1799">
        <v>3.8</v>
      </c>
      <c r="K1799" t="s">
        <v>23</v>
      </c>
      <c r="L1799">
        <v>1.6</v>
      </c>
      <c r="M1799">
        <v>4.5</v>
      </c>
      <c r="N1799">
        <v>7161</v>
      </c>
      <c r="O1799" t="s">
        <v>55</v>
      </c>
      <c r="P1799">
        <v>47.9</v>
      </c>
      <c r="Q1799" t="s">
        <v>76</v>
      </c>
      <c r="R1799">
        <v>46.2</v>
      </c>
      <c r="S1799">
        <v>49</v>
      </c>
      <c r="T1799">
        <v>18.3</v>
      </c>
      <c r="U1799">
        <v>2.5</v>
      </c>
      <c r="V1799">
        <v>9.6999999999999993</v>
      </c>
      <c r="W1799">
        <v>7.5</v>
      </c>
      <c r="X1799" t="s">
        <v>57</v>
      </c>
    </row>
    <row r="1800" spans="2:24" x14ac:dyDescent="0.3">
      <c r="B1800" t="s">
        <v>1893</v>
      </c>
      <c r="C1800" t="s">
        <v>90</v>
      </c>
      <c r="D1800" t="s">
        <v>6</v>
      </c>
      <c r="E1800" t="s">
        <v>19</v>
      </c>
      <c r="F1800" t="s">
        <v>12</v>
      </c>
      <c r="G1800" t="s">
        <v>74</v>
      </c>
      <c r="H1800">
        <v>2024</v>
      </c>
      <c r="I1800">
        <v>17877</v>
      </c>
      <c r="J1800">
        <v>13.3</v>
      </c>
      <c r="K1800" t="s">
        <v>25</v>
      </c>
      <c r="L1800">
        <v>1.1000000000000001</v>
      </c>
      <c r="M1800">
        <v>5.4</v>
      </c>
      <c r="N1800">
        <v>1686</v>
      </c>
      <c r="O1800" t="s">
        <v>64</v>
      </c>
      <c r="P1800">
        <v>64.8</v>
      </c>
      <c r="Q1800" t="s">
        <v>65</v>
      </c>
      <c r="R1800">
        <v>-10.4</v>
      </c>
      <c r="S1800">
        <v>-18.100000000000001</v>
      </c>
      <c r="T1800">
        <v>-20.100000000000001</v>
      </c>
      <c r="U1800">
        <v>1.7</v>
      </c>
      <c r="V1800">
        <v>4.0999999999999996</v>
      </c>
      <c r="W1800">
        <v>4.3</v>
      </c>
      <c r="X1800" t="s">
        <v>66</v>
      </c>
    </row>
    <row r="1801" spans="2:24" x14ac:dyDescent="0.3">
      <c r="B1801" t="s">
        <v>1894</v>
      </c>
      <c r="C1801" t="s">
        <v>73</v>
      </c>
      <c r="D1801" t="s">
        <v>3</v>
      </c>
      <c r="E1801" t="s">
        <v>14</v>
      </c>
      <c r="F1801" t="s">
        <v>11</v>
      </c>
      <c r="G1801" t="s">
        <v>115</v>
      </c>
      <c r="H1801">
        <v>2026</v>
      </c>
      <c r="I1801">
        <v>795</v>
      </c>
      <c r="J1801">
        <v>2.2000000000000002</v>
      </c>
      <c r="K1801" t="s">
        <v>22</v>
      </c>
      <c r="L1801">
        <v>1</v>
      </c>
      <c r="M1801">
        <v>1</v>
      </c>
      <c r="N1801">
        <v>950</v>
      </c>
      <c r="O1801" t="s">
        <v>64</v>
      </c>
      <c r="P1801">
        <v>50.1</v>
      </c>
      <c r="Q1801" t="s">
        <v>125</v>
      </c>
      <c r="R1801">
        <v>20.9</v>
      </c>
      <c r="S1801">
        <v>-13.5</v>
      </c>
      <c r="T1801">
        <v>1.4</v>
      </c>
      <c r="U1801">
        <v>1.3</v>
      </c>
      <c r="V1801">
        <v>5.4</v>
      </c>
      <c r="W1801">
        <v>6.3</v>
      </c>
      <c r="X1801" t="s">
        <v>57</v>
      </c>
    </row>
    <row r="1802" spans="2:24" x14ac:dyDescent="0.3">
      <c r="B1802" t="s">
        <v>1895</v>
      </c>
      <c r="C1802" t="s">
        <v>90</v>
      </c>
      <c r="D1802" t="s">
        <v>3</v>
      </c>
      <c r="E1802" t="s">
        <v>19</v>
      </c>
      <c r="F1802" t="s">
        <v>11</v>
      </c>
      <c r="G1802" t="s">
        <v>101</v>
      </c>
      <c r="H1802">
        <v>2026</v>
      </c>
      <c r="I1802">
        <v>1011</v>
      </c>
      <c r="J1802">
        <v>10.6</v>
      </c>
      <c r="K1802" t="s">
        <v>24</v>
      </c>
      <c r="L1802">
        <v>1.6</v>
      </c>
      <c r="M1802">
        <v>4.9000000000000004</v>
      </c>
      <c r="N1802">
        <v>5494</v>
      </c>
      <c r="O1802" t="s">
        <v>55</v>
      </c>
      <c r="P1802">
        <v>67.3</v>
      </c>
      <c r="Q1802" t="s">
        <v>79</v>
      </c>
      <c r="R1802">
        <v>-36.6</v>
      </c>
      <c r="S1802">
        <v>-6.6</v>
      </c>
      <c r="T1802">
        <v>0.6</v>
      </c>
      <c r="U1802">
        <v>1.3</v>
      </c>
      <c r="V1802">
        <v>4.9000000000000004</v>
      </c>
      <c r="W1802">
        <v>5.9</v>
      </c>
      <c r="X1802" t="s">
        <v>116</v>
      </c>
    </row>
    <row r="1803" spans="2:24" x14ac:dyDescent="0.3">
      <c r="B1803" t="s">
        <v>1896</v>
      </c>
      <c r="C1803" t="s">
        <v>27</v>
      </c>
      <c r="D1803" t="s">
        <v>3</v>
      </c>
      <c r="E1803" t="s">
        <v>16</v>
      </c>
      <c r="F1803" t="s">
        <v>9</v>
      </c>
      <c r="G1803" t="s">
        <v>60</v>
      </c>
      <c r="H1803">
        <v>2025</v>
      </c>
      <c r="I1803">
        <v>5351</v>
      </c>
      <c r="J1803">
        <v>10.3</v>
      </c>
      <c r="K1803" t="s">
        <v>25</v>
      </c>
      <c r="L1803">
        <v>5.2</v>
      </c>
      <c r="M1803">
        <v>8.4</v>
      </c>
      <c r="N1803">
        <v>2892</v>
      </c>
      <c r="O1803" t="s">
        <v>55</v>
      </c>
      <c r="P1803">
        <v>89.8</v>
      </c>
      <c r="Q1803" t="s">
        <v>125</v>
      </c>
      <c r="R1803">
        <v>-39.299999999999997</v>
      </c>
      <c r="S1803">
        <v>-21.4</v>
      </c>
      <c r="T1803">
        <v>-12.8</v>
      </c>
      <c r="U1803">
        <v>4.7</v>
      </c>
      <c r="V1803">
        <v>7</v>
      </c>
      <c r="W1803">
        <v>5.2</v>
      </c>
      <c r="X1803" t="s">
        <v>116</v>
      </c>
    </row>
    <row r="1804" spans="2:24" x14ac:dyDescent="0.3">
      <c r="B1804" t="s">
        <v>1897</v>
      </c>
      <c r="C1804" t="s">
        <v>53</v>
      </c>
      <c r="D1804" t="s">
        <v>7</v>
      </c>
      <c r="E1804" t="s">
        <v>19</v>
      </c>
      <c r="F1804" t="s">
        <v>9</v>
      </c>
      <c r="G1804" t="s">
        <v>63</v>
      </c>
      <c r="H1804">
        <v>2024</v>
      </c>
      <c r="I1804">
        <v>9302</v>
      </c>
      <c r="J1804">
        <v>28.6</v>
      </c>
      <c r="K1804" t="s">
        <v>21</v>
      </c>
      <c r="L1804">
        <v>7.4</v>
      </c>
      <c r="M1804">
        <v>10</v>
      </c>
      <c r="N1804">
        <v>624</v>
      </c>
      <c r="O1804" t="s">
        <v>64</v>
      </c>
      <c r="P1804">
        <v>45.3</v>
      </c>
      <c r="Q1804" t="s">
        <v>65</v>
      </c>
      <c r="R1804">
        <v>7.3</v>
      </c>
      <c r="S1804">
        <v>-6.1</v>
      </c>
      <c r="T1804">
        <v>-4.0999999999999996</v>
      </c>
      <c r="U1804">
        <v>9.8000000000000007</v>
      </c>
      <c r="V1804">
        <v>4.5999999999999996</v>
      </c>
      <c r="W1804">
        <v>2.9</v>
      </c>
      <c r="X1804" t="s">
        <v>66</v>
      </c>
    </row>
    <row r="1805" spans="2:24" x14ac:dyDescent="0.3">
      <c r="B1805" t="s">
        <v>1898</v>
      </c>
      <c r="C1805" t="s">
        <v>71</v>
      </c>
      <c r="D1805" t="s">
        <v>5</v>
      </c>
      <c r="E1805" t="s">
        <v>19</v>
      </c>
      <c r="F1805" t="s">
        <v>10</v>
      </c>
      <c r="G1805" t="s">
        <v>60</v>
      </c>
      <c r="H1805">
        <v>2024</v>
      </c>
      <c r="I1805">
        <v>4807</v>
      </c>
      <c r="J1805">
        <v>14.4</v>
      </c>
      <c r="K1805" t="s">
        <v>24</v>
      </c>
      <c r="L1805">
        <v>8.9</v>
      </c>
      <c r="M1805">
        <v>9.6999999999999993</v>
      </c>
      <c r="N1805">
        <v>5620</v>
      </c>
      <c r="O1805" t="s">
        <v>55</v>
      </c>
      <c r="P1805">
        <v>43.1</v>
      </c>
      <c r="Q1805" t="s">
        <v>84</v>
      </c>
      <c r="R1805">
        <v>25.1</v>
      </c>
      <c r="S1805">
        <v>22.4</v>
      </c>
      <c r="T1805">
        <v>15.2</v>
      </c>
      <c r="U1805">
        <v>8.4</v>
      </c>
      <c r="V1805">
        <v>6.2</v>
      </c>
      <c r="W1805">
        <v>4.7</v>
      </c>
      <c r="X1805" t="s">
        <v>116</v>
      </c>
    </row>
    <row r="1806" spans="2:24" x14ac:dyDescent="0.3">
      <c r="B1806" t="s">
        <v>1899</v>
      </c>
      <c r="C1806" t="s">
        <v>100</v>
      </c>
      <c r="D1806" t="s">
        <v>3</v>
      </c>
      <c r="E1806" t="s">
        <v>18</v>
      </c>
      <c r="F1806" t="s">
        <v>11</v>
      </c>
      <c r="G1806" t="s">
        <v>60</v>
      </c>
      <c r="H1806">
        <v>2025</v>
      </c>
      <c r="I1806">
        <v>1046</v>
      </c>
      <c r="J1806">
        <v>9.4</v>
      </c>
      <c r="K1806" t="s">
        <v>24</v>
      </c>
      <c r="L1806">
        <v>2.2999999999999998</v>
      </c>
      <c r="M1806">
        <v>1.1000000000000001</v>
      </c>
      <c r="N1806">
        <v>1159</v>
      </c>
      <c r="O1806" t="s">
        <v>64</v>
      </c>
      <c r="P1806">
        <v>28.1</v>
      </c>
      <c r="Q1806" t="s">
        <v>125</v>
      </c>
      <c r="R1806">
        <v>83.2</v>
      </c>
      <c r="S1806">
        <v>15.4</v>
      </c>
      <c r="T1806">
        <v>3.2</v>
      </c>
      <c r="U1806">
        <v>1.7</v>
      </c>
      <c r="V1806">
        <v>5.3</v>
      </c>
      <c r="W1806">
        <v>7.4</v>
      </c>
      <c r="X1806" t="s">
        <v>66</v>
      </c>
    </row>
    <row r="1807" spans="2:24" x14ac:dyDescent="0.3">
      <c r="B1807" t="s">
        <v>1900</v>
      </c>
      <c r="C1807" t="s">
        <v>53</v>
      </c>
      <c r="D1807" t="s">
        <v>7</v>
      </c>
      <c r="E1807" t="s">
        <v>19</v>
      </c>
      <c r="F1807" t="s">
        <v>10</v>
      </c>
      <c r="G1807" t="s">
        <v>60</v>
      </c>
      <c r="H1807">
        <v>2024</v>
      </c>
      <c r="I1807">
        <v>16162</v>
      </c>
      <c r="J1807">
        <v>27.4</v>
      </c>
      <c r="K1807" t="s">
        <v>21</v>
      </c>
      <c r="L1807">
        <v>1.5</v>
      </c>
      <c r="M1807">
        <v>9.1999999999999993</v>
      </c>
      <c r="N1807">
        <v>1482</v>
      </c>
      <c r="O1807" t="s">
        <v>75</v>
      </c>
      <c r="P1807">
        <v>57.1</v>
      </c>
      <c r="Q1807" t="s">
        <v>76</v>
      </c>
      <c r="R1807">
        <v>73.599999999999994</v>
      </c>
      <c r="S1807">
        <v>17.8</v>
      </c>
      <c r="T1807">
        <v>-2.4</v>
      </c>
      <c r="U1807">
        <v>2</v>
      </c>
      <c r="V1807">
        <v>3.4</v>
      </c>
      <c r="W1807">
        <v>3.2</v>
      </c>
      <c r="X1807" t="s">
        <v>66</v>
      </c>
    </row>
    <row r="1808" spans="2:24" x14ac:dyDescent="0.3">
      <c r="B1808" t="s">
        <v>1901</v>
      </c>
      <c r="C1808" t="s">
        <v>73</v>
      </c>
      <c r="D1808" t="s">
        <v>3</v>
      </c>
      <c r="E1808" t="s">
        <v>14</v>
      </c>
      <c r="F1808" t="s">
        <v>11</v>
      </c>
      <c r="G1808" t="s">
        <v>98</v>
      </c>
      <c r="H1808">
        <v>2025</v>
      </c>
      <c r="I1808">
        <v>6877</v>
      </c>
      <c r="J1808">
        <v>18</v>
      </c>
      <c r="K1808" t="s">
        <v>21</v>
      </c>
      <c r="L1808">
        <v>5.9</v>
      </c>
      <c r="M1808">
        <v>8.8000000000000007</v>
      </c>
      <c r="N1808">
        <v>5438</v>
      </c>
      <c r="O1808" t="s">
        <v>55</v>
      </c>
      <c r="P1808">
        <v>52.1</v>
      </c>
      <c r="Q1808" t="s">
        <v>86</v>
      </c>
      <c r="R1808">
        <v>5.2</v>
      </c>
      <c r="S1808">
        <v>-16.3</v>
      </c>
      <c r="T1808">
        <v>-13.8</v>
      </c>
      <c r="U1808">
        <v>5.8</v>
      </c>
      <c r="V1808">
        <v>3.5</v>
      </c>
      <c r="W1808">
        <v>4.7</v>
      </c>
      <c r="X1808" t="s">
        <v>116</v>
      </c>
    </row>
    <row r="1809" spans="2:24" x14ac:dyDescent="0.3">
      <c r="B1809" t="s">
        <v>1902</v>
      </c>
      <c r="C1809" t="s">
        <v>106</v>
      </c>
      <c r="D1809" t="s">
        <v>3</v>
      </c>
      <c r="E1809" t="s">
        <v>14</v>
      </c>
      <c r="F1809" t="s">
        <v>11</v>
      </c>
      <c r="G1809" t="s">
        <v>60</v>
      </c>
      <c r="H1809">
        <v>2026</v>
      </c>
      <c r="I1809">
        <v>1421</v>
      </c>
      <c r="J1809">
        <v>4.5999999999999996</v>
      </c>
      <c r="K1809" t="s">
        <v>21</v>
      </c>
      <c r="L1809">
        <v>3.8</v>
      </c>
      <c r="M1809">
        <v>3.6</v>
      </c>
      <c r="N1809">
        <v>1497</v>
      </c>
      <c r="O1809" t="s">
        <v>55</v>
      </c>
      <c r="P1809">
        <v>83.7</v>
      </c>
      <c r="Q1809" t="s">
        <v>79</v>
      </c>
      <c r="R1809">
        <v>13.1</v>
      </c>
      <c r="S1809">
        <v>19.399999999999999</v>
      </c>
      <c r="T1809">
        <v>5.3</v>
      </c>
      <c r="U1809">
        <v>3.9</v>
      </c>
      <c r="V1809">
        <v>8.6</v>
      </c>
      <c r="W1809">
        <v>7</v>
      </c>
      <c r="X1809" t="s">
        <v>57</v>
      </c>
    </row>
    <row r="1810" spans="2:24" x14ac:dyDescent="0.3">
      <c r="B1810" t="s">
        <v>1903</v>
      </c>
      <c r="C1810" t="s">
        <v>27</v>
      </c>
      <c r="D1810" t="s">
        <v>3</v>
      </c>
      <c r="E1810" t="s">
        <v>18</v>
      </c>
      <c r="F1810" t="s">
        <v>9</v>
      </c>
      <c r="G1810" t="s">
        <v>104</v>
      </c>
      <c r="H1810">
        <v>2024</v>
      </c>
      <c r="I1810">
        <v>1983</v>
      </c>
      <c r="J1810">
        <v>8.1</v>
      </c>
      <c r="K1810" t="s">
        <v>21</v>
      </c>
      <c r="L1810">
        <v>8.5</v>
      </c>
      <c r="M1810">
        <v>9.9</v>
      </c>
      <c r="N1810">
        <v>5084</v>
      </c>
      <c r="O1810" t="s">
        <v>55</v>
      </c>
      <c r="P1810">
        <v>34.200000000000003</v>
      </c>
      <c r="Q1810" t="s">
        <v>84</v>
      </c>
      <c r="R1810">
        <v>75.7</v>
      </c>
      <c r="S1810">
        <v>5.5</v>
      </c>
      <c r="T1810">
        <v>5.8</v>
      </c>
      <c r="U1810">
        <v>9.5</v>
      </c>
      <c r="V1810">
        <v>4.9000000000000004</v>
      </c>
      <c r="W1810">
        <v>5.0999999999999996</v>
      </c>
      <c r="X1810" t="s">
        <v>57</v>
      </c>
    </row>
    <row r="1811" spans="2:24" x14ac:dyDescent="0.3">
      <c r="B1811" t="s">
        <v>1904</v>
      </c>
      <c r="C1811" t="s">
        <v>106</v>
      </c>
      <c r="D1811" t="s">
        <v>2</v>
      </c>
      <c r="E1811" t="s">
        <v>18</v>
      </c>
      <c r="F1811" t="s">
        <v>12</v>
      </c>
      <c r="G1811" t="s">
        <v>60</v>
      </c>
      <c r="H1811">
        <v>2026</v>
      </c>
      <c r="I1811">
        <v>15694</v>
      </c>
      <c r="J1811">
        <v>30.8</v>
      </c>
      <c r="K1811" t="s">
        <v>21</v>
      </c>
      <c r="L1811">
        <v>4.2</v>
      </c>
      <c r="M1811">
        <v>9.6</v>
      </c>
      <c r="N1811">
        <v>6235</v>
      </c>
      <c r="O1811" t="s">
        <v>64</v>
      </c>
      <c r="P1811">
        <v>33.1</v>
      </c>
      <c r="Q1811" t="s">
        <v>76</v>
      </c>
      <c r="R1811">
        <v>79.5</v>
      </c>
      <c r="S1811">
        <v>-14.9</v>
      </c>
      <c r="T1811">
        <v>-11.2</v>
      </c>
      <c r="U1811">
        <v>2.5</v>
      </c>
      <c r="V1811">
        <v>3.6</v>
      </c>
      <c r="W1811">
        <v>2.2000000000000002</v>
      </c>
      <c r="X1811" t="s">
        <v>66</v>
      </c>
    </row>
    <row r="1812" spans="2:24" x14ac:dyDescent="0.3">
      <c r="B1812" t="s">
        <v>1905</v>
      </c>
      <c r="C1812" t="s">
        <v>122</v>
      </c>
      <c r="D1812" t="s">
        <v>2</v>
      </c>
      <c r="E1812" t="s">
        <v>15</v>
      </c>
      <c r="F1812" t="s">
        <v>12</v>
      </c>
      <c r="G1812" t="s">
        <v>131</v>
      </c>
      <c r="H1812">
        <v>2026</v>
      </c>
      <c r="I1812">
        <v>212</v>
      </c>
      <c r="J1812">
        <v>9.3000000000000007</v>
      </c>
      <c r="K1812" t="s">
        <v>25</v>
      </c>
      <c r="L1812">
        <v>9.8000000000000007</v>
      </c>
      <c r="M1812">
        <v>9</v>
      </c>
      <c r="N1812">
        <v>5383</v>
      </c>
      <c r="O1812" t="s">
        <v>55</v>
      </c>
      <c r="P1812">
        <v>58.4</v>
      </c>
      <c r="Q1812" t="s">
        <v>76</v>
      </c>
      <c r="R1812">
        <v>49.4</v>
      </c>
      <c r="S1812">
        <v>20.399999999999999</v>
      </c>
      <c r="T1812">
        <v>16.2</v>
      </c>
      <c r="U1812">
        <v>6.3</v>
      </c>
      <c r="V1812">
        <v>7.8</v>
      </c>
      <c r="W1812">
        <v>6</v>
      </c>
      <c r="X1812" t="s">
        <v>116</v>
      </c>
    </row>
    <row r="1813" spans="2:24" x14ac:dyDescent="0.3">
      <c r="B1813" t="s">
        <v>1906</v>
      </c>
      <c r="C1813" t="s">
        <v>106</v>
      </c>
      <c r="D1813" t="s">
        <v>8</v>
      </c>
      <c r="E1813" t="s">
        <v>18</v>
      </c>
      <c r="F1813" t="s">
        <v>11</v>
      </c>
      <c r="G1813" t="s">
        <v>115</v>
      </c>
      <c r="H1813">
        <v>2026</v>
      </c>
      <c r="I1813">
        <v>6260</v>
      </c>
      <c r="J1813">
        <v>12</v>
      </c>
      <c r="K1813" t="s">
        <v>22</v>
      </c>
      <c r="L1813">
        <v>3</v>
      </c>
      <c r="M1813">
        <v>8.6999999999999993</v>
      </c>
      <c r="N1813">
        <v>5981</v>
      </c>
      <c r="O1813" t="s">
        <v>55</v>
      </c>
      <c r="P1813">
        <v>53.9</v>
      </c>
      <c r="Q1813" t="s">
        <v>65</v>
      </c>
      <c r="R1813">
        <v>55.8</v>
      </c>
      <c r="S1813">
        <v>29</v>
      </c>
      <c r="T1813">
        <v>1</v>
      </c>
      <c r="U1813">
        <v>4.9000000000000004</v>
      </c>
      <c r="V1813">
        <v>7.5</v>
      </c>
      <c r="W1813">
        <v>6.4</v>
      </c>
      <c r="X1813" t="s">
        <v>116</v>
      </c>
    </row>
    <row r="1814" spans="2:24" x14ac:dyDescent="0.3">
      <c r="B1814" t="s">
        <v>1907</v>
      </c>
      <c r="C1814" t="s">
        <v>106</v>
      </c>
      <c r="D1814" t="s">
        <v>2</v>
      </c>
      <c r="E1814" t="s">
        <v>17</v>
      </c>
      <c r="F1814" t="s">
        <v>11</v>
      </c>
      <c r="G1814" t="s">
        <v>101</v>
      </c>
      <c r="H1814">
        <v>2026</v>
      </c>
      <c r="I1814">
        <v>1621</v>
      </c>
      <c r="J1814">
        <v>5.7</v>
      </c>
      <c r="K1814" t="s">
        <v>21</v>
      </c>
      <c r="L1814">
        <v>10.199999999999999</v>
      </c>
      <c r="M1814">
        <v>8</v>
      </c>
      <c r="N1814">
        <v>9087</v>
      </c>
      <c r="O1814" t="s">
        <v>55</v>
      </c>
      <c r="P1814">
        <v>14.7</v>
      </c>
      <c r="Q1814" t="s">
        <v>56</v>
      </c>
      <c r="R1814">
        <v>76.5</v>
      </c>
      <c r="S1814">
        <v>49.1</v>
      </c>
      <c r="T1814">
        <v>11.4</v>
      </c>
      <c r="U1814">
        <v>6.2</v>
      </c>
      <c r="V1814">
        <v>8.3000000000000007</v>
      </c>
      <c r="W1814">
        <v>6.9</v>
      </c>
      <c r="X1814" t="s">
        <v>57</v>
      </c>
    </row>
    <row r="1815" spans="2:24" x14ac:dyDescent="0.3">
      <c r="B1815" t="s">
        <v>1908</v>
      </c>
      <c r="C1815" t="s">
        <v>106</v>
      </c>
      <c r="D1815" t="s">
        <v>3</v>
      </c>
      <c r="E1815" t="s">
        <v>18</v>
      </c>
      <c r="F1815" t="s">
        <v>9</v>
      </c>
      <c r="G1815" t="s">
        <v>101</v>
      </c>
      <c r="H1815">
        <v>2026</v>
      </c>
      <c r="I1815">
        <v>18528</v>
      </c>
      <c r="J1815">
        <v>39.299999999999997</v>
      </c>
      <c r="K1815" t="s">
        <v>22</v>
      </c>
      <c r="L1815">
        <v>6.6</v>
      </c>
      <c r="M1815">
        <v>10</v>
      </c>
      <c r="N1815">
        <v>1274</v>
      </c>
      <c r="O1815" t="s">
        <v>75</v>
      </c>
      <c r="P1815">
        <v>33</v>
      </c>
      <c r="Q1815" t="s">
        <v>86</v>
      </c>
      <c r="R1815">
        <v>81.8</v>
      </c>
      <c r="S1815">
        <v>25.5</v>
      </c>
      <c r="T1815">
        <v>-6.5</v>
      </c>
      <c r="U1815">
        <v>4.5</v>
      </c>
      <c r="V1815">
        <v>4.2</v>
      </c>
      <c r="W1815">
        <v>2.8</v>
      </c>
      <c r="X1815" t="s">
        <v>66</v>
      </c>
    </row>
    <row r="1816" spans="2:24" x14ac:dyDescent="0.3">
      <c r="B1816" t="s">
        <v>1909</v>
      </c>
      <c r="C1816" t="s">
        <v>90</v>
      </c>
      <c r="D1816" t="s">
        <v>5</v>
      </c>
      <c r="E1816" t="s">
        <v>17</v>
      </c>
      <c r="F1816" t="s">
        <v>9</v>
      </c>
      <c r="G1816" t="s">
        <v>104</v>
      </c>
      <c r="H1816">
        <v>2025</v>
      </c>
      <c r="I1816">
        <v>3355</v>
      </c>
      <c r="J1816">
        <v>1.2</v>
      </c>
      <c r="K1816" t="s">
        <v>22</v>
      </c>
      <c r="L1816">
        <v>1.8</v>
      </c>
      <c r="M1816">
        <v>1.5</v>
      </c>
      <c r="N1816">
        <v>801</v>
      </c>
      <c r="O1816" t="s">
        <v>55</v>
      </c>
      <c r="P1816">
        <v>46.7</v>
      </c>
      <c r="Q1816" t="s">
        <v>56</v>
      </c>
      <c r="R1816">
        <v>1.5</v>
      </c>
      <c r="S1816">
        <v>33.1</v>
      </c>
      <c r="T1816">
        <v>6.3</v>
      </c>
      <c r="U1816">
        <v>1.7</v>
      </c>
      <c r="V1816">
        <v>6.1</v>
      </c>
      <c r="W1816">
        <v>8.8000000000000007</v>
      </c>
      <c r="X1816" t="s">
        <v>116</v>
      </c>
    </row>
    <row r="1817" spans="2:24" x14ac:dyDescent="0.3">
      <c r="B1817" t="s">
        <v>1910</v>
      </c>
      <c r="C1817" t="s">
        <v>90</v>
      </c>
      <c r="D1817" t="s">
        <v>6</v>
      </c>
      <c r="E1817" t="s">
        <v>16</v>
      </c>
      <c r="F1817" t="s">
        <v>12</v>
      </c>
      <c r="G1817" t="s">
        <v>112</v>
      </c>
      <c r="H1817">
        <v>2026</v>
      </c>
      <c r="I1817">
        <v>975</v>
      </c>
      <c r="J1817">
        <v>9.5</v>
      </c>
      <c r="K1817" t="s">
        <v>22</v>
      </c>
      <c r="L1817">
        <v>3.4</v>
      </c>
      <c r="M1817">
        <v>7.5</v>
      </c>
      <c r="N1817">
        <v>2190</v>
      </c>
      <c r="O1817" t="s">
        <v>55</v>
      </c>
      <c r="P1817">
        <v>88.3</v>
      </c>
      <c r="Q1817" t="s">
        <v>79</v>
      </c>
      <c r="R1817">
        <v>39.6</v>
      </c>
      <c r="S1817">
        <v>20.6</v>
      </c>
      <c r="T1817">
        <v>5.6</v>
      </c>
      <c r="U1817">
        <v>5</v>
      </c>
      <c r="V1817">
        <v>7.2</v>
      </c>
      <c r="W1817">
        <v>6.6</v>
      </c>
      <c r="X1817" t="s">
        <v>57</v>
      </c>
    </row>
    <row r="1818" spans="2:24" x14ac:dyDescent="0.3">
      <c r="B1818" t="s">
        <v>1911</v>
      </c>
      <c r="C1818" t="s">
        <v>27</v>
      </c>
      <c r="D1818" t="s">
        <v>3</v>
      </c>
      <c r="E1818" t="s">
        <v>14</v>
      </c>
      <c r="F1818" t="s">
        <v>11</v>
      </c>
      <c r="G1818" t="s">
        <v>112</v>
      </c>
      <c r="H1818">
        <v>2024</v>
      </c>
      <c r="I1818">
        <v>10596</v>
      </c>
      <c r="J1818">
        <v>24.8</v>
      </c>
      <c r="K1818" t="s">
        <v>25</v>
      </c>
      <c r="L1818">
        <v>10.199999999999999</v>
      </c>
      <c r="M1818">
        <v>10</v>
      </c>
      <c r="N1818">
        <v>1702</v>
      </c>
      <c r="O1818" t="s">
        <v>64</v>
      </c>
      <c r="P1818">
        <v>69.3</v>
      </c>
      <c r="Q1818" t="s">
        <v>76</v>
      </c>
      <c r="R1818">
        <v>-33.299999999999997</v>
      </c>
      <c r="S1818">
        <v>52.5</v>
      </c>
      <c r="T1818">
        <v>13.4</v>
      </c>
      <c r="U1818">
        <v>7.4</v>
      </c>
      <c r="V1818">
        <v>7.1</v>
      </c>
      <c r="W1818">
        <v>4.4000000000000004</v>
      </c>
      <c r="X1818" t="s">
        <v>66</v>
      </c>
    </row>
    <row r="1819" spans="2:24" x14ac:dyDescent="0.3">
      <c r="B1819" t="s">
        <v>1912</v>
      </c>
      <c r="C1819" t="s">
        <v>106</v>
      </c>
      <c r="D1819" t="s">
        <v>4</v>
      </c>
      <c r="E1819" t="s">
        <v>14</v>
      </c>
      <c r="F1819" t="s">
        <v>10</v>
      </c>
      <c r="G1819" t="s">
        <v>101</v>
      </c>
      <c r="H1819">
        <v>2024</v>
      </c>
      <c r="I1819">
        <v>1258</v>
      </c>
      <c r="J1819">
        <v>8.3000000000000007</v>
      </c>
      <c r="K1819" t="s">
        <v>25</v>
      </c>
      <c r="L1819">
        <v>3.5</v>
      </c>
      <c r="M1819">
        <v>10</v>
      </c>
      <c r="N1819">
        <v>3476</v>
      </c>
      <c r="O1819" t="s">
        <v>55</v>
      </c>
      <c r="P1819">
        <v>39.299999999999997</v>
      </c>
      <c r="Q1819" t="s">
        <v>76</v>
      </c>
      <c r="R1819">
        <v>87.1</v>
      </c>
      <c r="S1819">
        <v>48.6</v>
      </c>
      <c r="T1819">
        <v>24.5</v>
      </c>
      <c r="U1819">
        <v>5.4</v>
      </c>
      <c r="V1819">
        <v>9.6</v>
      </c>
      <c r="W1819">
        <v>7.6</v>
      </c>
      <c r="X1819" t="s">
        <v>57</v>
      </c>
    </row>
    <row r="1820" spans="2:24" x14ac:dyDescent="0.3">
      <c r="B1820" t="s">
        <v>1913</v>
      </c>
      <c r="C1820" t="s">
        <v>73</v>
      </c>
      <c r="D1820" t="s">
        <v>2</v>
      </c>
      <c r="E1820" t="s">
        <v>16</v>
      </c>
      <c r="F1820" t="s">
        <v>12</v>
      </c>
      <c r="G1820" t="s">
        <v>104</v>
      </c>
      <c r="H1820">
        <v>2026</v>
      </c>
      <c r="I1820">
        <v>2575</v>
      </c>
      <c r="J1820">
        <v>5.8</v>
      </c>
      <c r="K1820" t="s">
        <v>25</v>
      </c>
      <c r="L1820">
        <v>8.3000000000000007</v>
      </c>
      <c r="M1820">
        <v>10</v>
      </c>
      <c r="N1820">
        <v>4839</v>
      </c>
      <c r="O1820" t="s">
        <v>55</v>
      </c>
      <c r="P1820">
        <v>46.3</v>
      </c>
      <c r="Q1820" t="s">
        <v>76</v>
      </c>
      <c r="R1820">
        <v>40.200000000000003</v>
      </c>
      <c r="S1820">
        <v>11.8</v>
      </c>
      <c r="T1820">
        <v>6.5</v>
      </c>
      <c r="U1820">
        <v>9.4</v>
      </c>
      <c r="V1820">
        <v>7.4</v>
      </c>
      <c r="W1820">
        <v>6.2</v>
      </c>
      <c r="X1820" t="s">
        <v>116</v>
      </c>
    </row>
    <row r="1821" spans="2:24" x14ac:dyDescent="0.3">
      <c r="B1821" t="s">
        <v>1914</v>
      </c>
      <c r="C1821" t="s">
        <v>100</v>
      </c>
      <c r="D1821" t="s">
        <v>3</v>
      </c>
      <c r="E1821" t="s">
        <v>15</v>
      </c>
      <c r="F1821" t="s">
        <v>12</v>
      </c>
      <c r="G1821" t="s">
        <v>98</v>
      </c>
      <c r="H1821">
        <v>2025</v>
      </c>
      <c r="I1821">
        <v>140</v>
      </c>
      <c r="J1821">
        <v>4.2</v>
      </c>
      <c r="K1821" t="s">
        <v>23</v>
      </c>
      <c r="L1821">
        <v>1.5</v>
      </c>
      <c r="M1821">
        <v>2.2999999999999998</v>
      </c>
      <c r="N1821">
        <v>5237</v>
      </c>
      <c r="O1821" t="s">
        <v>64</v>
      </c>
      <c r="P1821">
        <v>36.1</v>
      </c>
      <c r="Q1821" t="s">
        <v>79</v>
      </c>
      <c r="R1821">
        <v>86.6</v>
      </c>
      <c r="S1821">
        <v>25</v>
      </c>
      <c r="T1821">
        <v>16</v>
      </c>
      <c r="U1821">
        <v>1</v>
      </c>
      <c r="V1821">
        <v>6.4</v>
      </c>
      <c r="W1821">
        <v>7.7</v>
      </c>
      <c r="X1821" t="s">
        <v>57</v>
      </c>
    </row>
    <row r="1822" spans="2:24" x14ac:dyDescent="0.3">
      <c r="B1822" t="s">
        <v>1915</v>
      </c>
      <c r="C1822" t="s">
        <v>106</v>
      </c>
      <c r="D1822" t="s">
        <v>8</v>
      </c>
      <c r="E1822" t="s">
        <v>15</v>
      </c>
      <c r="F1822" t="s">
        <v>11</v>
      </c>
      <c r="G1822" t="s">
        <v>54</v>
      </c>
      <c r="H1822">
        <v>2026</v>
      </c>
      <c r="I1822">
        <v>658</v>
      </c>
      <c r="J1822">
        <v>1.3</v>
      </c>
      <c r="K1822" t="s">
        <v>25</v>
      </c>
      <c r="L1822">
        <v>5.9</v>
      </c>
      <c r="M1822">
        <v>7.5</v>
      </c>
      <c r="N1822">
        <v>5880</v>
      </c>
      <c r="O1822" t="s">
        <v>55</v>
      </c>
      <c r="P1822">
        <v>29.8</v>
      </c>
      <c r="Q1822" t="s">
        <v>79</v>
      </c>
      <c r="R1822">
        <v>-40.299999999999997</v>
      </c>
      <c r="S1822">
        <v>-3.2</v>
      </c>
      <c r="T1822">
        <v>0.6</v>
      </c>
      <c r="U1822">
        <v>5.3</v>
      </c>
      <c r="V1822">
        <v>8</v>
      </c>
      <c r="W1822">
        <v>6</v>
      </c>
      <c r="X1822" t="s">
        <v>57</v>
      </c>
    </row>
    <row r="1823" spans="2:24" x14ac:dyDescent="0.3">
      <c r="B1823" t="s">
        <v>1916</v>
      </c>
      <c r="C1823" t="s">
        <v>142</v>
      </c>
      <c r="D1823" t="s">
        <v>2</v>
      </c>
      <c r="E1823" t="s">
        <v>17</v>
      </c>
      <c r="F1823" t="s">
        <v>10</v>
      </c>
      <c r="G1823" t="s">
        <v>54</v>
      </c>
      <c r="H1823">
        <v>2025</v>
      </c>
      <c r="I1823">
        <v>989</v>
      </c>
      <c r="J1823">
        <v>17.5</v>
      </c>
      <c r="K1823" t="s">
        <v>25</v>
      </c>
      <c r="L1823">
        <v>5.9</v>
      </c>
      <c r="M1823">
        <v>9</v>
      </c>
      <c r="N1823">
        <v>2878</v>
      </c>
      <c r="O1823" t="s">
        <v>64</v>
      </c>
      <c r="P1823">
        <v>73.099999999999994</v>
      </c>
      <c r="Q1823" t="s">
        <v>56</v>
      </c>
      <c r="R1823">
        <v>-22.4</v>
      </c>
      <c r="S1823">
        <v>13.2</v>
      </c>
      <c r="T1823">
        <v>11.5</v>
      </c>
      <c r="U1823">
        <v>5.8</v>
      </c>
      <c r="V1823">
        <v>7</v>
      </c>
      <c r="W1823">
        <v>4.5999999999999996</v>
      </c>
      <c r="X1823" t="s">
        <v>116</v>
      </c>
    </row>
    <row r="1824" spans="2:24" x14ac:dyDescent="0.3">
      <c r="B1824" t="s">
        <v>1917</v>
      </c>
      <c r="C1824" t="s">
        <v>159</v>
      </c>
      <c r="D1824" t="s">
        <v>7</v>
      </c>
      <c r="E1824" t="s">
        <v>19</v>
      </c>
      <c r="F1824" t="s">
        <v>10</v>
      </c>
      <c r="G1824" t="s">
        <v>101</v>
      </c>
      <c r="H1824">
        <v>2025</v>
      </c>
      <c r="I1824">
        <v>6696</v>
      </c>
      <c r="J1824">
        <v>13.6</v>
      </c>
      <c r="K1824" t="s">
        <v>24</v>
      </c>
      <c r="L1824">
        <v>8.6999999999999993</v>
      </c>
      <c r="M1824">
        <v>10</v>
      </c>
      <c r="N1824">
        <v>732</v>
      </c>
      <c r="O1824" t="s">
        <v>55</v>
      </c>
      <c r="P1824">
        <v>65</v>
      </c>
      <c r="Q1824" t="s">
        <v>79</v>
      </c>
      <c r="R1824">
        <v>12.1</v>
      </c>
      <c r="S1824">
        <v>47.6</v>
      </c>
      <c r="T1824">
        <v>29.5</v>
      </c>
      <c r="U1824">
        <v>9.9</v>
      </c>
      <c r="V1824">
        <v>6.9</v>
      </c>
      <c r="W1824">
        <v>5.8</v>
      </c>
      <c r="X1824" t="s">
        <v>116</v>
      </c>
    </row>
    <row r="1825" spans="2:24" x14ac:dyDescent="0.3">
      <c r="B1825" t="s">
        <v>1918</v>
      </c>
      <c r="C1825" t="s">
        <v>90</v>
      </c>
      <c r="D1825" t="s">
        <v>3</v>
      </c>
      <c r="E1825" t="s">
        <v>18</v>
      </c>
      <c r="F1825" t="s">
        <v>10</v>
      </c>
      <c r="G1825" t="s">
        <v>78</v>
      </c>
      <c r="H1825">
        <v>2026</v>
      </c>
      <c r="I1825">
        <v>7162</v>
      </c>
      <c r="J1825">
        <v>8</v>
      </c>
      <c r="K1825" t="s">
        <v>24</v>
      </c>
      <c r="L1825">
        <v>12.9</v>
      </c>
      <c r="M1825">
        <v>10</v>
      </c>
      <c r="N1825">
        <v>1123</v>
      </c>
      <c r="O1825" t="s">
        <v>64</v>
      </c>
      <c r="P1825">
        <v>56.1</v>
      </c>
      <c r="Q1825" t="s">
        <v>79</v>
      </c>
      <c r="R1825">
        <v>45.5</v>
      </c>
      <c r="S1825">
        <v>27.9</v>
      </c>
      <c r="T1825">
        <v>15</v>
      </c>
      <c r="U1825">
        <v>8.1999999999999993</v>
      </c>
      <c r="V1825">
        <v>7.3</v>
      </c>
      <c r="W1825">
        <v>6.4</v>
      </c>
      <c r="X1825" t="s">
        <v>66</v>
      </c>
    </row>
    <row r="1826" spans="2:24" x14ac:dyDescent="0.3">
      <c r="B1826" t="s">
        <v>1919</v>
      </c>
      <c r="C1826" t="s">
        <v>106</v>
      </c>
      <c r="D1826" t="s">
        <v>8</v>
      </c>
      <c r="E1826" t="s">
        <v>15</v>
      </c>
      <c r="F1826" t="s">
        <v>9</v>
      </c>
      <c r="G1826" t="s">
        <v>115</v>
      </c>
      <c r="H1826">
        <v>2026</v>
      </c>
      <c r="I1826">
        <v>1822</v>
      </c>
      <c r="J1826">
        <v>3.7</v>
      </c>
      <c r="K1826" t="s">
        <v>24</v>
      </c>
      <c r="L1826">
        <v>4.3</v>
      </c>
      <c r="M1826">
        <v>1.5</v>
      </c>
      <c r="N1826">
        <v>2165</v>
      </c>
      <c r="O1826" t="s">
        <v>55</v>
      </c>
      <c r="P1826">
        <v>65.3</v>
      </c>
      <c r="Q1826" t="s">
        <v>86</v>
      </c>
      <c r="R1826">
        <v>30.8</v>
      </c>
      <c r="S1826">
        <v>56.5</v>
      </c>
      <c r="T1826">
        <v>26.9</v>
      </c>
      <c r="U1826">
        <v>2.9</v>
      </c>
      <c r="V1826">
        <v>8.1</v>
      </c>
      <c r="W1826">
        <v>8.5</v>
      </c>
      <c r="X1826" t="s">
        <v>57</v>
      </c>
    </row>
    <row r="1827" spans="2:24" x14ac:dyDescent="0.3">
      <c r="B1827" t="s">
        <v>1920</v>
      </c>
      <c r="C1827" t="s">
        <v>83</v>
      </c>
      <c r="D1827" t="s">
        <v>4</v>
      </c>
      <c r="E1827" t="s">
        <v>16</v>
      </c>
      <c r="F1827" t="s">
        <v>12</v>
      </c>
      <c r="G1827" t="s">
        <v>63</v>
      </c>
      <c r="H1827">
        <v>2025</v>
      </c>
      <c r="I1827">
        <v>1668</v>
      </c>
      <c r="J1827">
        <v>9.6</v>
      </c>
      <c r="K1827" t="s">
        <v>22</v>
      </c>
      <c r="L1827">
        <v>2</v>
      </c>
      <c r="M1827">
        <v>5.4</v>
      </c>
      <c r="N1827">
        <v>4732</v>
      </c>
      <c r="O1827" t="s">
        <v>55</v>
      </c>
      <c r="P1827">
        <v>31.7</v>
      </c>
      <c r="Q1827" t="s">
        <v>88</v>
      </c>
      <c r="R1827">
        <v>56.3</v>
      </c>
      <c r="S1827">
        <v>14.7</v>
      </c>
      <c r="T1827">
        <v>8.4</v>
      </c>
      <c r="U1827">
        <v>3.2</v>
      </c>
      <c r="V1827">
        <v>7.6</v>
      </c>
      <c r="W1827">
        <v>5.5</v>
      </c>
      <c r="X1827" t="s">
        <v>57</v>
      </c>
    </row>
    <row r="1828" spans="2:24" x14ac:dyDescent="0.3">
      <c r="B1828" t="s">
        <v>1921</v>
      </c>
      <c r="C1828" t="s">
        <v>83</v>
      </c>
      <c r="D1828" t="s">
        <v>4</v>
      </c>
      <c r="E1828" t="s">
        <v>17</v>
      </c>
      <c r="F1828" t="s">
        <v>9</v>
      </c>
      <c r="G1828" t="s">
        <v>63</v>
      </c>
      <c r="H1828">
        <v>2026</v>
      </c>
      <c r="I1828">
        <v>1897</v>
      </c>
      <c r="J1828">
        <v>1.2</v>
      </c>
      <c r="K1828" t="s">
        <v>24</v>
      </c>
      <c r="L1828">
        <v>10.3</v>
      </c>
      <c r="M1828">
        <v>8.9</v>
      </c>
      <c r="N1828">
        <v>1351</v>
      </c>
      <c r="O1828" t="s">
        <v>55</v>
      </c>
      <c r="P1828">
        <v>87.2</v>
      </c>
      <c r="Q1828" t="s">
        <v>65</v>
      </c>
      <c r="R1828">
        <v>38.1</v>
      </c>
      <c r="S1828">
        <v>54.1</v>
      </c>
      <c r="T1828">
        <v>27.2</v>
      </c>
      <c r="U1828">
        <v>8.9</v>
      </c>
      <c r="V1828">
        <v>7.5</v>
      </c>
      <c r="W1828">
        <v>7.6</v>
      </c>
      <c r="X1828" t="s">
        <v>57</v>
      </c>
    </row>
    <row r="1829" spans="2:24" x14ac:dyDescent="0.3">
      <c r="B1829" t="s">
        <v>1922</v>
      </c>
      <c r="C1829" t="s">
        <v>27</v>
      </c>
      <c r="D1829" t="s">
        <v>3</v>
      </c>
      <c r="E1829" t="s">
        <v>19</v>
      </c>
      <c r="F1829" t="s">
        <v>12</v>
      </c>
      <c r="G1829" t="s">
        <v>131</v>
      </c>
      <c r="H1829">
        <v>2025</v>
      </c>
      <c r="I1829">
        <v>899</v>
      </c>
      <c r="J1829">
        <v>9.8000000000000007</v>
      </c>
      <c r="K1829" t="s">
        <v>24</v>
      </c>
      <c r="L1829">
        <v>1.9</v>
      </c>
      <c r="M1829">
        <v>3.4</v>
      </c>
      <c r="N1829">
        <v>5829</v>
      </c>
      <c r="O1829" t="s">
        <v>64</v>
      </c>
      <c r="P1829">
        <v>62.6</v>
      </c>
      <c r="Q1829" t="s">
        <v>79</v>
      </c>
      <c r="R1829">
        <v>49</v>
      </c>
      <c r="S1829">
        <v>0.8</v>
      </c>
      <c r="T1829">
        <v>5.4</v>
      </c>
      <c r="U1829">
        <v>1.7</v>
      </c>
      <c r="V1829">
        <v>7.1</v>
      </c>
      <c r="W1829">
        <v>7.1</v>
      </c>
      <c r="X1829" t="s">
        <v>57</v>
      </c>
    </row>
    <row r="1830" spans="2:24" x14ac:dyDescent="0.3">
      <c r="B1830" t="s">
        <v>1923</v>
      </c>
      <c r="C1830" t="s">
        <v>106</v>
      </c>
      <c r="D1830" t="s">
        <v>8</v>
      </c>
      <c r="E1830" t="s">
        <v>17</v>
      </c>
      <c r="F1830" t="s">
        <v>12</v>
      </c>
      <c r="G1830" t="s">
        <v>98</v>
      </c>
      <c r="H1830">
        <v>2026</v>
      </c>
      <c r="I1830">
        <v>15901</v>
      </c>
      <c r="J1830">
        <v>13.2</v>
      </c>
      <c r="K1830" t="s">
        <v>25</v>
      </c>
      <c r="L1830">
        <v>7.8</v>
      </c>
      <c r="M1830">
        <v>9.5</v>
      </c>
      <c r="N1830">
        <v>1486</v>
      </c>
      <c r="O1830" t="s">
        <v>64</v>
      </c>
      <c r="P1830">
        <v>20.2</v>
      </c>
      <c r="Q1830" t="s">
        <v>65</v>
      </c>
      <c r="R1830">
        <v>27.8</v>
      </c>
      <c r="S1830">
        <v>29.4</v>
      </c>
      <c r="T1830">
        <v>5.2</v>
      </c>
      <c r="U1830">
        <v>6.2</v>
      </c>
      <c r="V1830">
        <v>8.8000000000000007</v>
      </c>
      <c r="W1830">
        <v>6.3</v>
      </c>
      <c r="X1830" t="s">
        <v>66</v>
      </c>
    </row>
    <row r="1831" spans="2:24" x14ac:dyDescent="0.3">
      <c r="B1831" t="s">
        <v>1924</v>
      </c>
      <c r="C1831" t="s">
        <v>106</v>
      </c>
      <c r="D1831" t="s">
        <v>8</v>
      </c>
      <c r="E1831" t="s">
        <v>19</v>
      </c>
      <c r="F1831" t="s">
        <v>12</v>
      </c>
      <c r="G1831" t="s">
        <v>54</v>
      </c>
      <c r="H1831">
        <v>2024</v>
      </c>
      <c r="I1831">
        <v>2021</v>
      </c>
      <c r="J1831">
        <v>8.1999999999999993</v>
      </c>
      <c r="K1831" t="s">
        <v>21</v>
      </c>
      <c r="L1831">
        <v>2.6</v>
      </c>
      <c r="M1831">
        <v>6.3</v>
      </c>
      <c r="N1831">
        <v>2948</v>
      </c>
      <c r="O1831" t="s">
        <v>64</v>
      </c>
      <c r="P1831">
        <v>46.7</v>
      </c>
      <c r="Q1831" t="s">
        <v>56</v>
      </c>
      <c r="R1831">
        <v>36.700000000000003</v>
      </c>
      <c r="S1831">
        <v>11.9</v>
      </c>
      <c r="T1831">
        <v>-4.5999999999999996</v>
      </c>
      <c r="U1831">
        <v>2.2999999999999998</v>
      </c>
      <c r="V1831">
        <v>6.5</v>
      </c>
      <c r="W1831">
        <v>6.7</v>
      </c>
      <c r="X1831" t="s">
        <v>57</v>
      </c>
    </row>
    <row r="1832" spans="2:24" x14ac:dyDescent="0.3">
      <c r="B1832" t="s">
        <v>1925</v>
      </c>
      <c r="C1832" t="s">
        <v>159</v>
      </c>
      <c r="D1832" t="s">
        <v>7</v>
      </c>
      <c r="E1832" t="s">
        <v>19</v>
      </c>
      <c r="F1832" t="s">
        <v>12</v>
      </c>
      <c r="G1832" t="s">
        <v>74</v>
      </c>
      <c r="H1832">
        <v>2024</v>
      </c>
      <c r="I1832">
        <v>1706</v>
      </c>
      <c r="J1832">
        <v>14.6</v>
      </c>
      <c r="K1832" t="s">
        <v>23</v>
      </c>
      <c r="L1832">
        <v>5</v>
      </c>
      <c r="M1832">
        <v>10</v>
      </c>
      <c r="N1832">
        <v>5813</v>
      </c>
      <c r="O1832" t="s">
        <v>55</v>
      </c>
      <c r="P1832">
        <v>30.2</v>
      </c>
      <c r="Q1832" t="s">
        <v>65</v>
      </c>
      <c r="R1832">
        <v>43.3</v>
      </c>
      <c r="S1832">
        <v>5.8</v>
      </c>
      <c r="T1832">
        <v>-1.3</v>
      </c>
      <c r="U1832">
        <v>7.4</v>
      </c>
      <c r="V1832">
        <v>6.2</v>
      </c>
      <c r="W1832">
        <v>3.8</v>
      </c>
      <c r="X1832" t="s">
        <v>116</v>
      </c>
    </row>
    <row r="1833" spans="2:24" x14ac:dyDescent="0.3">
      <c r="B1833" t="s">
        <v>1926</v>
      </c>
      <c r="C1833" t="s">
        <v>53</v>
      </c>
      <c r="D1833" t="s">
        <v>7</v>
      </c>
      <c r="E1833" t="s">
        <v>19</v>
      </c>
      <c r="F1833" t="s">
        <v>12</v>
      </c>
      <c r="G1833" t="s">
        <v>131</v>
      </c>
      <c r="H1833">
        <v>2024</v>
      </c>
      <c r="I1833">
        <v>1834</v>
      </c>
      <c r="J1833">
        <v>13.8</v>
      </c>
      <c r="K1833" t="s">
        <v>25</v>
      </c>
      <c r="L1833">
        <v>4</v>
      </c>
      <c r="M1833">
        <v>5.9</v>
      </c>
      <c r="N1833">
        <v>4457</v>
      </c>
      <c r="O1833" t="s">
        <v>64</v>
      </c>
      <c r="P1833">
        <v>40.299999999999997</v>
      </c>
      <c r="Q1833" t="s">
        <v>86</v>
      </c>
      <c r="R1833">
        <v>13.3</v>
      </c>
      <c r="S1833">
        <v>45.4</v>
      </c>
      <c r="T1833">
        <v>13.7</v>
      </c>
      <c r="U1833">
        <v>6.5</v>
      </c>
      <c r="V1833">
        <v>8.5</v>
      </c>
      <c r="W1833">
        <v>7.7</v>
      </c>
      <c r="X1833" t="s">
        <v>116</v>
      </c>
    </row>
    <row r="1834" spans="2:24" x14ac:dyDescent="0.3">
      <c r="B1834" t="s">
        <v>1927</v>
      </c>
      <c r="C1834" t="s">
        <v>92</v>
      </c>
      <c r="D1834" t="s">
        <v>7</v>
      </c>
      <c r="E1834" t="s">
        <v>18</v>
      </c>
      <c r="F1834" t="s">
        <v>12</v>
      </c>
      <c r="G1834" t="s">
        <v>104</v>
      </c>
      <c r="H1834">
        <v>2025</v>
      </c>
      <c r="I1834">
        <v>6380</v>
      </c>
      <c r="J1834">
        <v>23.3</v>
      </c>
      <c r="K1834" t="s">
        <v>25</v>
      </c>
      <c r="L1834">
        <v>12.9</v>
      </c>
      <c r="M1834">
        <v>10</v>
      </c>
      <c r="N1834">
        <v>1396</v>
      </c>
      <c r="O1834" t="s">
        <v>64</v>
      </c>
      <c r="P1834">
        <v>64.2</v>
      </c>
      <c r="Q1834" t="s">
        <v>65</v>
      </c>
      <c r="R1834">
        <v>-18</v>
      </c>
      <c r="S1834">
        <v>38.6</v>
      </c>
      <c r="T1834">
        <v>7.3</v>
      </c>
      <c r="U1834">
        <v>8.6999999999999993</v>
      </c>
      <c r="V1834">
        <v>7.3</v>
      </c>
      <c r="W1834">
        <v>5.5</v>
      </c>
      <c r="X1834" t="s">
        <v>66</v>
      </c>
    </row>
    <row r="1835" spans="2:24" x14ac:dyDescent="0.3">
      <c r="B1835" t="s">
        <v>1928</v>
      </c>
      <c r="C1835" t="s">
        <v>137</v>
      </c>
      <c r="D1835" t="s">
        <v>4</v>
      </c>
      <c r="E1835" t="s">
        <v>19</v>
      </c>
      <c r="F1835" t="s">
        <v>10</v>
      </c>
      <c r="G1835" t="s">
        <v>101</v>
      </c>
      <c r="H1835">
        <v>2024</v>
      </c>
      <c r="I1835">
        <v>1569</v>
      </c>
      <c r="J1835">
        <v>3.5</v>
      </c>
      <c r="K1835" t="s">
        <v>21</v>
      </c>
      <c r="L1835">
        <v>7.8</v>
      </c>
      <c r="M1835">
        <v>5.9</v>
      </c>
      <c r="N1835">
        <v>3939</v>
      </c>
      <c r="O1835" t="s">
        <v>55</v>
      </c>
      <c r="P1835">
        <v>49.6</v>
      </c>
      <c r="Q1835" t="s">
        <v>84</v>
      </c>
      <c r="R1835">
        <v>-37.9</v>
      </c>
      <c r="S1835">
        <v>-20.6</v>
      </c>
      <c r="T1835">
        <v>-8.3000000000000007</v>
      </c>
      <c r="U1835">
        <v>5.6</v>
      </c>
      <c r="V1835">
        <v>5.4</v>
      </c>
      <c r="W1835">
        <v>6.5</v>
      </c>
      <c r="X1835" t="s">
        <v>57</v>
      </c>
    </row>
    <row r="1836" spans="2:24" x14ac:dyDescent="0.3">
      <c r="B1836" t="s">
        <v>1929</v>
      </c>
      <c r="C1836" t="s">
        <v>106</v>
      </c>
      <c r="D1836" t="s">
        <v>7</v>
      </c>
      <c r="E1836" t="s">
        <v>17</v>
      </c>
      <c r="F1836" t="s">
        <v>12</v>
      </c>
      <c r="G1836" t="s">
        <v>112</v>
      </c>
      <c r="H1836">
        <v>2024</v>
      </c>
      <c r="I1836">
        <v>368</v>
      </c>
      <c r="J1836">
        <v>0.6</v>
      </c>
      <c r="K1836" t="s">
        <v>23</v>
      </c>
      <c r="L1836">
        <v>2.1</v>
      </c>
      <c r="M1836">
        <v>2.6</v>
      </c>
      <c r="N1836">
        <v>5713</v>
      </c>
      <c r="O1836" t="s">
        <v>55</v>
      </c>
      <c r="P1836">
        <v>62.9</v>
      </c>
      <c r="Q1836" t="s">
        <v>86</v>
      </c>
      <c r="R1836">
        <v>22.7</v>
      </c>
      <c r="S1836">
        <v>47.3</v>
      </c>
      <c r="T1836">
        <v>23.2</v>
      </c>
      <c r="U1836">
        <v>2.2000000000000002</v>
      </c>
      <c r="V1836">
        <v>7.3</v>
      </c>
      <c r="W1836">
        <v>9.6</v>
      </c>
      <c r="X1836" t="s">
        <v>57</v>
      </c>
    </row>
    <row r="1837" spans="2:24" x14ac:dyDescent="0.3">
      <c r="B1837" t="s">
        <v>1930</v>
      </c>
      <c r="C1837" t="s">
        <v>139</v>
      </c>
      <c r="D1837" t="s">
        <v>8</v>
      </c>
      <c r="E1837" t="s">
        <v>17</v>
      </c>
      <c r="F1837" t="s">
        <v>11</v>
      </c>
      <c r="G1837" t="s">
        <v>112</v>
      </c>
      <c r="H1837">
        <v>2025</v>
      </c>
      <c r="I1837">
        <v>1107</v>
      </c>
      <c r="J1837">
        <v>4.7</v>
      </c>
      <c r="K1837" t="s">
        <v>21</v>
      </c>
      <c r="L1837">
        <v>6.1</v>
      </c>
      <c r="M1837">
        <v>6.5</v>
      </c>
      <c r="N1837">
        <v>4428</v>
      </c>
      <c r="O1837" t="s">
        <v>55</v>
      </c>
      <c r="P1837">
        <v>76.400000000000006</v>
      </c>
      <c r="Q1837" t="s">
        <v>79</v>
      </c>
      <c r="R1837">
        <v>82.1</v>
      </c>
      <c r="S1837">
        <v>56.3</v>
      </c>
      <c r="T1837">
        <v>15.8</v>
      </c>
      <c r="U1837">
        <v>5</v>
      </c>
      <c r="V1837">
        <v>9.8000000000000007</v>
      </c>
      <c r="W1837">
        <v>8.6</v>
      </c>
      <c r="X1837" t="s">
        <v>57</v>
      </c>
    </row>
    <row r="1838" spans="2:24" x14ac:dyDescent="0.3">
      <c r="B1838" t="s">
        <v>1931</v>
      </c>
      <c r="C1838" t="s">
        <v>73</v>
      </c>
      <c r="D1838" t="s">
        <v>2</v>
      </c>
      <c r="E1838" t="s">
        <v>19</v>
      </c>
      <c r="F1838" t="s">
        <v>9</v>
      </c>
      <c r="G1838" t="s">
        <v>115</v>
      </c>
      <c r="H1838">
        <v>2026</v>
      </c>
      <c r="I1838">
        <v>2470</v>
      </c>
      <c r="J1838">
        <v>8.8000000000000007</v>
      </c>
      <c r="K1838" t="s">
        <v>24</v>
      </c>
      <c r="L1838">
        <v>5.2</v>
      </c>
      <c r="M1838">
        <v>10</v>
      </c>
      <c r="N1838">
        <v>7875</v>
      </c>
      <c r="O1838" t="s">
        <v>55</v>
      </c>
      <c r="P1838">
        <v>78.2</v>
      </c>
      <c r="Q1838" t="s">
        <v>76</v>
      </c>
      <c r="R1838">
        <v>-14.6</v>
      </c>
      <c r="S1838">
        <v>-2.6</v>
      </c>
      <c r="T1838">
        <v>4</v>
      </c>
      <c r="U1838">
        <v>5.8</v>
      </c>
      <c r="V1838">
        <v>6.7</v>
      </c>
      <c r="W1838">
        <v>4.3</v>
      </c>
      <c r="X1838" t="s">
        <v>57</v>
      </c>
    </row>
    <row r="1839" spans="2:24" x14ac:dyDescent="0.3">
      <c r="B1839" t="s">
        <v>1932</v>
      </c>
      <c r="C1839" t="s">
        <v>73</v>
      </c>
      <c r="D1839" t="s">
        <v>3</v>
      </c>
      <c r="E1839" t="s">
        <v>17</v>
      </c>
      <c r="F1839" t="s">
        <v>11</v>
      </c>
      <c r="G1839" t="s">
        <v>112</v>
      </c>
      <c r="H1839">
        <v>2024</v>
      </c>
      <c r="I1839">
        <v>4478</v>
      </c>
      <c r="J1839">
        <v>16.399999999999999</v>
      </c>
      <c r="K1839" t="s">
        <v>24</v>
      </c>
      <c r="L1839">
        <v>4.3</v>
      </c>
      <c r="M1839">
        <v>9.4</v>
      </c>
      <c r="N1839">
        <v>2500</v>
      </c>
      <c r="O1839" t="s">
        <v>64</v>
      </c>
      <c r="P1839">
        <v>10.199999999999999</v>
      </c>
      <c r="Q1839" t="s">
        <v>76</v>
      </c>
      <c r="R1839">
        <v>82.9</v>
      </c>
      <c r="S1839">
        <v>5.0999999999999996</v>
      </c>
      <c r="T1839">
        <v>-3.7</v>
      </c>
      <c r="U1839">
        <v>6.5</v>
      </c>
      <c r="V1839">
        <v>6.3</v>
      </c>
      <c r="W1839">
        <v>5.4</v>
      </c>
      <c r="X1839" t="s">
        <v>116</v>
      </c>
    </row>
    <row r="1840" spans="2:24" x14ac:dyDescent="0.3">
      <c r="B1840" t="s">
        <v>1933</v>
      </c>
      <c r="C1840" t="s">
        <v>90</v>
      </c>
      <c r="D1840" t="s">
        <v>5</v>
      </c>
      <c r="E1840" t="s">
        <v>15</v>
      </c>
      <c r="F1840" t="s">
        <v>11</v>
      </c>
      <c r="G1840" t="s">
        <v>98</v>
      </c>
      <c r="H1840">
        <v>2024</v>
      </c>
      <c r="I1840">
        <v>666</v>
      </c>
      <c r="J1840">
        <v>7.5</v>
      </c>
      <c r="K1840" t="s">
        <v>21</v>
      </c>
      <c r="L1840">
        <v>10.7</v>
      </c>
      <c r="M1840">
        <v>10</v>
      </c>
      <c r="N1840">
        <v>578</v>
      </c>
      <c r="O1840" t="s">
        <v>64</v>
      </c>
      <c r="P1840">
        <v>79.599999999999994</v>
      </c>
      <c r="Q1840" t="s">
        <v>86</v>
      </c>
      <c r="R1840">
        <v>19.7</v>
      </c>
      <c r="S1840">
        <v>-20.9</v>
      </c>
      <c r="T1840">
        <v>-6.7</v>
      </c>
      <c r="U1840">
        <v>6.8</v>
      </c>
      <c r="V1840">
        <v>5.6</v>
      </c>
      <c r="W1840">
        <v>5.5</v>
      </c>
      <c r="X1840" t="s">
        <v>57</v>
      </c>
    </row>
    <row r="1841" spans="2:24" x14ac:dyDescent="0.3">
      <c r="B1841" t="s">
        <v>1934</v>
      </c>
      <c r="C1841" t="s">
        <v>122</v>
      </c>
      <c r="D1841" t="s">
        <v>2</v>
      </c>
      <c r="E1841" t="s">
        <v>16</v>
      </c>
      <c r="F1841" t="s">
        <v>9</v>
      </c>
      <c r="G1841" t="s">
        <v>60</v>
      </c>
      <c r="H1841">
        <v>2026</v>
      </c>
      <c r="I1841">
        <v>7240</v>
      </c>
      <c r="J1841">
        <v>27.6</v>
      </c>
      <c r="K1841" t="s">
        <v>21</v>
      </c>
      <c r="L1841">
        <v>0.8</v>
      </c>
      <c r="M1841">
        <v>6.1</v>
      </c>
      <c r="N1841">
        <v>8211</v>
      </c>
      <c r="O1841" t="s">
        <v>55</v>
      </c>
      <c r="P1841">
        <v>77</v>
      </c>
      <c r="Q1841" t="s">
        <v>56</v>
      </c>
      <c r="R1841">
        <v>-44.2</v>
      </c>
      <c r="S1841">
        <v>11.1</v>
      </c>
      <c r="T1841">
        <v>-11.5</v>
      </c>
      <c r="U1841">
        <v>1.2</v>
      </c>
      <c r="V1841">
        <v>4.2</v>
      </c>
      <c r="W1841">
        <v>5.2</v>
      </c>
      <c r="X1841" t="s">
        <v>66</v>
      </c>
    </row>
    <row r="1842" spans="2:24" x14ac:dyDescent="0.3">
      <c r="B1842" t="s">
        <v>1935</v>
      </c>
      <c r="C1842" t="s">
        <v>137</v>
      </c>
      <c r="D1842" t="s">
        <v>4</v>
      </c>
      <c r="E1842" t="s">
        <v>15</v>
      </c>
      <c r="F1842" t="s">
        <v>12</v>
      </c>
      <c r="G1842" t="s">
        <v>74</v>
      </c>
      <c r="H1842">
        <v>2025</v>
      </c>
      <c r="I1842">
        <v>11017</v>
      </c>
      <c r="J1842">
        <v>10.3</v>
      </c>
      <c r="K1842" t="s">
        <v>21</v>
      </c>
      <c r="L1842">
        <v>11.1</v>
      </c>
      <c r="M1842">
        <v>10</v>
      </c>
      <c r="N1842">
        <v>941</v>
      </c>
      <c r="O1842" t="s">
        <v>64</v>
      </c>
      <c r="P1842">
        <v>54</v>
      </c>
      <c r="Q1842" t="s">
        <v>125</v>
      </c>
      <c r="R1842">
        <v>44.3</v>
      </c>
      <c r="S1842">
        <v>1.8</v>
      </c>
      <c r="T1842">
        <v>-0.2</v>
      </c>
      <c r="U1842">
        <v>9.3000000000000007</v>
      </c>
      <c r="V1842">
        <v>4.4000000000000004</v>
      </c>
      <c r="W1842">
        <v>4.3</v>
      </c>
      <c r="X1842" t="s">
        <v>66</v>
      </c>
    </row>
    <row r="1843" spans="2:24" x14ac:dyDescent="0.3">
      <c r="B1843" t="s">
        <v>1936</v>
      </c>
      <c r="C1843" t="s">
        <v>106</v>
      </c>
      <c r="D1843" t="s">
        <v>4</v>
      </c>
      <c r="E1843" t="s">
        <v>15</v>
      </c>
      <c r="F1843" t="s">
        <v>10</v>
      </c>
      <c r="G1843" t="s">
        <v>78</v>
      </c>
      <c r="H1843">
        <v>2025</v>
      </c>
      <c r="I1843">
        <v>2054</v>
      </c>
      <c r="J1843">
        <v>2.7</v>
      </c>
      <c r="K1843" t="s">
        <v>24</v>
      </c>
      <c r="L1843">
        <v>9.6</v>
      </c>
      <c r="M1843">
        <v>10</v>
      </c>
      <c r="N1843">
        <v>516</v>
      </c>
      <c r="O1843" t="s">
        <v>55</v>
      </c>
      <c r="P1843">
        <v>24.1</v>
      </c>
      <c r="Q1843" t="s">
        <v>79</v>
      </c>
      <c r="R1843">
        <v>63.1</v>
      </c>
      <c r="S1843">
        <v>6.3</v>
      </c>
      <c r="T1843">
        <v>10.1</v>
      </c>
      <c r="U1843">
        <v>7.8</v>
      </c>
      <c r="V1843">
        <v>6.7</v>
      </c>
      <c r="W1843">
        <v>5.5</v>
      </c>
      <c r="X1843" t="s">
        <v>57</v>
      </c>
    </row>
    <row r="1844" spans="2:24" x14ac:dyDescent="0.3">
      <c r="B1844" t="s">
        <v>1937</v>
      </c>
      <c r="C1844" t="s">
        <v>159</v>
      </c>
      <c r="D1844" t="s">
        <v>2</v>
      </c>
      <c r="E1844" t="s">
        <v>17</v>
      </c>
      <c r="F1844" t="s">
        <v>9</v>
      </c>
      <c r="G1844" t="s">
        <v>131</v>
      </c>
      <c r="H1844">
        <v>2025</v>
      </c>
      <c r="I1844">
        <v>109</v>
      </c>
      <c r="J1844">
        <v>7.3</v>
      </c>
      <c r="K1844" t="s">
        <v>24</v>
      </c>
      <c r="L1844">
        <v>6.9</v>
      </c>
      <c r="M1844">
        <v>8.4</v>
      </c>
      <c r="N1844">
        <v>6754</v>
      </c>
      <c r="O1844" t="s">
        <v>118</v>
      </c>
      <c r="P1844">
        <v>43</v>
      </c>
      <c r="Q1844" t="s">
        <v>76</v>
      </c>
      <c r="R1844">
        <v>-25.7</v>
      </c>
      <c r="S1844">
        <v>35.700000000000003</v>
      </c>
      <c r="T1844">
        <v>14</v>
      </c>
      <c r="U1844">
        <v>9.8000000000000007</v>
      </c>
      <c r="V1844">
        <v>6.4</v>
      </c>
      <c r="W1844">
        <v>5.9</v>
      </c>
      <c r="X1844" t="s">
        <v>116</v>
      </c>
    </row>
    <row r="1845" spans="2:24" x14ac:dyDescent="0.3">
      <c r="B1845" t="s">
        <v>1938</v>
      </c>
      <c r="C1845" t="s">
        <v>106</v>
      </c>
      <c r="D1845" t="s">
        <v>3</v>
      </c>
      <c r="E1845" t="s">
        <v>18</v>
      </c>
      <c r="F1845" t="s">
        <v>12</v>
      </c>
      <c r="G1845" t="s">
        <v>69</v>
      </c>
      <c r="H1845">
        <v>2025</v>
      </c>
      <c r="I1845">
        <v>8518</v>
      </c>
      <c r="J1845">
        <v>33.700000000000003</v>
      </c>
      <c r="K1845" t="s">
        <v>24</v>
      </c>
      <c r="L1845">
        <v>8.9</v>
      </c>
      <c r="M1845">
        <v>10</v>
      </c>
      <c r="N1845">
        <v>1043</v>
      </c>
      <c r="O1845" t="s">
        <v>75</v>
      </c>
      <c r="P1845">
        <v>73.3</v>
      </c>
      <c r="Q1845" t="s">
        <v>86</v>
      </c>
      <c r="R1845">
        <v>32.299999999999997</v>
      </c>
      <c r="S1845">
        <v>46.9</v>
      </c>
      <c r="T1845">
        <v>21.2</v>
      </c>
      <c r="U1845">
        <v>6.4</v>
      </c>
      <c r="V1845">
        <v>5</v>
      </c>
      <c r="W1845">
        <v>3.4</v>
      </c>
      <c r="X1845" t="s">
        <v>66</v>
      </c>
    </row>
    <row r="1846" spans="2:24" x14ac:dyDescent="0.3">
      <c r="B1846" t="s">
        <v>1939</v>
      </c>
      <c r="C1846" t="s">
        <v>68</v>
      </c>
      <c r="D1846" t="s">
        <v>8</v>
      </c>
      <c r="E1846" t="s">
        <v>18</v>
      </c>
      <c r="F1846" t="s">
        <v>12</v>
      </c>
      <c r="G1846" t="s">
        <v>131</v>
      </c>
      <c r="H1846">
        <v>2026</v>
      </c>
      <c r="I1846">
        <v>19773</v>
      </c>
      <c r="J1846">
        <v>11</v>
      </c>
      <c r="K1846" t="s">
        <v>25</v>
      </c>
      <c r="L1846">
        <v>16.8</v>
      </c>
      <c r="M1846">
        <v>10</v>
      </c>
      <c r="N1846">
        <v>1021</v>
      </c>
      <c r="O1846" t="s">
        <v>64</v>
      </c>
      <c r="P1846">
        <v>61.2</v>
      </c>
      <c r="Q1846" t="s">
        <v>88</v>
      </c>
      <c r="R1846">
        <v>80.2</v>
      </c>
      <c r="S1846">
        <v>46</v>
      </c>
      <c r="T1846">
        <v>20.3</v>
      </c>
      <c r="U1846">
        <v>9.9</v>
      </c>
      <c r="V1846">
        <v>7.3</v>
      </c>
      <c r="W1846">
        <v>6.7</v>
      </c>
      <c r="X1846" t="s">
        <v>66</v>
      </c>
    </row>
    <row r="1847" spans="2:24" x14ac:dyDescent="0.3">
      <c r="B1847" t="s">
        <v>1940</v>
      </c>
      <c r="C1847" t="s">
        <v>53</v>
      </c>
      <c r="D1847" t="s">
        <v>2</v>
      </c>
      <c r="E1847" t="s">
        <v>19</v>
      </c>
      <c r="F1847" t="s">
        <v>11</v>
      </c>
      <c r="G1847" t="s">
        <v>54</v>
      </c>
      <c r="H1847">
        <v>2024</v>
      </c>
      <c r="I1847">
        <v>6914</v>
      </c>
      <c r="J1847">
        <v>1.8</v>
      </c>
      <c r="K1847" t="s">
        <v>23</v>
      </c>
      <c r="L1847">
        <v>10.7</v>
      </c>
      <c r="M1847">
        <v>5.9</v>
      </c>
      <c r="N1847">
        <v>4530</v>
      </c>
      <c r="O1847" t="s">
        <v>55</v>
      </c>
      <c r="P1847">
        <v>23.7</v>
      </c>
      <c r="Q1847" t="s">
        <v>56</v>
      </c>
      <c r="R1847">
        <v>36.200000000000003</v>
      </c>
      <c r="S1847">
        <v>11.2</v>
      </c>
      <c r="T1847">
        <v>15.2</v>
      </c>
      <c r="U1847">
        <v>6.7</v>
      </c>
      <c r="V1847">
        <v>7.6</v>
      </c>
      <c r="W1847">
        <v>6.3</v>
      </c>
      <c r="X1847" t="s">
        <v>116</v>
      </c>
    </row>
    <row r="1848" spans="2:24" x14ac:dyDescent="0.3">
      <c r="B1848" t="s">
        <v>1941</v>
      </c>
      <c r="C1848" t="s">
        <v>81</v>
      </c>
      <c r="D1848" t="s">
        <v>5</v>
      </c>
      <c r="E1848" t="s">
        <v>19</v>
      </c>
      <c r="F1848" t="s">
        <v>9</v>
      </c>
      <c r="G1848" t="s">
        <v>115</v>
      </c>
      <c r="H1848">
        <v>2025</v>
      </c>
      <c r="I1848">
        <v>3348</v>
      </c>
      <c r="J1848">
        <v>8.5</v>
      </c>
      <c r="K1848" t="s">
        <v>21</v>
      </c>
      <c r="L1848">
        <v>4.4000000000000004</v>
      </c>
      <c r="M1848">
        <v>10</v>
      </c>
      <c r="N1848">
        <v>4279</v>
      </c>
      <c r="O1848" t="s">
        <v>64</v>
      </c>
      <c r="P1848">
        <v>51.5</v>
      </c>
      <c r="Q1848" t="s">
        <v>125</v>
      </c>
      <c r="R1848">
        <v>29.1</v>
      </c>
      <c r="S1848">
        <v>13.7</v>
      </c>
      <c r="T1848">
        <v>11.9</v>
      </c>
      <c r="U1848">
        <v>5.3</v>
      </c>
      <c r="V1848">
        <v>5.2</v>
      </c>
      <c r="W1848">
        <v>4.5999999999999996</v>
      </c>
      <c r="X1848" t="s">
        <v>116</v>
      </c>
    </row>
    <row r="1849" spans="2:24" x14ac:dyDescent="0.3">
      <c r="B1849" t="s">
        <v>1942</v>
      </c>
      <c r="C1849" t="s">
        <v>106</v>
      </c>
      <c r="D1849" t="s">
        <v>7</v>
      </c>
      <c r="E1849" t="s">
        <v>19</v>
      </c>
      <c r="F1849" t="s">
        <v>12</v>
      </c>
      <c r="G1849" t="s">
        <v>63</v>
      </c>
      <c r="H1849">
        <v>2024</v>
      </c>
      <c r="I1849">
        <v>1520</v>
      </c>
      <c r="J1849">
        <v>8.1</v>
      </c>
      <c r="K1849" t="s">
        <v>21</v>
      </c>
      <c r="L1849">
        <v>2.9</v>
      </c>
      <c r="M1849">
        <v>5.4</v>
      </c>
      <c r="N1849">
        <v>3287</v>
      </c>
      <c r="O1849" t="s">
        <v>55</v>
      </c>
      <c r="P1849">
        <v>87.7</v>
      </c>
      <c r="Q1849" t="s">
        <v>76</v>
      </c>
      <c r="R1849">
        <v>19.100000000000001</v>
      </c>
      <c r="S1849">
        <v>51.9</v>
      </c>
      <c r="T1849">
        <v>23.8</v>
      </c>
      <c r="U1849">
        <v>4.5999999999999996</v>
      </c>
      <c r="V1849">
        <v>7.1</v>
      </c>
      <c r="W1849">
        <v>7.9</v>
      </c>
      <c r="X1849" t="s">
        <v>57</v>
      </c>
    </row>
    <row r="1850" spans="2:24" x14ac:dyDescent="0.3">
      <c r="B1850" t="s">
        <v>1943</v>
      </c>
      <c r="C1850" t="s">
        <v>139</v>
      </c>
      <c r="D1850" t="s">
        <v>8</v>
      </c>
      <c r="E1850" t="s">
        <v>19</v>
      </c>
      <c r="F1850" t="s">
        <v>10</v>
      </c>
      <c r="G1850" t="s">
        <v>112</v>
      </c>
      <c r="H1850">
        <v>2024</v>
      </c>
      <c r="I1850">
        <v>19556</v>
      </c>
      <c r="J1850">
        <v>37.299999999999997</v>
      </c>
      <c r="K1850" t="s">
        <v>21</v>
      </c>
      <c r="L1850">
        <v>7.7</v>
      </c>
      <c r="M1850">
        <v>10</v>
      </c>
      <c r="N1850">
        <v>1977</v>
      </c>
      <c r="O1850" t="s">
        <v>64</v>
      </c>
      <c r="P1850">
        <v>78.099999999999994</v>
      </c>
      <c r="Q1850" t="s">
        <v>88</v>
      </c>
      <c r="R1850">
        <v>38.6</v>
      </c>
      <c r="S1850">
        <v>40.4</v>
      </c>
      <c r="T1850">
        <v>3.9</v>
      </c>
      <c r="U1850">
        <v>7.7</v>
      </c>
      <c r="V1850">
        <v>3.8</v>
      </c>
      <c r="W1850">
        <v>2.6</v>
      </c>
      <c r="X1850" t="s">
        <v>66</v>
      </c>
    </row>
    <row r="1851" spans="2:24" x14ac:dyDescent="0.3">
      <c r="B1851" t="s">
        <v>1944</v>
      </c>
      <c r="C1851" t="s">
        <v>137</v>
      </c>
      <c r="D1851" t="s">
        <v>4</v>
      </c>
      <c r="E1851" t="s">
        <v>14</v>
      </c>
      <c r="F1851" t="s">
        <v>12</v>
      </c>
      <c r="G1851" t="s">
        <v>63</v>
      </c>
      <c r="H1851">
        <v>2025</v>
      </c>
      <c r="I1851">
        <v>2632</v>
      </c>
      <c r="J1851">
        <v>7.3</v>
      </c>
      <c r="K1851" t="s">
        <v>25</v>
      </c>
      <c r="L1851">
        <v>1.4</v>
      </c>
      <c r="M1851">
        <v>4</v>
      </c>
      <c r="N1851">
        <v>3159</v>
      </c>
      <c r="O1851" t="s">
        <v>64</v>
      </c>
      <c r="P1851">
        <v>30.8</v>
      </c>
      <c r="Q1851" t="s">
        <v>79</v>
      </c>
      <c r="R1851">
        <v>56.6</v>
      </c>
      <c r="S1851">
        <v>20.8</v>
      </c>
      <c r="T1851">
        <v>3.1</v>
      </c>
      <c r="U1851">
        <v>1.2</v>
      </c>
      <c r="V1851">
        <v>7.6</v>
      </c>
      <c r="W1851">
        <v>6.7</v>
      </c>
      <c r="X1851" t="s">
        <v>116</v>
      </c>
    </row>
    <row r="1852" spans="2:24" x14ac:dyDescent="0.3">
      <c r="B1852" t="s">
        <v>1945</v>
      </c>
      <c r="C1852" t="s">
        <v>106</v>
      </c>
      <c r="D1852" t="s">
        <v>7</v>
      </c>
      <c r="E1852" t="s">
        <v>14</v>
      </c>
      <c r="F1852" t="s">
        <v>11</v>
      </c>
      <c r="G1852" t="s">
        <v>78</v>
      </c>
      <c r="H1852">
        <v>2025</v>
      </c>
      <c r="I1852">
        <v>2010</v>
      </c>
      <c r="J1852">
        <v>3.7</v>
      </c>
      <c r="K1852" t="s">
        <v>25</v>
      </c>
      <c r="L1852">
        <v>5.0999999999999996</v>
      </c>
      <c r="M1852">
        <v>4.0999999999999996</v>
      </c>
      <c r="N1852">
        <v>2732</v>
      </c>
      <c r="O1852" t="s">
        <v>64</v>
      </c>
      <c r="P1852">
        <v>27</v>
      </c>
      <c r="Q1852" t="s">
        <v>56</v>
      </c>
      <c r="R1852">
        <v>-23.2</v>
      </c>
      <c r="S1852">
        <v>47.1</v>
      </c>
      <c r="T1852">
        <v>10.199999999999999</v>
      </c>
      <c r="U1852">
        <v>4.7</v>
      </c>
      <c r="V1852">
        <v>7.2</v>
      </c>
      <c r="W1852">
        <v>8.4</v>
      </c>
      <c r="X1852" t="s">
        <v>57</v>
      </c>
    </row>
    <row r="1853" spans="2:24" x14ac:dyDescent="0.3">
      <c r="B1853" t="s">
        <v>1946</v>
      </c>
      <c r="C1853" t="s">
        <v>106</v>
      </c>
      <c r="D1853" t="s">
        <v>2</v>
      </c>
      <c r="E1853" t="s">
        <v>15</v>
      </c>
      <c r="F1853" t="s">
        <v>10</v>
      </c>
      <c r="G1853" t="s">
        <v>131</v>
      </c>
      <c r="H1853">
        <v>2024</v>
      </c>
      <c r="I1853">
        <v>2348</v>
      </c>
      <c r="J1853">
        <v>0.3</v>
      </c>
      <c r="K1853" t="s">
        <v>24</v>
      </c>
      <c r="L1853">
        <v>12.6</v>
      </c>
      <c r="M1853">
        <v>8</v>
      </c>
      <c r="N1853">
        <v>5352</v>
      </c>
      <c r="O1853" t="s">
        <v>55</v>
      </c>
      <c r="P1853">
        <v>85.6</v>
      </c>
      <c r="Q1853" t="s">
        <v>76</v>
      </c>
      <c r="R1853">
        <v>61.9</v>
      </c>
      <c r="S1853">
        <v>55.7</v>
      </c>
      <c r="T1853">
        <v>24.9</v>
      </c>
      <c r="U1853">
        <v>9.6</v>
      </c>
      <c r="V1853">
        <v>7.9</v>
      </c>
      <c r="W1853">
        <v>8.4</v>
      </c>
      <c r="X1853" t="s">
        <v>57</v>
      </c>
    </row>
    <row r="1854" spans="2:24" x14ac:dyDescent="0.3">
      <c r="B1854" t="s">
        <v>1947</v>
      </c>
      <c r="C1854" t="s">
        <v>106</v>
      </c>
      <c r="D1854" t="s">
        <v>8</v>
      </c>
      <c r="E1854" t="s">
        <v>18</v>
      </c>
      <c r="F1854" t="s">
        <v>9</v>
      </c>
      <c r="G1854" t="s">
        <v>98</v>
      </c>
      <c r="H1854">
        <v>2026</v>
      </c>
      <c r="I1854">
        <v>18089</v>
      </c>
      <c r="J1854">
        <v>13.3</v>
      </c>
      <c r="K1854" t="s">
        <v>22</v>
      </c>
      <c r="L1854">
        <v>10.6</v>
      </c>
      <c r="M1854">
        <v>10</v>
      </c>
      <c r="N1854">
        <v>1113</v>
      </c>
      <c r="O1854" t="s">
        <v>55</v>
      </c>
      <c r="P1854">
        <v>14.6</v>
      </c>
      <c r="Q1854" t="s">
        <v>56</v>
      </c>
      <c r="R1854">
        <v>14.3</v>
      </c>
      <c r="S1854">
        <v>37.9</v>
      </c>
      <c r="T1854">
        <v>23.3</v>
      </c>
      <c r="U1854">
        <v>9.3000000000000007</v>
      </c>
      <c r="V1854">
        <v>6.6</v>
      </c>
      <c r="W1854">
        <v>5.9</v>
      </c>
      <c r="X1854" t="s">
        <v>66</v>
      </c>
    </row>
    <row r="1855" spans="2:24" x14ac:dyDescent="0.3">
      <c r="B1855" t="s">
        <v>1948</v>
      </c>
      <c r="C1855" t="s">
        <v>106</v>
      </c>
      <c r="D1855" t="s">
        <v>3</v>
      </c>
      <c r="E1855" t="s">
        <v>17</v>
      </c>
      <c r="F1855" t="s">
        <v>11</v>
      </c>
      <c r="G1855" t="s">
        <v>69</v>
      </c>
      <c r="H1855">
        <v>2025</v>
      </c>
      <c r="I1855">
        <v>13590</v>
      </c>
      <c r="J1855">
        <v>18.5</v>
      </c>
      <c r="K1855" t="s">
        <v>23</v>
      </c>
      <c r="L1855">
        <v>12.3</v>
      </c>
      <c r="M1855">
        <v>10</v>
      </c>
      <c r="N1855">
        <v>811</v>
      </c>
      <c r="O1855" t="s">
        <v>64</v>
      </c>
      <c r="P1855">
        <v>42.8</v>
      </c>
      <c r="Q1855" t="s">
        <v>125</v>
      </c>
      <c r="R1855">
        <v>89.3</v>
      </c>
      <c r="S1855">
        <v>50</v>
      </c>
      <c r="T1855">
        <v>11.1</v>
      </c>
      <c r="U1855">
        <v>8.8000000000000007</v>
      </c>
      <c r="V1855">
        <v>8.3000000000000007</v>
      </c>
      <c r="W1855">
        <v>4.7</v>
      </c>
      <c r="X1855" t="s">
        <v>66</v>
      </c>
    </row>
    <row r="1856" spans="2:24" x14ac:dyDescent="0.3">
      <c r="B1856" t="s">
        <v>1949</v>
      </c>
      <c r="C1856" t="s">
        <v>90</v>
      </c>
      <c r="D1856" t="s">
        <v>6</v>
      </c>
      <c r="E1856" t="s">
        <v>17</v>
      </c>
      <c r="F1856" t="s">
        <v>10</v>
      </c>
      <c r="G1856" t="s">
        <v>112</v>
      </c>
      <c r="H1856">
        <v>2026</v>
      </c>
      <c r="I1856">
        <v>370</v>
      </c>
      <c r="J1856">
        <v>5.4</v>
      </c>
      <c r="K1856" t="s">
        <v>21</v>
      </c>
      <c r="L1856">
        <v>7.4</v>
      </c>
      <c r="M1856">
        <v>10</v>
      </c>
      <c r="N1856">
        <v>200</v>
      </c>
      <c r="O1856" t="s">
        <v>55</v>
      </c>
      <c r="P1856">
        <v>44.8</v>
      </c>
      <c r="Q1856" t="s">
        <v>84</v>
      </c>
      <c r="R1856">
        <v>49.4</v>
      </c>
      <c r="S1856">
        <v>4.4000000000000004</v>
      </c>
      <c r="T1856">
        <v>-1.7</v>
      </c>
      <c r="U1856">
        <v>9.4</v>
      </c>
      <c r="V1856">
        <v>6.4</v>
      </c>
      <c r="W1856">
        <v>5.6</v>
      </c>
      <c r="X1856" t="s">
        <v>57</v>
      </c>
    </row>
    <row r="1857" spans="2:24" x14ac:dyDescent="0.3">
      <c r="B1857" t="s">
        <v>1950</v>
      </c>
      <c r="C1857" t="s">
        <v>142</v>
      </c>
      <c r="D1857" t="s">
        <v>2</v>
      </c>
      <c r="E1857" t="s">
        <v>17</v>
      </c>
      <c r="F1857" t="s">
        <v>11</v>
      </c>
      <c r="G1857" t="s">
        <v>69</v>
      </c>
      <c r="H1857">
        <v>2025</v>
      </c>
      <c r="I1857">
        <v>2021</v>
      </c>
      <c r="J1857">
        <v>9.1999999999999993</v>
      </c>
      <c r="K1857" t="s">
        <v>23</v>
      </c>
      <c r="L1857">
        <v>3.8</v>
      </c>
      <c r="M1857">
        <v>6.5</v>
      </c>
      <c r="N1857">
        <v>4460</v>
      </c>
      <c r="O1857" t="s">
        <v>64</v>
      </c>
      <c r="P1857">
        <v>18.399999999999999</v>
      </c>
      <c r="Q1857" t="s">
        <v>56</v>
      </c>
      <c r="R1857">
        <v>79.900000000000006</v>
      </c>
      <c r="S1857">
        <v>40.5</v>
      </c>
      <c r="T1857">
        <v>6.6</v>
      </c>
      <c r="U1857">
        <v>4.7</v>
      </c>
      <c r="V1857">
        <v>6.2</v>
      </c>
      <c r="W1857">
        <v>6.8</v>
      </c>
      <c r="X1857" t="s">
        <v>57</v>
      </c>
    </row>
    <row r="1858" spans="2:24" x14ac:dyDescent="0.3">
      <c r="B1858" t="s">
        <v>1951</v>
      </c>
      <c r="C1858" t="s">
        <v>59</v>
      </c>
      <c r="D1858" t="s">
        <v>4</v>
      </c>
      <c r="E1858" t="s">
        <v>17</v>
      </c>
      <c r="F1858" t="s">
        <v>9</v>
      </c>
      <c r="G1858" t="s">
        <v>101</v>
      </c>
      <c r="H1858">
        <v>2024</v>
      </c>
      <c r="I1858">
        <v>1883</v>
      </c>
      <c r="J1858">
        <v>7.6</v>
      </c>
      <c r="K1858" t="s">
        <v>25</v>
      </c>
      <c r="L1858">
        <v>8.1999999999999993</v>
      </c>
      <c r="M1858">
        <v>8.9</v>
      </c>
      <c r="N1858">
        <v>1358</v>
      </c>
      <c r="O1858" t="s">
        <v>64</v>
      </c>
      <c r="P1858">
        <v>56.1</v>
      </c>
      <c r="Q1858" t="s">
        <v>125</v>
      </c>
      <c r="R1858">
        <v>-37</v>
      </c>
      <c r="S1858">
        <v>20.5</v>
      </c>
      <c r="T1858">
        <v>3.3</v>
      </c>
      <c r="U1858">
        <v>5.7</v>
      </c>
      <c r="V1858">
        <v>6.6</v>
      </c>
      <c r="W1858">
        <v>5.2</v>
      </c>
      <c r="X1858" t="s">
        <v>57</v>
      </c>
    </row>
    <row r="1859" spans="2:24" x14ac:dyDescent="0.3">
      <c r="B1859" t="s">
        <v>1952</v>
      </c>
      <c r="C1859" t="s">
        <v>159</v>
      </c>
      <c r="D1859" t="s">
        <v>2</v>
      </c>
      <c r="E1859" t="s">
        <v>17</v>
      </c>
      <c r="F1859" t="s">
        <v>12</v>
      </c>
      <c r="G1859" t="s">
        <v>112</v>
      </c>
      <c r="H1859">
        <v>2024</v>
      </c>
      <c r="I1859">
        <v>4597</v>
      </c>
      <c r="J1859">
        <v>1.7</v>
      </c>
      <c r="K1859" t="s">
        <v>23</v>
      </c>
      <c r="L1859">
        <v>8.1999999999999993</v>
      </c>
      <c r="M1859">
        <v>8.5</v>
      </c>
      <c r="N1859">
        <v>7302</v>
      </c>
      <c r="O1859" t="s">
        <v>118</v>
      </c>
      <c r="P1859">
        <v>30.7</v>
      </c>
      <c r="Q1859" t="s">
        <v>56</v>
      </c>
      <c r="R1859">
        <v>-23.8</v>
      </c>
      <c r="S1859">
        <v>-9.3000000000000007</v>
      </c>
      <c r="T1859">
        <v>3.1</v>
      </c>
      <c r="U1859">
        <v>6.8</v>
      </c>
      <c r="V1859">
        <v>5</v>
      </c>
      <c r="W1859">
        <v>6.7</v>
      </c>
      <c r="X1859" t="s">
        <v>116</v>
      </c>
    </row>
    <row r="1860" spans="2:24" x14ac:dyDescent="0.3">
      <c r="B1860" t="s">
        <v>1953</v>
      </c>
      <c r="C1860" t="s">
        <v>90</v>
      </c>
      <c r="D1860" t="s">
        <v>6</v>
      </c>
      <c r="E1860" t="s">
        <v>17</v>
      </c>
      <c r="F1860" t="s">
        <v>9</v>
      </c>
      <c r="G1860" t="s">
        <v>101</v>
      </c>
      <c r="H1860">
        <v>2026</v>
      </c>
      <c r="I1860">
        <v>2357</v>
      </c>
      <c r="J1860">
        <v>15.3</v>
      </c>
      <c r="K1860" t="s">
        <v>24</v>
      </c>
      <c r="L1860">
        <v>4.5999999999999996</v>
      </c>
      <c r="M1860">
        <v>6.8</v>
      </c>
      <c r="N1860">
        <v>3739</v>
      </c>
      <c r="O1860" t="s">
        <v>64</v>
      </c>
      <c r="P1860">
        <v>82.2</v>
      </c>
      <c r="Q1860" t="s">
        <v>79</v>
      </c>
      <c r="R1860">
        <v>46</v>
      </c>
      <c r="S1860">
        <v>-3.8</v>
      </c>
      <c r="T1860">
        <v>-11.6</v>
      </c>
      <c r="U1860">
        <v>3.1</v>
      </c>
      <c r="V1860">
        <v>7.2</v>
      </c>
      <c r="W1860">
        <v>5.9</v>
      </c>
      <c r="X1860" t="s">
        <v>116</v>
      </c>
    </row>
    <row r="1861" spans="2:24" x14ac:dyDescent="0.3">
      <c r="B1861" t="s">
        <v>1954</v>
      </c>
      <c r="C1861" t="s">
        <v>106</v>
      </c>
      <c r="D1861" t="s">
        <v>2</v>
      </c>
      <c r="E1861" t="s">
        <v>15</v>
      </c>
      <c r="F1861" t="s">
        <v>10</v>
      </c>
      <c r="G1861" t="s">
        <v>69</v>
      </c>
      <c r="H1861">
        <v>2024</v>
      </c>
      <c r="I1861">
        <v>465</v>
      </c>
      <c r="J1861">
        <v>14.4</v>
      </c>
      <c r="K1861" t="s">
        <v>25</v>
      </c>
      <c r="L1861">
        <v>1.8</v>
      </c>
      <c r="M1861">
        <v>1.9</v>
      </c>
      <c r="N1861">
        <v>1203</v>
      </c>
      <c r="O1861" t="s">
        <v>64</v>
      </c>
      <c r="P1861">
        <v>55</v>
      </c>
      <c r="Q1861" t="s">
        <v>56</v>
      </c>
      <c r="R1861">
        <v>-44.5</v>
      </c>
      <c r="S1861">
        <v>33.299999999999997</v>
      </c>
      <c r="T1861">
        <v>0.6</v>
      </c>
      <c r="U1861">
        <v>1.6</v>
      </c>
      <c r="V1861">
        <v>8.4</v>
      </c>
      <c r="W1861">
        <v>8</v>
      </c>
      <c r="X1861" t="s">
        <v>116</v>
      </c>
    </row>
    <row r="1862" spans="2:24" x14ac:dyDescent="0.3">
      <c r="B1862" t="s">
        <v>1955</v>
      </c>
      <c r="C1862" t="s">
        <v>106</v>
      </c>
      <c r="D1862" t="s">
        <v>2</v>
      </c>
      <c r="E1862" t="s">
        <v>14</v>
      </c>
      <c r="F1862" t="s">
        <v>12</v>
      </c>
      <c r="G1862" t="s">
        <v>63</v>
      </c>
      <c r="H1862">
        <v>2025</v>
      </c>
      <c r="I1862">
        <v>6032</v>
      </c>
      <c r="J1862">
        <v>1.2</v>
      </c>
      <c r="K1862" t="s">
        <v>25</v>
      </c>
      <c r="L1862">
        <v>2.5</v>
      </c>
      <c r="M1862">
        <v>1</v>
      </c>
      <c r="N1862">
        <v>9542</v>
      </c>
      <c r="O1862" t="s">
        <v>118</v>
      </c>
      <c r="P1862">
        <v>62.7</v>
      </c>
      <c r="Q1862" t="s">
        <v>76</v>
      </c>
      <c r="R1862">
        <v>-38.799999999999997</v>
      </c>
      <c r="S1862">
        <v>19</v>
      </c>
      <c r="T1862">
        <v>15.2</v>
      </c>
      <c r="U1862">
        <v>2</v>
      </c>
      <c r="V1862">
        <v>9</v>
      </c>
      <c r="W1862">
        <v>8.6</v>
      </c>
      <c r="X1862" t="s">
        <v>116</v>
      </c>
    </row>
    <row r="1863" spans="2:24" x14ac:dyDescent="0.3">
      <c r="B1863" t="s">
        <v>1956</v>
      </c>
      <c r="C1863" t="s">
        <v>53</v>
      </c>
      <c r="D1863" t="s">
        <v>3</v>
      </c>
      <c r="E1863" t="s">
        <v>14</v>
      </c>
      <c r="F1863" t="s">
        <v>11</v>
      </c>
      <c r="G1863" t="s">
        <v>74</v>
      </c>
      <c r="H1863">
        <v>2024</v>
      </c>
      <c r="I1863">
        <v>1169</v>
      </c>
      <c r="J1863">
        <v>0.8</v>
      </c>
      <c r="K1863" t="s">
        <v>24</v>
      </c>
      <c r="L1863">
        <v>2.6</v>
      </c>
      <c r="M1863">
        <v>6.2</v>
      </c>
      <c r="N1863">
        <v>3501</v>
      </c>
      <c r="O1863" t="s">
        <v>64</v>
      </c>
      <c r="P1863">
        <v>74.400000000000006</v>
      </c>
      <c r="Q1863" t="s">
        <v>88</v>
      </c>
      <c r="R1863">
        <v>75.3</v>
      </c>
      <c r="S1863">
        <v>42.4</v>
      </c>
      <c r="T1863">
        <v>21.3</v>
      </c>
      <c r="U1863">
        <v>2.9</v>
      </c>
      <c r="V1863">
        <v>9.6</v>
      </c>
      <c r="W1863">
        <v>8.1</v>
      </c>
      <c r="X1863" t="s">
        <v>57</v>
      </c>
    </row>
    <row r="1864" spans="2:24" x14ac:dyDescent="0.3">
      <c r="B1864" t="s">
        <v>1957</v>
      </c>
      <c r="C1864" t="s">
        <v>94</v>
      </c>
      <c r="D1864" t="s">
        <v>6</v>
      </c>
      <c r="E1864" t="s">
        <v>19</v>
      </c>
      <c r="F1864" t="s">
        <v>10</v>
      </c>
      <c r="G1864" t="s">
        <v>60</v>
      </c>
      <c r="H1864">
        <v>2025</v>
      </c>
      <c r="I1864">
        <v>222</v>
      </c>
      <c r="J1864">
        <v>4.5999999999999996</v>
      </c>
      <c r="K1864" t="s">
        <v>22</v>
      </c>
      <c r="L1864">
        <v>3.2</v>
      </c>
      <c r="M1864">
        <v>1.5</v>
      </c>
      <c r="N1864">
        <v>5612</v>
      </c>
      <c r="O1864" t="s">
        <v>55</v>
      </c>
      <c r="P1864">
        <v>17.3</v>
      </c>
      <c r="Q1864" t="s">
        <v>86</v>
      </c>
      <c r="R1864">
        <v>-44.5</v>
      </c>
      <c r="S1864">
        <v>36.1</v>
      </c>
      <c r="T1864">
        <v>21.1</v>
      </c>
      <c r="U1864">
        <v>2.1</v>
      </c>
      <c r="V1864">
        <v>9.1999999999999993</v>
      </c>
      <c r="W1864">
        <v>9.1</v>
      </c>
      <c r="X1864" t="s">
        <v>116</v>
      </c>
    </row>
    <row r="1865" spans="2:24" x14ac:dyDescent="0.3">
      <c r="B1865" t="s">
        <v>1958</v>
      </c>
      <c r="C1865" t="s">
        <v>106</v>
      </c>
      <c r="D1865" t="s">
        <v>3</v>
      </c>
      <c r="E1865" t="s">
        <v>14</v>
      </c>
      <c r="F1865" t="s">
        <v>9</v>
      </c>
      <c r="G1865" t="s">
        <v>98</v>
      </c>
      <c r="H1865">
        <v>2026</v>
      </c>
      <c r="I1865">
        <v>1644</v>
      </c>
      <c r="J1865">
        <v>33.799999999999997</v>
      </c>
      <c r="K1865" t="s">
        <v>23</v>
      </c>
      <c r="L1865">
        <v>13.6</v>
      </c>
      <c r="M1865">
        <v>10</v>
      </c>
      <c r="N1865">
        <v>279</v>
      </c>
      <c r="O1865" t="s">
        <v>75</v>
      </c>
      <c r="P1865">
        <v>66.8</v>
      </c>
      <c r="Q1865" t="s">
        <v>84</v>
      </c>
      <c r="R1865">
        <v>84.3</v>
      </c>
      <c r="S1865">
        <v>53.4</v>
      </c>
      <c r="T1865">
        <v>6.8</v>
      </c>
      <c r="U1865">
        <v>8.5</v>
      </c>
      <c r="V1865">
        <v>4.5</v>
      </c>
      <c r="W1865">
        <v>4.4000000000000004</v>
      </c>
      <c r="X1865" t="s">
        <v>66</v>
      </c>
    </row>
    <row r="1866" spans="2:24" x14ac:dyDescent="0.3">
      <c r="B1866" t="s">
        <v>1959</v>
      </c>
      <c r="C1866" t="s">
        <v>137</v>
      </c>
      <c r="D1866" t="s">
        <v>3</v>
      </c>
      <c r="E1866" t="s">
        <v>15</v>
      </c>
      <c r="F1866" t="s">
        <v>11</v>
      </c>
      <c r="G1866" t="s">
        <v>54</v>
      </c>
      <c r="H1866">
        <v>2025</v>
      </c>
      <c r="I1866">
        <v>3193</v>
      </c>
      <c r="J1866">
        <v>2.2000000000000002</v>
      </c>
      <c r="K1866" t="s">
        <v>25</v>
      </c>
      <c r="L1866">
        <v>1.4</v>
      </c>
      <c r="M1866">
        <v>1</v>
      </c>
      <c r="N1866">
        <v>1224</v>
      </c>
      <c r="O1866" t="s">
        <v>64</v>
      </c>
      <c r="P1866">
        <v>27.5</v>
      </c>
      <c r="Q1866" t="s">
        <v>76</v>
      </c>
      <c r="R1866">
        <v>52.7</v>
      </c>
      <c r="S1866">
        <v>-19.600000000000001</v>
      </c>
      <c r="T1866">
        <v>0.4</v>
      </c>
      <c r="U1866">
        <v>1.2</v>
      </c>
      <c r="V1866">
        <v>8</v>
      </c>
      <c r="W1866">
        <v>7.2</v>
      </c>
      <c r="X1866" t="s">
        <v>116</v>
      </c>
    </row>
    <row r="1867" spans="2:24" x14ac:dyDescent="0.3">
      <c r="B1867" t="s">
        <v>1960</v>
      </c>
      <c r="C1867" t="s">
        <v>83</v>
      </c>
      <c r="D1867" t="s">
        <v>4</v>
      </c>
      <c r="E1867" t="s">
        <v>19</v>
      </c>
      <c r="F1867" t="s">
        <v>10</v>
      </c>
      <c r="G1867" t="s">
        <v>112</v>
      </c>
      <c r="H1867">
        <v>2026</v>
      </c>
      <c r="I1867">
        <v>434</v>
      </c>
      <c r="J1867">
        <v>8.5</v>
      </c>
      <c r="K1867" t="s">
        <v>21</v>
      </c>
      <c r="L1867">
        <v>3.6</v>
      </c>
      <c r="M1867">
        <v>7.3</v>
      </c>
      <c r="N1867">
        <v>296</v>
      </c>
      <c r="O1867" t="s">
        <v>64</v>
      </c>
      <c r="P1867">
        <v>12.7</v>
      </c>
      <c r="Q1867" t="s">
        <v>86</v>
      </c>
      <c r="R1867">
        <v>49.5</v>
      </c>
      <c r="S1867">
        <v>39.200000000000003</v>
      </c>
      <c r="T1867">
        <v>25.3</v>
      </c>
      <c r="U1867">
        <v>4.7</v>
      </c>
      <c r="V1867">
        <v>8.6</v>
      </c>
      <c r="W1867">
        <v>7.2</v>
      </c>
      <c r="X1867" t="s">
        <v>116</v>
      </c>
    </row>
    <row r="1868" spans="2:24" x14ac:dyDescent="0.3">
      <c r="B1868" t="s">
        <v>1961</v>
      </c>
      <c r="C1868" t="s">
        <v>106</v>
      </c>
      <c r="D1868" t="s">
        <v>2</v>
      </c>
      <c r="E1868" t="s">
        <v>17</v>
      </c>
      <c r="F1868" t="s">
        <v>9</v>
      </c>
      <c r="G1868" t="s">
        <v>101</v>
      </c>
      <c r="H1868">
        <v>2025</v>
      </c>
      <c r="I1868">
        <v>2300</v>
      </c>
      <c r="J1868">
        <v>7.8</v>
      </c>
      <c r="K1868" t="s">
        <v>24</v>
      </c>
      <c r="L1868">
        <v>5.3</v>
      </c>
      <c r="M1868">
        <v>8.5</v>
      </c>
      <c r="N1868">
        <v>8595</v>
      </c>
      <c r="O1868" t="s">
        <v>55</v>
      </c>
      <c r="P1868">
        <v>80.7</v>
      </c>
      <c r="Q1868" t="s">
        <v>56</v>
      </c>
      <c r="R1868">
        <v>10.9</v>
      </c>
      <c r="S1868">
        <v>-5.7</v>
      </c>
      <c r="T1868">
        <v>-0.2</v>
      </c>
      <c r="U1868">
        <v>7</v>
      </c>
      <c r="V1868">
        <v>5</v>
      </c>
      <c r="W1868">
        <v>4.8</v>
      </c>
      <c r="X1868" t="s">
        <v>57</v>
      </c>
    </row>
    <row r="1869" spans="2:24" x14ac:dyDescent="0.3">
      <c r="B1869" t="s">
        <v>1962</v>
      </c>
      <c r="C1869" t="s">
        <v>139</v>
      </c>
      <c r="D1869" t="s">
        <v>8</v>
      </c>
      <c r="E1869" t="s">
        <v>19</v>
      </c>
      <c r="F1869" t="s">
        <v>12</v>
      </c>
      <c r="G1869" t="s">
        <v>54</v>
      </c>
      <c r="H1869">
        <v>2024</v>
      </c>
      <c r="I1869">
        <v>12865</v>
      </c>
      <c r="J1869">
        <v>30.9</v>
      </c>
      <c r="K1869" t="s">
        <v>25</v>
      </c>
      <c r="L1869">
        <v>2.5</v>
      </c>
      <c r="M1869">
        <v>6.5</v>
      </c>
      <c r="N1869">
        <v>1680</v>
      </c>
      <c r="O1869" t="s">
        <v>75</v>
      </c>
      <c r="P1869">
        <v>16.399999999999999</v>
      </c>
      <c r="Q1869" t="s">
        <v>84</v>
      </c>
      <c r="R1869">
        <v>49.8</v>
      </c>
      <c r="S1869">
        <v>-21.7</v>
      </c>
      <c r="T1869">
        <v>-8.1999999999999993</v>
      </c>
      <c r="U1869">
        <v>2.2000000000000002</v>
      </c>
      <c r="V1869">
        <v>5.9</v>
      </c>
      <c r="W1869">
        <v>3.2</v>
      </c>
      <c r="X1869" t="s">
        <v>66</v>
      </c>
    </row>
    <row r="1870" spans="2:24" x14ac:dyDescent="0.3">
      <c r="B1870" t="s">
        <v>1963</v>
      </c>
      <c r="C1870" t="s">
        <v>142</v>
      </c>
      <c r="D1870" t="s">
        <v>2</v>
      </c>
      <c r="E1870" t="s">
        <v>16</v>
      </c>
      <c r="F1870" t="s">
        <v>9</v>
      </c>
      <c r="G1870" t="s">
        <v>115</v>
      </c>
      <c r="H1870">
        <v>2024</v>
      </c>
      <c r="I1870">
        <v>5860</v>
      </c>
      <c r="J1870">
        <v>17.399999999999999</v>
      </c>
      <c r="K1870" t="s">
        <v>25</v>
      </c>
      <c r="L1870">
        <v>5</v>
      </c>
      <c r="M1870">
        <v>9.1</v>
      </c>
      <c r="N1870">
        <v>2087</v>
      </c>
      <c r="O1870" t="s">
        <v>64</v>
      </c>
      <c r="P1870">
        <v>27</v>
      </c>
      <c r="Q1870" t="s">
        <v>56</v>
      </c>
      <c r="R1870">
        <v>-6</v>
      </c>
      <c r="S1870">
        <v>33.9</v>
      </c>
      <c r="T1870">
        <v>4.8</v>
      </c>
      <c r="U1870">
        <v>5.5</v>
      </c>
      <c r="V1870">
        <v>6.3</v>
      </c>
      <c r="W1870">
        <v>4.7</v>
      </c>
      <c r="X1870" t="s">
        <v>66</v>
      </c>
    </row>
    <row r="1871" spans="2:24" x14ac:dyDescent="0.3">
      <c r="B1871" t="s">
        <v>1964</v>
      </c>
      <c r="C1871" t="s">
        <v>159</v>
      </c>
      <c r="D1871" t="s">
        <v>2</v>
      </c>
      <c r="E1871" t="s">
        <v>19</v>
      </c>
      <c r="F1871" t="s">
        <v>9</v>
      </c>
      <c r="G1871" t="s">
        <v>104</v>
      </c>
      <c r="H1871">
        <v>2025</v>
      </c>
      <c r="I1871">
        <v>6231</v>
      </c>
      <c r="J1871">
        <v>19.3</v>
      </c>
      <c r="K1871" t="s">
        <v>21</v>
      </c>
      <c r="L1871">
        <v>5.3</v>
      </c>
      <c r="M1871">
        <v>7.7</v>
      </c>
      <c r="N1871">
        <v>2049</v>
      </c>
      <c r="O1871" t="s">
        <v>64</v>
      </c>
      <c r="P1871">
        <v>70.900000000000006</v>
      </c>
      <c r="Q1871" t="s">
        <v>76</v>
      </c>
      <c r="R1871">
        <v>-14.9</v>
      </c>
      <c r="S1871">
        <v>-6.8</v>
      </c>
      <c r="T1871">
        <v>-3.7</v>
      </c>
      <c r="U1871">
        <v>6.4</v>
      </c>
      <c r="V1871">
        <v>5.9</v>
      </c>
      <c r="W1871">
        <v>5.0999999999999996</v>
      </c>
      <c r="X1871" t="s">
        <v>66</v>
      </c>
    </row>
    <row r="1872" spans="2:24" x14ac:dyDescent="0.3">
      <c r="B1872" t="s">
        <v>1965</v>
      </c>
      <c r="C1872" t="s">
        <v>53</v>
      </c>
      <c r="D1872" t="s">
        <v>7</v>
      </c>
      <c r="E1872" t="s">
        <v>15</v>
      </c>
      <c r="F1872" t="s">
        <v>12</v>
      </c>
      <c r="G1872" t="s">
        <v>63</v>
      </c>
      <c r="H1872">
        <v>2025</v>
      </c>
      <c r="I1872">
        <v>6417</v>
      </c>
      <c r="J1872">
        <v>17.399999999999999</v>
      </c>
      <c r="K1872" t="s">
        <v>25</v>
      </c>
      <c r="L1872">
        <v>8.1999999999999993</v>
      </c>
      <c r="M1872">
        <v>10</v>
      </c>
      <c r="N1872">
        <v>5154</v>
      </c>
      <c r="O1872" t="s">
        <v>64</v>
      </c>
      <c r="P1872">
        <v>54.6</v>
      </c>
      <c r="Q1872" t="s">
        <v>88</v>
      </c>
      <c r="R1872">
        <v>12.8</v>
      </c>
      <c r="S1872">
        <v>30.4</v>
      </c>
      <c r="T1872">
        <v>8</v>
      </c>
      <c r="U1872">
        <v>5.4</v>
      </c>
      <c r="V1872">
        <v>6.5</v>
      </c>
      <c r="W1872">
        <v>4.7</v>
      </c>
      <c r="X1872" t="s">
        <v>116</v>
      </c>
    </row>
    <row r="1873" spans="2:24" x14ac:dyDescent="0.3">
      <c r="B1873" t="s">
        <v>1966</v>
      </c>
      <c r="C1873" t="s">
        <v>106</v>
      </c>
      <c r="D1873" t="s">
        <v>7</v>
      </c>
      <c r="E1873" t="s">
        <v>19</v>
      </c>
      <c r="F1873" t="s">
        <v>11</v>
      </c>
      <c r="G1873" t="s">
        <v>131</v>
      </c>
      <c r="H1873">
        <v>2025</v>
      </c>
      <c r="I1873">
        <v>6649</v>
      </c>
      <c r="J1873">
        <v>12.4</v>
      </c>
      <c r="K1873" t="s">
        <v>22</v>
      </c>
      <c r="L1873">
        <v>1.6</v>
      </c>
      <c r="M1873">
        <v>5.4</v>
      </c>
      <c r="N1873">
        <v>3722</v>
      </c>
      <c r="O1873" t="s">
        <v>64</v>
      </c>
      <c r="P1873">
        <v>33.6</v>
      </c>
      <c r="Q1873" t="s">
        <v>65</v>
      </c>
      <c r="R1873">
        <v>-13.3</v>
      </c>
      <c r="S1873">
        <v>7.1</v>
      </c>
      <c r="T1873">
        <v>3.8</v>
      </c>
      <c r="U1873">
        <v>1.4</v>
      </c>
      <c r="V1873">
        <v>6.2</v>
      </c>
      <c r="W1873">
        <v>6.8</v>
      </c>
      <c r="X1873" t="s">
        <v>116</v>
      </c>
    </row>
    <row r="1874" spans="2:24" x14ac:dyDescent="0.3">
      <c r="B1874" t="s">
        <v>1967</v>
      </c>
      <c r="C1874" t="s">
        <v>71</v>
      </c>
      <c r="D1874" t="s">
        <v>6</v>
      </c>
      <c r="E1874" t="s">
        <v>16</v>
      </c>
      <c r="F1874" t="s">
        <v>11</v>
      </c>
      <c r="G1874" t="s">
        <v>131</v>
      </c>
      <c r="H1874">
        <v>2026</v>
      </c>
      <c r="I1874">
        <v>2887</v>
      </c>
      <c r="J1874">
        <v>23.9</v>
      </c>
      <c r="K1874" t="s">
        <v>23</v>
      </c>
      <c r="L1874">
        <v>5.4</v>
      </c>
      <c r="M1874">
        <v>10</v>
      </c>
      <c r="N1874">
        <v>1703</v>
      </c>
      <c r="O1874" t="s">
        <v>64</v>
      </c>
      <c r="P1874">
        <v>86.8</v>
      </c>
      <c r="Q1874" t="s">
        <v>86</v>
      </c>
      <c r="R1874">
        <v>-4.4000000000000004</v>
      </c>
      <c r="S1874">
        <v>42.9</v>
      </c>
      <c r="T1874">
        <v>21.7</v>
      </c>
      <c r="U1874">
        <v>6.2</v>
      </c>
      <c r="V1874">
        <v>7.1</v>
      </c>
      <c r="W1874">
        <v>4.9000000000000004</v>
      </c>
      <c r="X1874" t="s">
        <v>66</v>
      </c>
    </row>
    <row r="1875" spans="2:24" x14ac:dyDescent="0.3">
      <c r="B1875" t="s">
        <v>1968</v>
      </c>
      <c r="C1875" t="s">
        <v>122</v>
      </c>
      <c r="D1875" t="s">
        <v>2</v>
      </c>
      <c r="E1875" t="s">
        <v>18</v>
      </c>
      <c r="F1875" t="s">
        <v>10</v>
      </c>
      <c r="G1875" t="s">
        <v>78</v>
      </c>
      <c r="H1875">
        <v>2026</v>
      </c>
      <c r="I1875">
        <v>1109</v>
      </c>
      <c r="J1875">
        <v>17.100000000000001</v>
      </c>
      <c r="K1875" t="s">
        <v>25</v>
      </c>
      <c r="L1875">
        <v>1.8</v>
      </c>
      <c r="M1875">
        <v>5.7</v>
      </c>
      <c r="N1875">
        <v>6044</v>
      </c>
      <c r="O1875" t="s">
        <v>64</v>
      </c>
      <c r="P1875">
        <v>44.9</v>
      </c>
      <c r="Q1875" t="s">
        <v>56</v>
      </c>
      <c r="R1875">
        <v>-38</v>
      </c>
      <c r="S1875">
        <v>58.3</v>
      </c>
      <c r="T1875">
        <v>23.1</v>
      </c>
      <c r="U1875">
        <v>2.2000000000000002</v>
      </c>
      <c r="V1875">
        <v>8.3000000000000007</v>
      </c>
      <c r="W1875">
        <v>5.9</v>
      </c>
      <c r="X1875" t="s">
        <v>66</v>
      </c>
    </row>
    <row r="1876" spans="2:24" x14ac:dyDescent="0.3">
      <c r="B1876" t="s">
        <v>1969</v>
      </c>
      <c r="C1876" t="s">
        <v>142</v>
      </c>
      <c r="D1876" t="s">
        <v>2</v>
      </c>
      <c r="E1876" t="s">
        <v>15</v>
      </c>
      <c r="F1876" t="s">
        <v>12</v>
      </c>
      <c r="G1876" t="s">
        <v>78</v>
      </c>
      <c r="H1876">
        <v>2026</v>
      </c>
      <c r="I1876">
        <v>2032</v>
      </c>
      <c r="J1876">
        <v>25.1</v>
      </c>
      <c r="K1876" t="s">
        <v>21</v>
      </c>
      <c r="L1876">
        <v>5.5</v>
      </c>
      <c r="M1876">
        <v>9.6</v>
      </c>
      <c r="N1876">
        <v>9398</v>
      </c>
      <c r="O1876" t="s">
        <v>118</v>
      </c>
      <c r="P1876">
        <v>40.6</v>
      </c>
      <c r="Q1876" t="s">
        <v>56</v>
      </c>
      <c r="R1876">
        <v>83.2</v>
      </c>
      <c r="S1876">
        <v>41.3</v>
      </c>
      <c r="T1876">
        <v>3.7</v>
      </c>
      <c r="U1876">
        <v>8.1</v>
      </c>
      <c r="V1876">
        <v>7.1</v>
      </c>
      <c r="W1876">
        <v>3.9</v>
      </c>
      <c r="X1876" t="s">
        <v>66</v>
      </c>
    </row>
    <row r="1877" spans="2:24" x14ac:dyDescent="0.3">
      <c r="B1877" t="s">
        <v>1970</v>
      </c>
      <c r="C1877" t="s">
        <v>92</v>
      </c>
      <c r="D1877" t="s">
        <v>7</v>
      </c>
      <c r="E1877" t="s">
        <v>19</v>
      </c>
      <c r="F1877" t="s">
        <v>12</v>
      </c>
      <c r="G1877" t="s">
        <v>104</v>
      </c>
      <c r="H1877">
        <v>2025</v>
      </c>
      <c r="I1877">
        <v>5241</v>
      </c>
      <c r="J1877">
        <v>9.9</v>
      </c>
      <c r="K1877" t="s">
        <v>22</v>
      </c>
      <c r="L1877">
        <v>12.5</v>
      </c>
      <c r="M1877">
        <v>9.5</v>
      </c>
      <c r="N1877">
        <v>445</v>
      </c>
      <c r="O1877" t="s">
        <v>55</v>
      </c>
      <c r="P1877">
        <v>23.6</v>
      </c>
      <c r="Q1877" t="s">
        <v>125</v>
      </c>
      <c r="R1877">
        <v>33.700000000000003</v>
      </c>
      <c r="S1877">
        <v>-23.5</v>
      </c>
      <c r="T1877">
        <v>-13.2</v>
      </c>
      <c r="U1877">
        <v>9.6999999999999993</v>
      </c>
      <c r="V1877">
        <v>5.2</v>
      </c>
      <c r="W1877">
        <v>3.7</v>
      </c>
      <c r="X1877" t="s">
        <v>66</v>
      </c>
    </row>
    <row r="1878" spans="2:24" x14ac:dyDescent="0.3">
      <c r="B1878" t="s">
        <v>1971</v>
      </c>
      <c r="C1878" t="s">
        <v>53</v>
      </c>
      <c r="D1878" t="s">
        <v>4</v>
      </c>
      <c r="E1878" t="s">
        <v>16</v>
      </c>
      <c r="F1878" t="s">
        <v>9</v>
      </c>
      <c r="G1878" t="s">
        <v>60</v>
      </c>
      <c r="H1878">
        <v>2025</v>
      </c>
      <c r="I1878">
        <v>5566</v>
      </c>
      <c r="J1878">
        <v>5.3</v>
      </c>
      <c r="K1878" t="s">
        <v>24</v>
      </c>
      <c r="L1878">
        <v>3.8</v>
      </c>
      <c r="M1878">
        <v>1.1000000000000001</v>
      </c>
      <c r="N1878">
        <v>2922</v>
      </c>
      <c r="O1878" t="s">
        <v>64</v>
      </c>
      <c r="P1878">
        <v>10.5</v>
      </c>
      <c r="Q1878" t="s">
        <v>125</v>
      </c>
      <c r="R1878">
        <v>-22.6</v>
      </c>
      <c r="S1878">
        <v>24</v>
      </c>
      <c r="T1878">
        <v>17</v>
      </c>
      <c r="U1878">
        <v>2.4</v>
      </c>
      <c r="V1878">
        <v>8.3000000000000007</v>
      </c>
      <c r="W1878">
        <v>7.5</v>
      </c>
      <c r="X1878" t="s">
        <v>116</v>
      </c>
    </row>
    <row r="1879" spans="2:24" x14ac:dyDescent="0.3">
      <c r="B1879" t="s">
        <v>1972</v>
      </c>
      <c r="C1879" t="s">
        <v>81</v>
      </c>
      <c r="D1879" t="s">
        <v>5</v>
      </c>
      <c r="E1879" t="s">
        <v>17</v>
      </c>
      <c r="F1879" t="s">
        <v>9</v>
      </c>
      <c r="G1879" t="s">
        <v>131</v>
      </c>
      <c r="H1879">
        <v>2024</v>
      </c>
      <c r="I1879">
        <v>4915</v>
      </c>
      <c r="J1879">
        <v>15.3</v>
      </c>
      <c r="K1879" t="s">
        <v>25</v>
      </c>
      <c r="L1879">
        <v>13.1</v>
      </c>
      <c r="M1879">
        <v>10</v>
      </c>
      <c r="N1879">
        <v>4055</v>
      </c>
      <c r="O1879" t="s">
        <v>64</v>
      </c>
      <c r="P1879">
        <v>52</v>
      </c>
      <c r="Q1879" t="s">
        <v>84</v>
      </c>
      <c r="R1879">
        <v>81.400000000000006</v>
      </c>
      <c r="S1879">
        <v>11.6</v>
      </c>
      <c r="T1879">
        <v>11.6</v>
      </c>
      <c r="U1879">
        <v>8.3000000000000007</v>
      </c>
      <c r="V1879">
        <v>5.7</v>
      </c>
      <c r="W1879">
        <v>5.7</v>
      </c>
      <c r="X1879" t="s">
        <v>116</v>
      </c>
    </row>
    <row r="1880" spans="2:24" x14ac:dyDescent="0.3">
      <c r="B1880" t="s">
        <v>1973</v>
      </c>
      <c r="C1880" t="s">
        <v>83</v>
      </c>
      <c r="D1880" t="s">
        <v>4</v>
      </c>
      <c r="E1880" t="s">
        <v>17</v>
      </c>
      <c r="F1880" t="s">
        <v>10</v>
      </c>
      <c r="G1880" t="s">
        <v>101</v>
      </c>
      <c r="H1880">
        <v>2025</v>
      </c>
      <c r="I1880">
        <v>11294</v>
      </c>
      <c r="J1880">
        <v>30.6</v>
      </c>
      <c r="K1880" t="s">
        <v>22</v>
      </c>
      <c r="L1880">
        <v>5.9</v>
      </c>
      <c r="M1880">
        <v>10</v>
      </c>
      <c r="N1880">
        <v>1601</v>
      </c>
      <c r="O1880" t="s">
        <v>75</v>
      </c>
      <c r="P1880">
        <v>33.200000000000003</v>
      </c>
      <c r="Q1880" t="s">
        <v>79</v>
      </c>
      <c r="R1880">
        <v>36.700000000000003</v>
      </c>
      <c r="S1880">
        <v>39.200000000000003</v>
      </c>
      <c r="T1880">
        <v>18.5</v>
      </c>
      <c r="U1880">
        <v>5.2</v>
      </c>
      <c r="V1880">
        <v>6.2</v>
      </c>
      <c r="W1880">
        <v>4</v>
      </c>
      <c r="X1880" t="s">
        <v>66</v>
      </c>
    </row>
    <row r="1881" spans="2:24" x14ac:dyDescent="0.3">
      <c r="B1881" t="s">
        <v>1974</v>
      </c>
      <c r="C1881" t="s">
        <v>94</v>
      </c>
      <c r="D1881" t="s">
        <v>6</v>
      </c>
      <c r="E1881" t="s">
        <v>15</v>
      </c>
      <c r="F1881" t="s">
        <v>12</v>
      </c>
      <c r="G1881" t="s">
        <v>63</v>
      </c>
      <c r="H1881">
        <v>2024</v>
      </c>
      <c r="I1881">
        <v>17781</v>
      </c>
      <c r="J1881">
        <v>17.7</v>
      </c>
      <c r="K1881" t="s">
        <v>21</v>
      </c>
      <c r="L1881">
        <v>2.9</v>
      </c>
      <c r="M1881">
        <v>7</v>
      </c>
      <c r="N1881">
        <v>1611</v>
      </c>
      <c r="O1881" t="s">
        <v>75</v>
      </c>
      <c r="P1881">
        <v>51.8</v>
      </c>
      <c r="Q1881" t="s">
        <v>79</v>
      </c>
      <c r="R1881">
        <v>2.7</v>
      </c>
      <c r="S1881">
        <v>37.1</v>
      </c>
      <c r="T1881">
        <v>12.5</v>
      </c>
      <c r="U1881">
        <v>1.9</v>
      </c>
      <c r="V1881">
        <v>5.5</v>
      </c>
      <c r="W1881">
        <v>6.2</v>
      </c>
      <c r="X1881" t="s">
        <v>66</v>
      </c>
    </row>
    <row r="1882" spans="2:24" x14ac:dyDescent="0.3">
      <c r="B1882" t="s">
        <v>1975</v>
      </c>
      <c r="C1882" t="s">
        <v>106</v>
      </c>
      <c r="D1882" t="s">
        <v>4</v>
      </c>
      <c r="E1882" t="s">
        <v>19</v>
      </c>
      <c r="F1882" t="s">
        <v>12</v>
      </c>
      <c r="G1882" t="s">
        <v>60</v>
      </c>
      <c r="H1882">
        <v>2024</v>
      </c>
      <c r="I1882">
        <v>1615</v>
      </c>
      <c r="J1882">
        <v>7.8</v>
      </c>
      <c r="K1882" t="s">
        <v>22</v>
      </c>
      <c r="L1882">
        <v>4.9000000000000004</v>
      </c>
      <c r="M1882">
        <v>8.4</v>
      </c>
      <c r="N1882">
        <v>710</v>
      </c>
      <c r="O1882" t="s">
        <v>64</v>
      </c>
      <c r="P1882">
        <v>56.5</v>
      </c>
      <c r="Q1882" t="s">
        <v>86</v>
      </c>
      <c r="R1882">
        <v>41.7</v>
      </c>
      <c r="S1882">
        <v>-21.1</v>
      </c>
      <c r="T1882">
        <v>-8.4</v>
      </c>
      <c r="U1882">
        <v>6.3</v>
      </c>
      <c r="V1882">
        <v>4</v>
      </c>
      <c r="W1882">
        <v>5.4</v>
      </c>
      <c r="X1882" t="s">
        <v>116</v>
      </c>
    </row>
    <row r="1883" spans="2:24" x14ac:dyDescent="0.3">
      <c r="B1883" t="s">
        <v>1976</v>
      </c>
      <c r="C1883" t="s">
        <v>94</v>
      </c>
      <c r="D1883" t="s">
        <v>6</v>
      </c>
      <c r="E1883" t="s">
        <v>18</v>
      </c>
      <c r="F1883" t="s">
        <v>10</v>
      </c>
      <c r="G1883" t="s">
        <v>104</v>
      </c>
      <c r="H1883">
        <v>2024</v>
      </c>
      <c r="I1883">
        <v>3676</v>
      </c>
      <c r="J1883">
        <v>13.9</v>
      </c>
      <c r="K1883" t="s">
        <v>21</v>
      </c>
      <c r="L1883">
        <v>10.8</v>
      </c>
      <c r="M1883">
        <v>9.4</v>
      </c>
      <c r="N1883">
        <v>1316</v>
      </c>
      <c r="O1883" t="s">
        <v>64</v>
      </c>
      <c r="P1883">
        <v>56.9</v>
      </c>
      <c r="Q1883" t="s">
        <v>79</v>
      </c>
      <c r="R1883">
        <v>-39.1</v>
      </c>
      <c r="S1883">
        <v>13.9</v>
      </c>
      <c r="T1883">
        <v>5.0999999999999996</v>
      </c>
      <c r="U1883">
        <v>6.5</v>
      </c>
      <c r="V1883">
        <v>4.5999999999999996</v>
      </c>
      <c r="W1883">
        <v>5.0999999999999996</v>
      </c>
      <c r="X1883" t="s">
        <v>66</v>
      </c>
    </row>
    <row r="1884" spans="2:24" x14ac:dyDescent="0.3">
      <c r="B1884" t="s">
        <v>1977</v>
      </c>
      <c r="C1884" t="s">
        <v>53</v>
      </c>
      <c r="D1884" t="s">
        <v>2</v>
      </c>
      <c r="E1884" t="s">
        <v>15</v>
      </c>
      <c r="F1884" t="s">
        <v>9</v>
      </c>
      <c r="G1884" t="s">
        <v>54</v>
      </c>
      <c r="H1884">
        <v>2024</v>
      </c>
      <c r="I1884">
        <v>19396</v>
      </c>
      <c r="J1884">
        <v>40</v>
      </c>
      <c r="K1884" t="s">
        <v>21</v>
      </c>
      <c r="L1884">
        <v>7.6</v>
      </c>
      <c r="M1884">
        <v>10</v>
      </c>
      <c r="N1884">
        <v>4884</v>
      </c>
      <c r="O1884" t="s">
        <v>64</v>
      </c>
      <c r="P1884">
        <v>83.3</v>
      </c>
      <c r="Q1884" t="s">
        <v>56</v>
      </c>
      <c r="R1884">
        <v>-35.799999999999997</v>
      </c>
      <c r="S1884">
        <v>7.3</v>
      </c>
      <c r="T1884">
        <v>-2.2999999999999998</v>
      </c>
      <c r="U1884">
        <v>4.9000000000000004</v>
      </c>
      <c r="V1884">
        <v>3</v>
      </c>
      <c r="W1884">
        <v>2.5</v>
      </c>
      <c r="X1884" t="s">
        <v>66</v>
      </c>
    </row>
    <row r="1885" spans="2:24" x14ac:dyDescent="0.3">
      <c r="B1885" t="s">
        <v>1978</v>
      </c>
      <c r="C1885" t="s">
        <v>90</v>
      </c>
      <c r="D1885" t="s">
        <v>6</v>
      </c>
      <c r="E1885" t="s">
        <v>14</v>
      </c>
      <c r="F1885" t="s">
        <v>12</v>
      </c>
      <c r="G1885" t="s">
        <v>101</v>
      </c>
      <c r="H1885">
        <v>2026</v>
      </c>
      <c r="I1885">
        <v>1909</v>
      </c>
      <c r="J1885">
        <v>5.9</v>
      </c>
      <c r="K1885" t="s">
        <v>22</v>
      </c>
      <c r="L1885">
        <v>8.3000000000000007</v>
      </c>
      <c r="M1885">
        <v>4.3</v>
      </c>
      <c r="N1885">
        <v>5125</v>
      </c>
      <c r="O1885" t="s">
        <v>55</v>
      </c>
      <c r="P1885">
        <v>86.6</v>
      </c>
      <c r="Q1885" t="s">
        <v>84</v>
      </c>
      <c r="R1885">
        <v>-40.5</v>
      </c>
      <c r="S1885">
        <v>0.7</v>
      </c>
      <c r="T1885">
        <v>-4.2</v>
      </c>
      <c r="U1885">
        <v>5.4</v>
      </c>
      <c r="V1885">
        <v>7.9</v>
      </c>
      <c r="W1885">
        <v>5.6</v>
      </c>
      <c r="X1885" t="s">
        <v>57</v>
      </c>
    </row>
    <row r="1886" spans="2:24" x14ac:dyDescent="0.3">
      <c r="B1886" t="s">
        <v>1979</v>
      </c>
      <c r="C1886" t="s">
        <v>92</v>
      </c>
      <c r="D1886" t="s">
        <v>7</v>
      </c>
      <c r="E1886" t="s">
        <v>19</v>
      </c>
      <c r="F1886" t="s">
        <v>9</v>
      </c>
      <c r="G1886" t="s">
        <v>131</v>
      </c>
      <c r="H1886">
        <v>2026</v>
      </c>
      <c r="I1886">
        <v>3316</v>
      </c>
      <c r="J1886">
        <v>13.7</v>
      </c>
      <c r="K1886" t="s">
        <v>23</v>
      </c>
      <c r="L1886">
        <v>2.4</v>
      </c>
      <c r="M1886">
        <v>5.0999999999999996</v>
      </c>
      <c r="N1886">
        <v>1833</v>
      </c>
      <c r="O1886" t="s">
        <v>64</v>
      </c>
      <c r="P1886">
        <v>54.2</v>
      </c>
      <c r="Q1886" t="s">
        <v>79</v>
      </c>
      <c r="R1886">
        <v>-21.5</v>
      </c>
      <c r="S1886">
        <v>57.5</v>
      </c>
      <c r="T1886">
        <v>14.4</v>
      </c>
      <c r="U1886">
        <v>3.5</v>
      </c>
      <c r="V1886">
        <v>8.1</v>
      </c>
      <c r="W1886">
        <v>6.9</v>
      </c>
      <c r="X1886" t="s">
        <v>116</v>
      </c>
    </row>
    <row r="1887" spans="2:24" x14ac:dyDescent="0.3">
      <c r="B1887" t="s">
        <v>1980</v>
      </c>
      <c r="C1887" t="s">
        <v>53</v>
      </c>
      <c r="D1887" t="s">
        <v>7</v>
      </c>
      <c r="E1887" t="s">
        <v>18</v>
      </c>
      <c r="F1887" t="s">
        <v>9</v>
      </c>
      <c r="G1887" t="s">
        <v>101</v>
      </c>
      <c r="H1887">
        <v>2025</v>
      </c>
      <c r="I1887">
        <v>10816</v>
      </c>
      <c r="J1887">
        <v>15.8</v>
      </c>
      <c r="K1887" t="s">
        <v>25</v>
      </c>
      <c r="L1887">
        <v>4.5999999999999996</v>
      </c>
      <c r="M1887">
        <v>7.7</v>
      </c>
      <c r="N1887">
        <v>408</v>
      </c>
      <c r="O1887" t="s">
        <v>64</v>
      </c>
      <c r="P1887">
        <v>56.3</v>
      </c>
      <c r="Q1887" t="s">
        <v>86</v>
      </c>
      <c r="R1887">
        <v>39.299999999999997</v>
      </c>
      <c r="S1887">
        <v>46</v>
      </c>
      <c r="T1887">
        <v>6.3</v>
      </c>
      <c r="U1887">
        <v>4.7</v>
      </c>
      <c r="V1887">
        <v>5.5</v>
      </c>
      <c r="W1887">
        <v>6.6</v>
      </c>
      <c r="X1887" t="s">
        <v>66</v>
      </c>
    </row>
    <row r="1888" spans="2:24" x14ac:dyDescent="0.3">
      <c r="B1888" t="s">
        <v>1981</v>
      </c>
      <c r="C1888" t="s">
        <v>62</v>
      </c>
      <c r="D1888" t="s">
        <v>2</v>
      </c>
      <c r="E1888" t="s">
        <v>19</v>
      </c>
      <c r="F1888" t="s">
        <v>11</v>
      </c>
      <c r="G1888" t="s">
        <v>60</v>
      </c>
      <c r="H1888">
        <v>2025</v>
      </c>
      <c r="I1888">
        <v>1915</v>
      </c>
      <c r="J1888">
        <v>7.2</v>
      </c>
      <c r="K1888" t="s">
        <v>23</v>
      </c>
      <c r="L1888">
        <v>6.3</v>
      </c>
      <c r="M1888">
        <v>4.8</v>
      </c>
      <c r="N1888">
        <v>1931</v>
      </c>
      <c r="O1888" t="s">
        <v>55</v>
      </c>
      <c r="P1888">
        <v>48</v>
      </c>
      <c r="Q1888" t="s">
        <v>76</v>
      </c>
      <c r="R1888">
        <v>-25.5</v>
      </c>
      <c r="S1888">
        <v>10</v>
      </c>
      <c r="T1888">
        <v>4.2</v>
      </c>
      <c r="U1888">
        <v>6.6</v>
      </c>
      <c r="V1888">
        <v>5.8</v>
      </c>
      <c r="W1888">
        <v>5.8</v>
      </c>
      <c r="X1888" t="s">
        <v>57</v>
      </c>
    </row>
    <row r="1889" spans="2:24" x14ac:dyDescent="0.3">
      <c r="B1889" t="s">
        <v>1982</v>
      </c>
      <c r="C1889" t="s">
        <v>142</v>
      </c>
      <c r="D1889" t="s">
        <v>2</v>
      </c>
      <c r="E1889" t="s">
        <v>16</v>
      </c>
      <c r="F1889" t="s">
        <v>10</v>
      </c>
      <c r="G1889" t="s">
        <v>101</v>
      </c>
      <c r="H1889">
        <v>2025</v>
      </c>
      <c r="I1889">
        <v>6677</v>
      </c>
      <c r="J1889">
        <v>9.8000000000000007</v>
      </c>
      <c r="K1889" t="s">
        <v>23</v>
      </c>
      <c r="L1889">
        <v>5.4</v>
      </c>
      <c r="M1889">
        <v>5.3</v>
      </c>
      <c r="N1889">
        <v>2000</v>
      </c>
      <c r="O1889" t="s">
        <v>55</v>
      </c>
      <c r="P1889">
        <v>19.399999999999999</v>
      </c>
      <c r="Q1889" t="s">
        <v>56</v>
      </c>
      <c r="R1889">
        <v>-1.9</v>
      </c>
      <c r="S1889">
        <v>55</v>
      </c>
      <c r="T1889">
        <v>15.6</v>
      </c>
      <c r="U1889">
        <v>7.6</v>
      </c>
      <c r="V1889">
        <v>9.1</v>
      </c>
      <c r="W1889">
        <v>7.9</v>
      </c>
      <c r="X1889" t="s">
        <v>66</v>
      </c>
    </row>
    <row r="1890" spans="2:24" x14ac:dyDescent="0.3">
      <c r="B1890" t="s">
        <v>1983</v>
      </c>
      <c r="C1890" t="s">
        <v>92</v>
      </c>
      <c r="D1890" t="s">
        <v>7</v>
      </c>
      <c r="E1890" t="s">
        <v>18</v>
      </c>
      <c r="F1890" t="s">
        <v>12</v>
      </c>
      <c r="G1890" t="s">
        <v>131</v>
      </c>
      <c r="H1890">
        <v>2026</v>
      </c>
      <c r="I1890">
        <v>2125</v>
      </c>
      <c r="J1890">
        <v>8.6</v>
      </c>
      <c r="K1890" t="s">
        <v>24</v>
      </c>
      <c r="L1890">
        <v>3.6</v>
      </c>
      <c r="M1890">
        <v>6.3</v>
      </c>
      <c r="N1890">
        <v>630</v>
      </c>
      <c r="O1890" t="s">
        <v>64</v>
      </c>
      <c r="P1890">
        <v>16.5</v>
      </c>
      <c r="Q1890" t="s">
        <v>76</v>
      </c>
      <c r="R1890">
        <v>65.8</v>
      </c>
      <c r="S1890">
        <v>29.5</v>
      </c>
      <c r="T1890">
        <v>10.7</v>
      </c>
      <c r="U1890">
        <v>4.4000000000000004</v>
      </c>
      <c r="V1890">
        <v>8.6</v>
      </c>
      <c r="W1890">
        <v>6.1</v>
      </c>
      <c r="X1890" t="s">
        <v>57</v>
      </c>
    </row>
    <row r="1891" spans="2:24" x14ac:dyDescent="0.3">
      <c r="B1891" t="s">
        <v>1984</v>
      </c>
      <c r="C1891" t="s">
        <v>71</v>
      </c>
      <c r="D1891" t="s">
        <v>6</v>
      </c>
      <c r="E1891" t="s">
        <v>19</v>
      </c>
      <c r="F1891" t="s">
        <v>12</v>
      </c>
      <c r="G1891" t="s">
        <v>104</v>
      </c>
      <c r="H1891">
        <v>2025</v>
      </c>
      <c r="I1891">
        <v>207</v>
      </c>
      <c r="J1891">
        <v>12.7</v>
      </c>
      <c r="K1891" t="s">
        <v>25</v>
      </c>
      <c r="L1891">
        <v>2.5</v>
      </c>
      <c r="M1891">
        <v>7.2</v>
      </c>
      <c r="N1891">
        <v>2499</v>
      </c>
      <c r="O1891" t="s">
        <v>64</v>
      </c>
      <c r="P1891">
        <v>10.9</v>
      </c>
      <c r="Q1891" t="s">
        <v>76</v>
      </c>
      <c r="R1891">
        <v>14.6</v>
      </c>
      <c r="S1891">
        <v>-5.4</v>
      </c>
      <c r="T1891">
        <v>-7.6</v>
      </c>
      <c r="U1891">
        <v>3.5</v>
      </c>
      <c r="V1891">
        <v>5.9</v>
      </c>
      <c r="W1891">
        <v>6</v>
      </c>
      <c r="X1891" t="s">
        <v>116</v>
      </c>
    </row>
    <row r="1892" spans="2:24" x14ac:dyDescent="0.3">
      <c r="B1892" t="s">
        <v>1985</v>
      </c>
      <c r="C1892" t="s">
        <v>100</v>
      </c>
      <c r="D1892" t="s">
        <v>3</v>
      </c>
      <c r="E1892" t="s">
        <v>14</v>
      </c>
      <c r="F1892" t="s">
        <v>11</v>
      </c>
      <c r="G1892" t="s">
        <v>104</v>
      </c>
      <c r="H1892">
        <v>2026</v>
      </c>
      <c r="I1892">
        <v>2188</v>
      </c>
      <c r="J1892">
        <v>13.6</v>
      </c>
      <c r="K1892" t="s">
        <v>22</v>
      </c>
      <c r="L1892">
        <v>6.1</v>
      </c>
      <c r="M1892">
        <v>7.8</v>
      </c>
      <c r="N1892">
        <v>440</v>
      </c>
      <c r="O1892" t="s">
        <v>55</v>
      </c>
      <c r="P1892">
        <v>25.4</v>
      </c>
      <c r="Q1892" t="s">
        <v>88</v>
      </c>
      <c r="R1892">
        <v>-44.2</v>
      </c>
      <c r="S1892">
        <v>17.899999999999999</v>
      </c>
      <c r="T1892">
        <v>1.6</v>
      </c>
      <c r="U1892">
        <v>9.3000000000000007</v>
      </c>
      <c r="V1892">
        <v>5.8</v>
      </c>
      <c r="W1892">
        <v>5.4</v>
      </c>
      <c r="X1892" t="s">
        <v>116</v>
      </c>
    </row>
    <row r="1893" spans="2:24" x14ac:dyDescent="0.3">
      <c r="B1893" t="s">
        <v>1986</v>
      </c>
      <c r="C1893" t="s">
        <v>142</v>
      </c>
      <c r="D1893" t="s">
        <v>8</v>
      </c>
      <c r="E1893" t="s">
        <v>17</v>
      </c>
      <c r="F1893" t="s">
        <v>12</v>
      </c>
      <c r="G1893" t="s">
        <v>115</v>
      </c>
      <c r="H1893">
        <v>2026</v>
      </c>
      <c r="I1893">
        <v>17984</v>
      </c>
      <c r="J1893">
        <v>14.4</v>
      </c>
      <c r="K1893" t="s">
        <v>24</v>
      </c>
      <c r="L1893">
        <v>6.6</v>
      </c>
      <c r="M1893">
        <v>6</v>
      </c>
      <c r="N1893">
        <v>851</v>
      </c>
      <c r="O1893" t="s">
        <v>64</v>
      </c>
      <c r="P1893">
        <v>48.6</v>
      </c>
      <c r="Q1893" t="s">
        <v>76</v>
      </c>
      <c r="R1893">
        <v>18.899999999999999</v>
      </c>
      <c r="S1893">
        <v>53.4</v>
      </c>
      <c r="T1893">
        <v>27.3</v>
      </c>
      <c r="U1893">
        <v>5.5</v>
      </c>
      <c r="V1893">
        <v>5.8</v>
      </c>
      <c r="W1893">
        <v>6.8</v>
      </c>
      <c r="X1893" t="s">
        <v>66</v>
      </c>
    </row>
    <row r="1894" spans="2:24" x14ac:dyDescent="0.3">
      <c r="B1894" t="s">
        <v>1987</v>
      </c>
      <c r="C1894" t="s">
        <v>90</v>
      </c>
      <c r="D1894" t="s">
        <v>2</v>
      </c>
      <c r="E1894" t="s">
        <v>19</v>
      </c>
      <c r="F1894" t="s">
        <v>12</v>
      </c>
      <c r="G1894" t="s">
        <v>101</v>
      </c>
      <c r="H1894">
        <v>2026</v>
      </c>
      <c r="I1894">
        <v>4233</v>
      </c>
      <c r="J1894">
        <v>13.9</v>
      </c>
      <c r="K1894" t="s">
        <v>25</v>
      </c>
      <c r="L1894">
        <v>3.8</v>
      </c>
      <c r="M1894">
        <v>7.6</v>
      </c>
      <c r="N1894">
        <v>3953</v>
      </c>
      <c r="O1894" t="s">
        <v>64</v>
      </c>
      <c r="P1894">
        <v>11.8</v>
      </c>
      <c r="Q1894" t="s">
        <v>56</v>
      </c>
      <c r="R1894">
        <v>-23.2</v>
      </c>
      <c r="S1894">
        <v>23.8</v>
      </c>
      <c r="T1894">
        <v>11.8</v>
      </c>
      <c r="U1894">
        <v>5.6</v>
      </c>
      <c r="V1894">
        <v>7.3</v>
      </c>
      <c r="W1894">
        <v>5.8</v>
      </c>
      <c r="X1894" t="s">
        <v>66</v>
      </c>
    </row>
    <row r="1895" spans="2:24" x14ac:dyDescent="0.3">
      <c r="B1895" t="s">
        <v>1988</v>
      </c>
      <c r="C1895" t="s">
        <v>159</v>
      </c>
      <c r="D1895" t="s">
        <v>2</v>
      </c>
      <c r="E1895" t="s">
        <v>19</v>
      </c>
      <c r="F1895" t="s">
        <v>10</v>
      </c>
      <c r="G1895" t="s">
        <v>112</v>
      </c>
      <c r="H1895">
        <v>2026</v>
      </c>
      <c r="I1895">
        <v>1166</v>
      </c>
      <c r="J1895">
        <v>7.8</v>
      </c>
      <c r="K1895" t="s">
        <v>25</v>
      </c>
      <c r="L1895">
        <v>6</v>
      </c>
      <c r="M1895">
        <v>10</v>
      </c>
      <c r="N1895">
        <v>5163</v>
      </c>
      <c r="O1895" t="s">
        <v>55</v>
      </c>
      <c r="P1895">
        <v>39.799999999999997</v>
      </c>
      <c r="Q1895" t="s">
        <v>56</v>
      </c>
      <c r="R1895">
        <v>82</v>
      </c>
      <c r="S1895">
        <v>-15.6</v>
      </c>
      <c r="T1895">
        <v>-12.2</v>
      </c>
      <c r="U1895">
        <v>7.5</v>
      </c>
      <c r="V1895">
        <v>5.2</v>
      </c>
      <c r="W1895">
        <v>5</v>
      </c>
      <c r="X1895" t="s">
        <v>57</v>
      </c>
    </row>
    <row r="1896" spans="2:24" x14ac:dyDescent="0.3">
      <c r="B1896" t="s">
        <v>1989</v>
      </c>
      <c r="C1896" t="s">
        <v>27</v>
      </c>
      <c r="D1896" t="s">
        <v>3</v>
      </c>
      <c r="E1896" t="s">
        <v>14</v>
      </c>
      <c r="F1896" t="s">
        <v>10</v>
      </c>
      <c r="G1896" t="s">
        <v>131</v>
      </c>
      <c r="H1896">
        <v>2026</v>
      </c>
      <c r="I1896">
        <v>2024</v>
      </c>
      <c r="J1896">
        <v>16.3</v>
      </c>
      <c r="K1896" t="s">
        <v>21</v>
      </c>
      <c r="L1896">
        <v>11</v>
      </c>
      <c r="M1896">
        <v>10</v>
      </c>
      <c r="N1896">
        <v>1302</v>
      </c>
      <c r="O1896" t="s">
        <v>64</v>
      </c>
      <c r="P1896">
        <v>42.3</v>
      </c>
      <c r="Q1896" t="s">
        <v>56</v>
      </c>
      <c r="R1896">
        <v>-39</v>
      </c>
      <c r="S1896">
        <v>-5.8</v>
      </c>
      <c r="T1896">
        <v>-6.8</v>
      </c>
      <c r="U1896">
        <v>7.9</v>
      </c>
      <c r="V1896">
        <v>3.6</v>
      </c>
      <c r="W1896">
        <v>3.8</v>
      </c>
      <c r="X1896" t="s">
        <v>66</v>
      </c>
    </row>
    <row r="1897" spans="2:24" x14ac:dyDescent="0.3">
      <c r="B1897" t="s">
        <v>1990</v>
      </c>
      <c r="C1897" t="s">
        <v>68</v>
      </c>
      <c r="D1897" t="s">
        <v>8</v>
      </c>
      <c r="E1897" t="s">
        <v>15</v>
      </c>
      <c r="F1897" t="s">
        <v>12</v>
      </c>
      <c r="G1897" t="s">
        <v>54</v>
      </c>
      <c r="H1897">
        <v>2024</v>
      </c>
      <c r="I1897">
        <v>5970</v>
      </c>
      <c r="J1897">
        <v>38.299999999999997</v>
      </c>
      <c r="K1897" t="s">
        <v>24</v>
      </c>
      <c r="L1897">
        <v>3.8</v>
      </c>
      <c r="M1897">
        <v>10</v>
      </c>
      <c r="N1897">
        <v>375</v>
      </c>
      <c r="O1897" t="s">
        <v>75</v>
      </c>
      <c r="P1897">
        <v>24</v>
      </c>
      <c r="Q1897" t="s">
        <v>56</v>
      </c>
      <c r="R1897">
        <v>89.4</v>
      </c>
      <c r="S1897">
        <v>56.8</v>
      </c>
      <c r="T1897">
        <v>10.7</v>
      </c>
      <c r="U1897">
        <v>4.9000000000000004</v>
      </c>
      <c r="V1897">
        <v>4.5</v>
      </c>
      <c r="W1897">
        <v>4.7</v>
      </c>
      <c r="X1897" t="s">
        <v>66</v>
      </c>
    </row>
    <row r="1898" spans="2:24" x14ac:dyDescent="0.3">
      <c r="B1898" t="s">
        <v>1991</v>
      </c>
      <c r="C1898" t="s">
        <v>68</v>
      </c>
      <c r="D1898" t="s">
        <v>8</v>
      </c>
      <c r="E1898" t="s">
        <v>18</v>
      </c>
      <c r="F1898" t="s">
        <v>10</v>
      </c>
      <c r="G1898" t="s">
        <v>98</v>
      </c>
      <c r="H1898">
        <v>2025</v>
      </c>
      <c r="I1898">
        <v>5830</v>
      </c>
      <c r="J1898">
        <v>6.6</v>
      </c>
      <c r="K1898" t="s">
        <v>22</v>
      </c>
      <c r="L1898">
        <v>8.4</v>
      </c>
      <c r="M1898">
        <v>8.6999999999999993</v>
      </c>
      <c r="N1898">
        <v>1548</v>
      </c>
      <c r="O1898" t="s">
        <v>55</v>
      </c>
      <c r="P1898">
        <v>38.6</v>
      </c>
      <c r="Q1898" t="s">
        <v>86</v>
      </c>
      <c r="R1898">
        <v>-7.1</v>
      </c>
      <c r="S1898">
        <v>-18.600000000000001</v>
      </c>
      <c r="T1898">
        <v>-11.5</v>
      </c>
      <c r="U1898">
        <v>7.8</v>
      </c>
      <c r="V1898">
        <v>7.2</v>
      </c>
      <c r="W1898">
        <v>5.3</v>
      </c>
      <c r="X1898" t="s">
        <v>116</v>
      </c>
    </row>
    <row r="1899" spans="2:24" x14ac:dyDescent="0.3">
      <c r="B1899" t="s">
        <v>1992</v>
      </c>
      <c r="C1899" t="s">
        <v>90</v>
      </c>
      <c r="D1899" t="s">
        <v>6</v>
      </c>
      <c r="E1899" t="s">
        <v>16</v>
      </c>
      <c r="F1899" t="s">
        <v>9</v>
      </c>
      <c r="G1899" t="s">
        <v>115</v>
      </c>
      <c r="H1899">
        <v>2024</v>
      </c>
      <c r="I1899">
        <v>12253</v>
      </c>
      <c r="J1899">
        <v>16.8</v>
      </c>
      <c r="K1899" t="s">
        <v>24</v>
      </c>
      <c r="L1899">
        <v>5.4</v>
      </c>
      <c r="M1899">
        <v>6.3</v>
      </c>
      <c r="N1899">
        <v>1206</v>
      </c>
      <c r="O1899" t="s">
        <v>64</v>
      </c>
      <c r="P1899">
        <v>42</v>
      </c>
      <c r="Q1899" t="s">
        <v>88</v>
      </c>
      <c r="R1899">
        <v>60</v>
      </c>
      <c r="S1899">
        <v>44.4</v>
      </c>
      <c r="T1899">
        <v>10.7</v>
      </c>
      <c r="U1899">
        <v>4.5</v>
      </c>
      <c r="V1899">
        <v>7.7</v>
      </c>
      <c r="W1899">
        <v>6.7</v>
      </c>
      <c r="X1899" t="s">
        <v>66</v>
      </c>
    </row>
    <row r="1900" spans="2:24" x14ac:dyDescent="0.3">
      <c r="B1900" t="s">
        <v>1993</v>
      </c>
      <c r="C1900" t="s">
        <v>159</v>
      </c>
      <c r="D1900" t="s">
        <v>7</v>
      </c>
      <c r="E1900" t="s">
        <v>18</v>
      </c>
      <c r="F1900" t="s">
        <v>9</v>
      </c>
      <c r="G1900" t="s">
        <v>63</v>
      </c>
      <c r="H1900">
        <v>2026</v>
      </c>
      <c r="I1900">
        <v>673</v>
      </c>
      <c r="J1900">
        <v>5.2</v>
      </c>
      <c r="K1900" t="s">
        <v>22</v>
      </c>
      <c r="L1900">
        <v>15.8</v>
      </c>
      <c r="M1900">
        <v>8.1</v>
      </c>
      <c r="N1900">
        <v>5872</v>
      </c>
      <c r="O1900" t="s">
        <v>55</v>
      </c>
      <c r="P1900">
        <v>69</v>
      </c>
      <c r="Q1900" t="s">
        <v>56</v>
      </c>
      <c r="R1900">
        <v>-15.9</v>
      </c>
      <c r="S1900">
        <v>51.7</v>
      </c>
      <c r="T1900">
        <v>14.8</v>
      </c>
      <c r="U1900">
        <v>9.6999999999999993</v>
      </c>
      <c r="V1900">
        <v>8.6</v>
      </c>
      <c r="W1900">
        <v>6.9</v>
      </c>
      <c r="X1900" t="s">
        <v>57</v>
      </c>
    </row>
    <row r="1901" spans="2:24" x14ac:dyDescent="0.3">
      <c r="B1901" t="s">
        <v>1994</v>
      </c>
      <c r="C1901" t="s">
        <v>53</v>
      </c>
      <c r="D1901" t="s">
        <v>7</v>
      </c>
      <c r="E1901" t="s">
        <v>16</v>
      </c>
      <c r="F1901" t="s">
        <v>9</v>
      </c>
      <c r="G1901" t="s">
        <v>74</v>
      </c>
      <c r="H1901">
        <v>2025</v>
      </c>
      <c r="I1901">
        <v>1661</v>
      </c>
      <c r="J1901">
        <v>1.1000000000000001</v>
      </c>
      <c r="K1901" t="s">
        <v>23</v>
      </c>
      <c r="L1901">
        <v>11.9</v>
      </c>
      <c r="M1901">
        <v>10</v>
      </c>
      <c r="N1901">
        <v>3142</v>
      </c>
      <c r="O1901" t="s">
        <v>55</v>
      </c>
      <c r="P1901">
        <v>70.2</v>
      </c>
      <c r="Q1901" t="s">
        <v>88</v>
      </c>
      <c r="R1901">
        <v>49.6</v>
      </c>
      <c r="S1901">
        <v>-19.5</v>
      </c>
      <c r="T1901">
        <v>-3.2</v>
      </c>
      <c r="U1901">
        <v>7.8</v>
      </c>
      <c r="V1901">
        <v>6.8</v>
      </c>
      <c r="W1901">
        <v>4.5999999999999996</v>
      </c>
      <c r="X1901" t="s">
        <v>57</v>
      </c>
    </row>
    <row r="1902" spans="2:24" x14ac:dyDescent="0.3">
      <c r="B1902" t="s">
        <v>1995</v>
      </c>
      <c r="C1902" t="s">
        <v>71</v>
      </c>
      <c r="D1902" t="s">
        <v>6</v>
      </c>
      <c r="E1902" t="s">
        <v>15</v>
      </c>
      <c r="F1902" t="s">
        <v>9</v>
      </c>
      <c r="G1902" t="s">
        <v>78</v>
      </c>
      <c r="H1902">
        <v>2025</v>
      </c>
      <c r="I1902">
        <v>111</v>
      </c>
      <c r="J1902">
        <v>0.2</v>
      </c>
      <c r="K1902" t="s">
        <v>25</v>
      </c>
      <c r="L1902">
        <v>3.1</v>
      </c>
      <c r="M1902">
        <v>4.0999999999999996</v>
      </c>
      <c r="N1902">
        <v>646</v>
      </c>
      <c r="O1902" t="s">
        <v>64</v>
      </c>
      <c r="P1902">
        <v>37.4</v>
      </c>
      <c r="Q1902" t="s">
        <v>88</v>
      </c>
      <c r="R1902">
        <v>-19.600000000000001</v>
      </c>
      <c r="S1902">
        <v>-18.100000000000001</v>
      </c>
      <c r="T1902">
        <v>-14.5</v>
      </c>
      <c r="U1902">
        <v>2.2000000000000002</v>
      </c>
      <c r="V1902">
        <v>5.2</v>
      </c>
      <c r="W1902">
        <v>6.6</v>
      </c>
      <c r="X1902" t="s">
        <v>57</v>
      </c>
    </row>
    <row r="1903" spans="2:24" x14ac:dyDescent="0.3">
      <c r="B1903" t="s">
        <v>1996</v>
      </c>
      <c r="C1903" t="s">
        <v>62</v>
      </c>
      <c r="D1903" t="s">
        <v>2</v>
      </c>
      <c r="E1903" t="s">
        <v>18</v>
      </c>
      <c r="F1903" t="s">
        <v>12</v>
      </c>
      <c r="G1903" t="s">
        <v>112</v>
      </c>
      <c r="H1903">
        <v>2025</v>
      </c>
      <c r="I1903">
        <v>16002</v>
      </c>
      <c r="J1903">
        <v>28.2</v>
      </c>
      <c r="K1903" t="s">
        <v>24</v>
      </c>
      <c r="L1903">
        <v>7.1</v>
      </c>
      <c r="M1903">
        <v>9.3000000000000007</v>
      </c>
      <c r="N1903">
        <v>2034</v>
      </c>
      <c r="O1903" t="s">
        <v>64</v>
      </c>
      <c r="P1903">
        <v>39.799999999999997</v>
      </c>
      <c r="Q1903" t="s">
        <v>56</v>
      </c>
      <c r="R1903">
        <v>-36.700000000000003</v>
      </c>
      <c r="S1903">
        <v>41.6</v>
      </c>
      <c r="T1903">
        <v>20.100000000000001</v>
      </c>
      <c r="U1903">
        <v>4.2</v>
      </c>
      <c r="V1903">
        <v>6.1</v>
      </c>
      <c r="W1903">
        <v>5.4</v>
      </c>
      <c r="X1903" t="s">
        <v>66</v>
      </c>
    </row>
    <row r="1904" spans="2:24" x14ac:dyDescent="0.3">
      <c r="B1904" t="s">
        <v>1997</v>
      </c>
      <c r="C1904" t="s">
        <v>106</v>
      </c>
      <c r="D1904" t="s">
        <v>8</v>
      </c>
      <c r="E1904" t="s">
        <v>19</v>
      </c>
      <c r="F1904" t="s">
        <v>9</v>
      </c>
      <c r="G1904" t="s">
        <v>69</v>
      </c>
      <c r="H1904">
        <v>2026</v>
      </c>
      <c r="I1904">
        <v>2705</v>
      </c>
      <c r="J1904">
        <v>11.1</v>
      </c>
      <c r="K1904" t="s">
        <v>25</v>
      </c>
      <c r="L1904">
        <v>2.2999999999999998</v>
      </c>
      <c r="M1904">
        <v>3.2</v>
      </c>
      <c r="N1904">
        <v>4052</v>
      </c>
      <c r="O1904" t="s">
        <v>55</v>
      </c>
      <c r="P1904">
        <v>74.5</v>
      </c>
      <c r="Q1904" t="s">
        <v>79</v>
      </c>
      <c r="R1904">
        <v>-38.9</v>
      </c>
      <c r="S1904">
        <v>55.8</v>
      </c>
      <c r="T1904">
        <v>16.5</v>
      </c>
      <c r="U1904">
        <v>1.5</v>
      </c>
      <c r="V1904">
        <v>6.4</v>
      </c>
      <c r="W1904">
        <v>8.6</v>
      </c>
      <c r="X1904" t="s">
        <v>116</v>
      </c>
    </row>
    <row r="1905" spans="2:24" x14ac:dyDescent="0.3">
      <c r="B1905" t="s">
        <v>1998</v>
      </c>
      <c r="C1905" t="s">
        <v>100</v>
      </c>
      <c r="D1905" t="s">
        <v>3</v>
      </c>
      <c r="E1905" t="s">
        <v>18</v>
      </c>
      <c r="F1905" t="s">
        <v>11</v>
      </c>
      <c r="G1905" t="s">
        <v>74</v>
      </c>
      <c r="H1905">
        <v>2025</v>
      </c>
      <c r="I1905">
        <v>4321</v>
      </c>
      <c r="J1905">
        <v>11.9</v>
      </c>
      <c r="K1905" t="s">
        <v>22</v>
      </c>
      <c r="L1905">
        <v>2</v>
      </c>
      <c r="M1905">
        <v>5.9</v>
      </c>
      <c r="N1905">
        <v>5657</v>
      </c>
      <c r="O1905" t="s">
        <v>55</v>
      </c>
      <c r="P1905">
        <v>25.6</v>
      </c>
      <c r="Q1905" t="s">
        <v>84</v>
      </c>
      <c r="R1905">
        <v>-5.0999999999999996</v>
      </c>
      <c r="S1905">
        <v>-24.5</v>
      </c>
      <c r="T1905">
        <v>-21</v>
      </c>
      <c r="U1905">
        <v>1.4</v>
      </c>
      <c r="V1905">
        <v>4.2</v>
      </c>
      <c r="W1905">
        <v>4.2</v>
      </c>
      <c r="X1905" t="s">
        <v>116</v>
      </c>
    </row>
    <row r="1906" spans="2:24" x14ac:dyDescent="0.3">
      <c r="B1906" t="s">
        <v>1999</v>
      </c>
      <c r="C1906" t="s">
        <v>81</v>
      </c>
      <c r="D1906" t="s">
        <v>5</v>
      </c>
      <c r="E1906" t="s">
        <v>19</v>
      </c>
      <c r="F1906" t="s">
        <v>9</v>
      </c>
      <c r="G1906" t="s">
        <v>74</v>
      </c>
      <c r="H1906">
        <v>2025</v>
      </c>
      <c r="I1906">
        <v>4717</v>
      </c>
      <c r="J1906">
        <v>5.0999999999999996</v>
      </c>
      <c r="K1906" t="s">
        <v>25</v>
      </c>
      <c r="L1906">
        <v>3.1</v>
      </c>
      <c r="M1906">
        <v>3.6</v>
      </c>
      <c r="N1906">
        <v>4699</v>
      </c>
      <c r="O1906" t="s">
        <v>55</v>
      </c>
      <c r="P1906">
        <v>22.1</v>
      </c>
      <c r="Q1906" t="s">
        <v>125</v>
      </c>
      <c r="R1906">
        <v>54.5</v>
      </c>
      <c r="S1906">
        <v>17.100000000000001</v>
      </c>
      <c r="T1906">
        <v>11.4</v>
      </c>
      <c r="U1906">
        <v>2.7</v>
      </c>
      <c r="V1906">
        <v>7.7</v>
      </c>
      <c r="W1906">
        <v>8.1</v>
      </c>
      <c r="X1906" t="s">
        <v>116</v>
      </c>
    </row>
    <row r="1907" spans="2:24" x14ac:dyDescent="0.3">
      <c r="B1907" t="s">
        <v>2000</v>
      </c>
      <c r="C1907" t="s">
        <v>106</v>
      </c>
      <c r="D1907" t="s">
        <v>3</v>
      </c>
      <c r="E1907" t="s">
        <v>17</v>
      </c>
      <c r="F1907" t="s">
        <v>12</v>
      </c>
      <c r="G1907" t="s">
        <v>54</v>
      </c>
      <c r="H1907">
        <v>2024</v>
      </c>
      <c r="I1907">
        <v>4872</v>
      </c>
      <c r="J1907">
        <v>8.5</v>
      </c>
      <c r="K1907" t="s">
        <v>21</v>
      </c>
      <c r="L1907">
        <v>4.2</v>
      </c>
      <c r="M1907">
        <v>9.6999999999999993</v>
      </c>
      <c r="N1907">
        <v>1420</v>
      </c>
      <c r="O1907" t="s">
        <v>55</v>
      </c>
      <c r="P1907">
        <v>66.400000000000006</v>
      </c>
      <c r="Q1907" t="s">
        <v>56</v>
      </c>
      <c r="R1907">
        <v>8</v>
      </c>
      <c r="S1907">
        <v>8.4</v>
      </c>
      <c r="T1907">
        <v>-4.8</v>
      </c>
      <c r="U1907">
        <v>6.3</v>
      </c>
      <c r="V1907">
        <v>6</v>
      </c>
      <c r="W1907">
        <v>4.7</v>
      </c>
      <c r="X1907" t="s">
        <v>116</v>
      </c>
    </row>
    <row r="1908" spans="2:24" x14ac:dyDescent="0.3">
      <c r="B1908" t="s">
        <v>2001</v>
      </c>
      <c r="C1908" t="s">
        <v>68</v>
      </c>
      <c r="D1908" t="s">
        <v>8</v>
      </c>
      <c r="E1908" t="s">
        <v>16</v>
      </c>
      <c r="F1908" t="s">
        <v>12</v>
      </c>
      <c r="G1908" t="s">
        <v>101</v>
      </c>
      <c r="H1908">
        <v>2024</v>
      </c>
      <c r="I1908">
        <v>1331</v>
      </c>
      <c r="J1908">
        <v>0.7</v>
      </c>
      <c r="K1908" t="s">
        <v>22</v>
      </c>
      <c r="L1908">
        <v>4.2</v>
      </c>
      <c r="M1908">
        <v>2.4</v>
      </c>
      <c r="N1908">
        <v>1285</v>
      </c>
      <c r="O1908" t="s">
        <v>55</v>
      </c>
      <c r="P1908">
        <v>79.3</v>
      </c>
      <c r="Q1908" t="s">
        <v>125</v>
      </c>
      <c r="R1908">
        <v>36.6</v>
      </c>
      <c r="S1908">
        <v>-16.5</v>
      </c>
      <c r="T1908">
        <v>-14.9</v>
      </c>
      <c r="U1908">
        <v>2.9</v>
      </c>
      <c r="V1908">
        <v>6.2</v>
      </c>
      <c r="W1908">
        <v>6.7</v>
      </c>
      <c r="X1908" t="s">
        <v>57</v>
      </c>
    </row>
    <row r="1909" spans="2:24" x14ac:dyDescent="0.3">
      <c r="B1909" t="s">
        <v>2002</v>
      </c>
      <c r="C1909" t="s">
        <v>59</v>
      </c>
      <c r="D1909" t="s">
        <v>4</v>
      </c>
      <c r="E1909" t="s">
        <v>19</v>
      </c>
      <c r="F1909" t="s">
        <v>12</v>
      </c>
      <c r="G1909" t="s">
        <v>104</v>
      </c>
      <c r="H1909">
        <v>2024</v>
      </c>
      <c r="I1909">
        <v>1743</v>
      </c>
      <c r="J1909">
        <v>16.399999999999999</v>
      </c>
      <c r="K1909" t="s">
        <v>25</v>
      </c>
      <c r="L1909">
        <v>3.1</v>
      </c>
      <c r="M1909">
        <v>4.5999999999999996</v>
      </c>
      <c r="N1909">
        <v>1408</v>
      </c>
      <c r="O1909" t="s">
        <v>64</v>
      </c>
      <c r="P1909">
        <v>10.8</v>
      </c>
      <c r="Q1909" t="s">
        <v>125</v>
      </c>
      <c r="R1909">
        <v>23.9</v>
      </c>
      <c r="S1909">
        <v>26</v>
      </c>
      <c r="T1909">
        <v>8.6</v>
      </c>
      <c r="U1909">
        <v>1.9</v>
      </c>
      <c r="V1909">
        <v>6</v>
      </c>
      <c r="W1909">
        <v>6.1</v>
      </c>
      <c r="X1909" t="s">
        <v>116</v>
      </c>
    </row>
    <row r="1910" spans="2:24" x14ac:dyDescent="0.3">
      <c r="B1910" t="s">
        <v>2003</v>
      </c>
      <c r="C1910" t="s">
        <v>73</v>
      </c>
      <c r="D1910" t="s">
        <v>2</v>
      </c>
      <c r="E1910" t="s">
        <v>17</v>
      </c>
      <c r="F1910" t="s">
        <v>10</v>
      </c>
      <c r="G1910" t="s">
        <v>112</v>
      </c>
      <c r="H1910">
        <v>2026</v>
      </c>
      <c r="I1910">
        <v>5431</v>
      </c>
      <c r="J1910">
        <v>15</v>
      </c>
      <c r="K1910" t="s">
        <v>23</v>
      </c>
      <c r="L1910">
        <v>7.8</v>
      </c>
      <c r="M1910">
        <v>7.4</v>
      </c>
      <c r="N1910">
        <v>3542</v>
      </c>
      <c r="O1910" t="s">
        <v>55</v>
      </c>
      <c r="P1910">
        <v>13.2</v>
      </c>
      <c r="Q1910" t="s">
        <v>56</v>
      </c>
      <c r="R1910">
        <v>10</v>
      </c>
      <c r="S1910">
        <v>-14</v>
      </c>
      <c r="T1910">
        <v>-10.6</v>
      </c>
      <c r="U1910">
        <v>5.7</v>
      </c>
      <c r="V1910">
        <v>6.6</v>
      </c>
      <c r="W1910">
        <v>4.7</v>
      </c>
      <c r="X1910" t="s">
        <v>116</v>
      </c>
    </row>
    <row r="1911" spans="2:24" x14ac:dyDescent="0.3">
      <c r="B1911" t="s">
        <v>2004</v>
      </c>
      <c r="C1911" t="s">
        <v>81</v>
      </c>
      <c r="D1911" t="s">
        <v>5</v>
      </c>
      <c r="E1911" t="s">
        <v>19</v>
      </c>
      <c r="F1911" t="s">
        <v>12</v>
      </c>
      <c r="G1911" t="s">
        <v>131</v>
      </c>
      <c r="H1911">
        <v>2025</v>
      </c>
      <c r="I1911">
        <v>1172</v>
      </c>
      <c r="J1911">
        <v>8.9</v>
      </c>
      <c r="K1911" t="s">
        <v>22</v>
      </c>
      <c r="L1911">
        <v>6.1</v>
      </c>
      <c r="M1911">
        <v>7.5</v>
      </c>
      <c r="N1911">
        <v>1494</v>
      </c>
      <c r="O1911" t="s">
        <v>64</v>
      </c>
      <c r="P1911">
        <v>41.6</v>
      </c>
      <c r="Q1911" t="s">
        <v>65</v>
      </c>
      <c r="R1911">
        <v>21.3</v>
      </c>
      <c r="S1911">
        <v>55.4</v>
      </c>
      <c r="T1911">
        <v>20.5</v>
      </c>
      <c r="U1911">
        <v>5.2</v>
      </c>
      <c r="V1911">
        <v>6.5</v>
      </c>
      <c r="W1911">
        <v>7.9</v>
      </c>
      <c r="X1911" t="s">
        <v>57</v>
      </c>
    </row>
    <row r="1912" spans="2:24" x14ac:dyDescent="0.3">
      <c r="B1912" t="s">
        <v>2005</v>
      </c>
      <c r="C1912" t="s">
        <v>59</v>
      </c>
      <c r="D1912" t="s">
        <v>4</v>
      </c>
      <c r="E1912" t="s">
        <v>16</v>
      </c>
      <c r="F1912" t="s">
        <v>12</v>
      </c>
      <c r="G1912" t="s">
        <v>112</v>
      </c>
      <c r="H1912">
        <v>2024</v>
      </c>
      <c r="I1912">
        <v>1231</v>
      </c>
      <c r="J1912">
        <v>13.7</v>
      </c>
      <c r="K1912" t="s">
        <v>21</v>
      </c>
      <c r="L1912">
        <v>7.8</v>
      </c>
      <c r="M1912">
        <v>6.4</v>
      </c>
      <c r="N1912">
        <v>4049</v>
      </c>
      <c r="O1912" t="s">
        <v>55</v>
      </c>
      <c r="P1912">
        <v>46</v>
      </c>
      <c r="Q1912" t="s">
        <v>76</v>
      </c>
      <c r="R1912">
        <v>-32.6</v>
      </c>
      <c r="S1912">
        <v>57.1</v>
      </c>
      <c r="T1912">
        <v>17.899999999999999</v>
      </c>
      <c r="U1912">
        <v>4.9000000000000004</v>
      </c>
      <c r="V1912">
        <v>6.4</v>
      </c>
      <c r="W1912">
        <v>8</v>
      </c>
      <c r="X1912" t="s">
        <v>116</v>
      </c>
    </row>
    <row r="1913" spans="2:24" x14ac:dyDescent="0.3">
      <c r="B1913" t="s">
        <v>2006</v>
      </c>
      <c r="C1913" t="s">
        <v>90</v>
      </c>
      <c r="D1913" t="s">
        <v>2</v>
      </c>
      <c r="E1913" t="s">
        <v>17</v>
      </c>
      <c r="F1913" t="s">
        <v>11</v>
      </c>
      <c r="G1913" t="s">
        <v>98</v>
      </c>
      <c r="H1913">
        <v>2025</v>
      </c>
      <c r="I1913">
        <v>1362</v>
      </c>
      <c r="J1913">
        <v>4.2</v>
      </c>
      <c r="K1913" t="s">
        <v>25</v>
      </c>
      <c r="L1913">
        <v>1.5</v>
      </c>
      <c r="M1913">
        <v>1.5</v>
      </c>
      <c r="N1913">
        <v>6863</v>
      </c>
      <c r="O1913" t="s">
        <v>55</v>
      </c>
      <c r="P1913">
        <v>51.4</v>
      </c>
      <c r="Q1913" t="s">
        <v>56</v>
      </c>
      <c r="R1913">
        <v>2.2000000000000002</v>
      </c>
      <c r="S1913">
        <v>-0.1</v>
      </c>
      <c r="T1913">
        <v>4</v>
      </c>
      <c r="U1913">
        <v>1</v>
      </c>
      <c r="V1913">
        <v>6.6</v>
      </c>
      <c r="W1913">
        <v>7.8</v>
      </c>
      <c r="X1913" t="s">
        <v>57</v>
      </c>
    </row>
    <row r="1914" spans="2:24" x14ac:dyDescent="0.3">
      <c r="B1914" t="s">
        <v>2007</v>
      </c>
      <c r="C1914" t="s">
        <v>106</v>
      </c>
      <c r="D1914" t="s">
        <v>8</v>
      </c>
      <c r="E1914" t="s">
        <v>15</v>
      </c>
      <c r="F1914" t="s">
        <v>12</v>
      </c>
      <c r="G1914" t="s">
        <v>115</v>
      </c>
      <c r="H1914">
        <v>2026</v>
      </c>
      <c r="I1914">
        <v>14426</v>
      </c>
      <c r="J1914">
        <v>10.9</v>
      </c>
      <c r="K1914" t="s">
        <v>25</v>
      </c>
      <c r="L1914">
        <v>2.2999999999999998</v>
      </c>
      <c r="M1914">
        <v>4.8</v>
      </c>
      <c r="N1914">
        <v>990</v>
      </c>
      <c r="O1914" t="s">
        <v>64</v>
      </c>
      <c r="P1914">
        <v>67.8</v>
      </c>
      <c r="Q1914" t="s">
        <v>56</v>
      </c>
      <c r="R1914">
        <v>85</v>
      </c>
      <c r="S1914">
        <v>5</v>
      </c>
      <c r="T1914">
        <v>2</v>
      </c>
      <c r="U1914">
        <v>2</v>
      </c>
      <c r="V1914">
        <v>6.7</v>
      </c>
      <c r="W1914">
        <v>6.7</v>
      </c>
      <c r="X1914" t="s">
        <v>66</v>
      </c>
    </row>
    <row r="1915" spans="2:24" x14ac:dyDescent="0.3">
      <c r="B1915" t="s">
        <v>2008</v>
      </c>
      <c r="C1915" t="s">
        <v>139</v>
      </c>
      <c r="D1915" t="s">
        <v>8</v>
      </c>
      <c r="E1915" t="s">
        <v>18</v>
      </c>
      <c r="F1915" t="s">
        <v>9</v>
      </c>
      <c r="G1915" t="s">
        <v>74</v>
      </c>
      <c r="H1915">
        <v>2026</v>
      </c>
      <c r="I1915">
        <v>1931</v>
      </c>
      <c r="J1915">
        <v>1.5</v>
      </c>
      <c r="K1915" t="s">
        <v>21</v>
      </c>
      <c r="L1915">
        <v>3.2</v>
      </c>
      <c r="M1915">
        <v>7.6</v>
      </c>
      <c r="N1915">
        <v>4954</v>
      </c>
      <c r="O1915" t="s">
        <v>55</v>
      </c>
      <c r="P1915">
        <v>40.9</v>
      </c>
      <c r="Q1915" t="s">
        <v>56</v>
      </c>
      <c r="R1915">
        <v>-14</v>
      </c>
      <c r="S1915">
        <v>-8.1</v>
      </c>
      <c r="T1915">
        <v>-0.2</v>
      </c>
      <c r="U1915">
        <v>5.3</v>
      </c>
      <c r="V1915">
        <v>5.7</v>
      </c>
      <c r="W1915">
        <v>5.3</v>
      </c>
      <c r="X1915" t="s">
        <v>57</v>
      </c>
    </row>
    <row r="1916" spans="2:24" x14ac:dyDescent="0.3">
      <c r="B1916" t="s">
        <v>2009</v>
      </c>
      <c r="C1916" t="s">
        <v>53</v>
      </c>
      <c r="D1916" t="s">
        <v>3</v>
      </c>
      <c r="E1916" t="s">
        <v>14</v>
      </c>
      <c r="F1916" t="s">
        <v>12</v>
      </c>
      <c r="G1916" t="s">
        <v>63</v>
      </c>
      <c r="H1916">
        <v>2025</v>
      </c>
      <c r="I1916">
        <v>5228</v>
      </c>
      <c r="J1916">
        <v>5.8</v>
      </c>
      <c r="K1916" t="s">
        <v>22</v>
      </c>
      <c r="L1916">
        <v>9.9</v>
      </c>
      <c r="M1916">
        <v>8.1</v>
      </c>
      <c r="N1916">
        <v>1020</v>
      </c>
      <c r="O1916" t="s">
        <v>55</v>
      </c>
      <c r="P1916">
        <v>68.599999999999994</v>
      </c>
      <c r="Q1916" t="s">
        <v>88</v>
      </c>
      <c r="R1916">
        <v>0.6</v>
      </c>
      <c r="S1916">
        <v>36.200000000000003</v>
      </c>
      <c r="T1916">
        <v>13.1</v>
      </c>
      <c r="U1916">
        <v>7.1</v>
      </c>
      <c r="V1916">
        <v>8</v>
      </c>
      <c r="W1916">
        <v>6.3</v>
      </c>
      <c r="X1916" t="s">
        <v>116</v>
      </c>
    </row>
    <row r="1917" spans="2:24" x14ac:dyDescent="0.3">
      <c r="B1917" t="s">
        <v>2010</v>
      </c>
      <c r="C1917" t="s">
        <v>59</v>
      </c>
      <c r="D1917" t="s">
        <v>4</v>
      </c>
      <c r="E1917" t="s">
        <v>17</v>
      </c>
      <c r="F1917" t="s">
        <v>12</v>
      </c>
      <c r="G1917" t="s">
        <v>131</v>
      </c>
      <c r="H1917">
        <v>2026</v>
      </c>
      <c r="I1917">
        <v>3380</v>
      </c>
      <c r="J1917">
        <v>14.5</v>
      </c>
      <c r="K1917" t="s">
        <v>24</v>
      </c>
      <c r="L1917">
        <v>1.7</v>
      </c>
      <c r="M1917">
        <v>4.5</v>
      </c>
      <c r="N1917">
        <v>4384</v>
      </c>
      <c r="O1917" t="s">
        <v>64</v>
      </c>
      <c r="P1917">
        <v>62.4</v>
      </c>
      <c r="Q1917" t="s">
        <v>84</v>
      </c>
      <c r="R1917">
        <v>-27.1</v>
      </c>
      <c r="S1917">
        <v>50.5</v>
      </c>
      <c r="T1917">
        <v>23.5</v>
      </c>
      <c r="U1917">
        <v>1.9</v>
      </c>
      <c r="V1917">
        <v>9.1</v>
      </c>
      <c r="W1917">
        <v>6.6</v>
      </c>
      <c r="X1917" t="s">
        <v>116</v>
      </c>
    </row>
    <row r="1918" spans="2:24" x14ac:dyDescent="0.3">
      <c r="B1918" t="s">
        <v>2011</v>
      </c>
      <c r="C1918" t="s">
        <v>53</v>
      </c>
      <c r="D1918" t="s">
        <v>7</v>
      </c>
      <c r="E1918" t="s">
        <v>14</v>
      </c>
      <c r="F1918" t="s">
        <v>9</v>
      </c>
      <c r="G1918" t="s">
        <v>60</v>
      </c>
      <c r="H1918">
        <v>2024</v>
      </c>
      <c r="I1918">
        <v>2054</v>
      </c>
      <c r="J1918">
        <v>1</v>
      </c>
      <c r="K1918" t="s">
        <v>24</v>
      </c>
      <c r="L1918">
        <v>2.1</v>
      </c>
      <c r="M1918">
        <v>4.5</v>
      </c>
      <c r="N1918">
        <v>2844</v>
      </c>
      <c r="O1918" t="s">
        <v>64</v>
      </c>
      <c r="P1918">
        <v>88.8</v>
      </c>
      <c r="Q1918" t="s">
        <v>56</v>
      </c>
      <c r="R1918">
        <v>48</v>
      </c>
      <c r="S1918">
        <v>-18.7</v>
      </c>
      <c r="T1918">
        <v>-14.7</v>
      </c>
      <c r="U1918">
        <v>2.9</v>
      </c>
      <c r="V1918">
        <v>6.2</v>
      </c>
      <c r="W1918">
        <v>5.5</v>
      </c>
      <c r="X1918" t="s">
        <v>57</v>
      </c>
    </row>
    <row r="1919" spans="2:24" x14ac:dyDescent="0.3">
      <c r="B1919" t="s">
        <v>2012</v>
      </c>
      <c r="C1919" t="s">
        <v>94</v>
      </c>
      <c r="D1919" t="s">
        <v>6</v>
      </c>
      <c r="E1919" t="s">
        <v>17</v>
      </c>
      <c r="F1919" t="s">
        <v>12</v>
      </c>
      <c r="G1919" t="s">
        <v>104</v>
      </c>
      <c r="H1919">
        <v>2026</v>
      </c>
      <c r="I1919">
        <v>5296</v>
      </c>
      <c r="J1919">
        <v>8.6999999999999993</v>
      </c>
      <c r="K1919" t="s">
        <v>25</v>
      </c>
      <c r="L1919">
        <v>7.4</v>
      </c>
      <c r="M1919">
        <v>10</v>
      </c>
      <c r="N1919">
        <v>3062</v>
      </c>
      <c r="O1919" t="s">
        <v>64</v>
      </c>
      <c r="P1919">
        <v>66.5</v>
      </c>
      <c r="Q1919" t="s">
        <v>65</v>
      </c>
      <c r="R1919">
        <v>47.5</v>
      </c>
      <c r="S1919">
        <v>-8.4</v>
      </c>
      <c r="T1919">
        <v>1.6</v>
      </c>
      <c r="U1919">
        <v>8.6</v>
      </c>
      <c r="V1919">
        <v>5.2</v>
      </c>
      <c r="W1919">
        <v>5.0999999999999996</v>
      </c>
      <c r="X1919" t="s">
        <v>116</v>
      </c>
    </row>
    <row r="1920" spans="2:24" x14ac:dyDescent="0.3">
      <c r="B1920" t="s">
        <v>2013</v>
      </c>
      <c r="C1920" t="s">
        <v>53</v>
      </c>
      <c r="D1920" t="s">
        <v>7</v>
      </c>
      <c r="E1920" t="s">
        <v>15</v>
      </c>
      <c r="F1920" t="s">
        <v>11</v>
      </c>
      <c r="G1920" t="s">
        <v>101</v>
      </c>
      <c r="H1920">
        <v>2024</v>
      </c>
      <c r="I1920">
        <v>6106</v>
      </c>
      <c r="J1920">
        <v>15.2</v>
      </c>
      <c r="K1920" t="s">
        <v>23</v>
      </c>
      <c r="L1920">
        <v>1.3</v>
      </c>
      <c r="M1920">
        <v>3.5</v>
      </c>
      <c r="N1920">
        <v>1326</v>
      </c>
      <c r="O1920" t="s">
        <v>75</v>
      </c>
      <c r="P1920">
        <v>63</v>
      </c>
      <c r="Q1920" t="s">
        <v>56</v>
      </c>
      <c r="R1920">
        <v>63.2</v>
      </c>
      <c r="S1920">
        <v>51.4</v>
      </c>
      <c r="T1920">
        <v>8.1</v>
      </c>
      <c r="U1920">
        <v>1.5</v>
      </c>
      <c r="V1920">
        <v>5.7</v>
      </c>
      <c r="W1920">
        <v>6.4</v>
      </c>
      <c r="X1920" t="s">
        <v>116</v>
      </c>
    </row>
    <row r="1921" spans="2:24" x14ac:dyDescent="0.3">
      <c r="B1921" t="s">
        <v>2014</v>
      </c>
      <c r="C1921" t="s">
        <v>106</v>
      </c>
      <c r="D1921" t="s">
        <v>2</v>
      </c>
      <c r="E1921" t="s">
        <v>19</v>
      </c>
      <c r="F1921" t="s">
        <v>9</v>
      </c>
      <c r="G1921" t="s">
        <v>69</v>
      </c>
      <c r="H1921">
        <v>2026</v>
      </c>
      <c r="I1921">
        <v>2260</v>
      </c>
      <c r="J1921">
        <v>4.2</v>
      </c>
      <c r="K1921" t="s">
        <v>23</v>
      </c>
      <c r="L1921">
        <v>5.5</v>
      </c>
      <c r="M1921">
        <v>4.5999999999999996</v>
      </c>
      <c r="N1921">
        <v>5320</v>
      </c>
      <c r="O1921" t="s">
        <v>55</v>
      </c>
      <c r="P1921">
        <v>16.399999999999999</v>
      </c>
      <c r="Q1921" t="s">
        <v>76</v>
      </c>
      <c r="R1921">
        <v>-18.8</v>
      </c>
      <c r="S1921">
        <v>53.8</v>
      </c>
      <c r="T1921">
        <v>20.100000000000001</v>
      </c>
      <c r="U1921">
        <v>3.3</v>
      </c>
      <c r="V1921">
        <v>9.1999999999999993</v>
      </c>
      <c r="W1921">
        <v>8.9</v>
      </c>
      <c r="X1921" t="s">
        <v>116</v>
      </c>
    </row>
    <row r="1922" spans="2:24" x14ac:dyDescent="0.3">
      <c r="B1922" t="s">
        <v>2015</v>
      </c>
      <c r="C1922" t="s">
        <v>90</v>
      </c>
      <c r="D1922" t="s">
        <v>2</v>
      </c>
      <c r="E1922" t="s">
        <v>19</v>
      </c>
      <c r="F1922" t="s">
        <v>10</v>
      </c>
      <c r="G1922" t="s">
        <v>115</v>
      </c>
      <c r="H1922">
        <v>2024</v>
      </c>
      <c r="I1922">
        <v>2216</v>
      </c>
      <c r="J1922">
        <v>4.5</v>
      </c>
      <c r="K1922" t="s">
        <v>25</v>
      </c>
      <c r="L1922">
        <v>4.5</v>
      </c>
      <c r="M1922">
        <v>6.1</v>
      </c>
      <c r="N1922">
        <v>6657</v>
      </c>
      <c r="O1922" t="s">
        <v>55</v>
      </c>
      <c r="P1922">
        <v>88.8</v>
      </c>
      <c r="Q1922" t="s">
        <v>56</v>
      </c>
      <c r="R1922">
        <v>30.6</v>
      </c>
      <c r="S1922">
        <v>-3.5</v>
      </c>
      <c r="T1922">
        <v>-5.7</v>
      </c>
      <c r="U1922">
        <v>3</v>
      </c>
      <c r="V1922">
        <v>5.6</v>
      </c>
      <c r="W1922">
        <v>6.8</v>
      </c>
      <c r="X1922" t="s">
        <v>116</v>
      </c>
    </row>
    <row r="1923" spans="2:24" x14ac:dyDescent="0.3">
      <c r="B1923" t="s">
        <v>2016</v>
      </c>
      <c r="C1923" t="s">
        <v>159</v>
      </c>
      <c r="D1923" t="s">
        <v>7</v>
      </c>
      <c r="E1923" t="s">
        <v>16</v>
      </c>
      <c r="F1923" t="s">
        <v>11</v>
      </c>
      <c r="G1923" t="s">
        <v>115</v>
      </c>
      <c r="H1923">
        <v>2025</v>
      </c>
      <c r="I1923">
        <v>9900</v>
      </c>
      <c r="J1923">
        <v>39</v>
      </c>
      <c r="K1923" t="s">
        <v>24</v>
      </c>
      <c r="L1923">
        <v>2.4</v>
      </c>
      <c r="M1923">
        <v>10</v>
      </c>
      <c r="N1923">
        <v>1964</v>
      </c>
      <c r="O1923" t="s">
        <v>75</v>
      </c>
      <c r="P1923">
        <v>30.3</v>
      </c>
      <c r="Q1923" t="s">
        <v>76</v>
      </c>
      <c r="R1923">
        <v>32.6</v>
      </c>
      <c r="S1923">
        <v>33.799999999999997</v>
      </c>
      <c r="T1923">
        <v>-4.9000000000000004</v>
      </c>
      <c r="U1923">
        <v>3.7</v>
      </c>
      <c r="V1923">
        <v>4.5</v>
      </c>
      <c r="W1923">
        <v>3.5</v>
      </c>
      <c r="X1923" t="s">
        <v>66</v>
      </c>
    </row>
    <row r="1924" spans="2:24" x14ac:dyDescent="0.3">
      <c r="B1924" t="s">
        <v>2017</v>
      </c>
      <c r="C1924" t="s">
        <v>159</v>
      </c>
      <c r="D1924" t="s">
        <v>7</v>
      </c>
      <c r="E1924" t="s">
        <v>19</v>
      </c>
      <c r="F1924" t="s">
        <v>10</v>
      </c>
      <c r="G1924" t="s">
        <v>131</v>
      </c>
      <c r="H1924">
        <v>2024</v>
      </c>
      <c r="I1924">
        <v>725</v>
      </c>
      <c r="J1924">
        <v>3.4</v>
      </c>
      <c r="K1924" t="s">
        <v>21</v>
      </c>
      <c r="L1924">
        <v>5.7</v>
      </c>
      <c r="M1924">
        <v>6.5</v>
      </c>
      <c r="N1924">
        <v>4694</v>
      </c>
      <c r="O1924" t="s">
        <v>55</v>
      </c>
      <c r="P1924">
        <v>48.8</v>
      </c>
      <c r="Q1924" t="s">
        <v>88</v>
      </c>
      <c r="R1924">
        <v>-23.5</v>
      </c>
      <c r="S1924">
        <v>37.9</v>
      </c>
      <c r="T1924">
        <v>19.899999999999999</v>
      </c>
      <c r="U1924">
        <v>4</v>
      </c>
      <c r="V1924">
        <v>8.4</v>
      </c>
      <c r="W1924">
        <v>8</v>
      </c>
      <c r="X1924" t="s">
        <v>57</v>
      </c>
    </row>
    <row r="1925" spans="2:24" x14ac:dyDescent="0.3">
      <c r="B1925" t="s">
        <v>2018</v>
      </c>
      <c r="C1925" t="s">
        <v>106</v>
      </c>
      <c r="D1925" t="s">
        <v>2</v>
      </c>
      <c r="E1925" t="s">
        <v>19</v>
      </c>
      <c r="F1925" t="s">
        <v>9</v>
      </c>
      <c r="G1925" t="s">
        <v>131</v>
      </c>
      <c r="H1925">
        <v>2024</v>
      </c>
      <c r="I1925">
        <v>2147</v>
      </c>
      <c r="J1925">
        <v>37</v>
      </c>
      <c r="K1925" t="s">
        <v>21</v>
      </c>
      <c r="L1925">
        <v>3.3</v>
      </c>
      <c r="M1925">
        <v>10</v>
      </c>
      <c r="N1925">
        <v>5432</v>
      </c>
      <c r="O1925" t="s">
        <v>64</v>
      </c>
      <c r="P1925">
        <v>82</v>
      </c>
      <c r="Q1925" t="s">
        <v>76</v>
      </c>
      <c r="R1925">
        <v>-1.7</v>
      </c>
      <c r="S1925">
        <v>29.9</v>
      </c>
      <c r="T1925">
        <v>-4.3</v>
      </c>
      <c r="U1925">
        <v>3.9</v>
      </c>
      <c r="V1925">
        <v>5</v>
      </c>
      <c r="W1925">
        <v>3.7</v>
      </c>
      <c r="X1925" t="s">
        <v>66</v>
      </c>
    </row>
    <row r="1926" spans="2:24" x14ac:dyDescent="0.3">
      <c r="B1926" t="s">
        <v>2019</v>
      </c>
      <c r="C1926" t="s">
        <v>62</v>
      </c>
      <c r="D1926" t="s">
        <v>2</v>
      </c>
      <c r="E1926" t="s">
        <v>14</v>
      </c>
      <c r="F1926" t="s">
        <v>11</v>
      </c>
      <c r="G1926" t="s">
        <v>54</v>
      </c>
      <c r="H1926">
        <v>2025</v>
      </c>
      <c r="I1926">
        <v>150</v>
      </c>
      <c r="J1926">
        <v>0.3</v>
      </c>
      <c r="K1926" t="s">
        <v>25</v>
      </c>
      <c r="L1926">
        <v>5.4</v>
      </c>
      <c r="M1926">
        <v>3</v>
      </c>
      <c r="N1926">
        <v>5071</v>
      </c>
      <c r="O1926" t="s">
        <v>55</v>
      </c>
      <c r="P1926">
        <v>52.9</v>
      </c>
      <c r="Q1926" t="s">
        <v>56</v>
      </c>
      <c r="R1926">
        <v>27.3</v>
      </c>
      <c r="S1926">
        <v>-14.4</v>
      </c>
      <c r="T1926">
        <v>-9.3000000000000007</v>
      </c>
      <c r="U1926">
        <v>3.2</v>
      </c>
      <c r="V1926">
        <v>4.5999999999999996</v>
      </c>
      <c r="W1926">
        <v>7.3</v>
      </c>
      <c r="X1926" t="s">
        <v>57</v>
      </c>
    </row>
    <row r="1927" spans="2:24" x14ac:dyDescent="0.3">
      <c r="B1927" t="s">
        <v>2020</v>
      </c>
      <c r="C1927" t="s">
        <v>71</v>
      </c>
      <c r="D1927" t="s">
        <v>5</v>
      </c>
      <c r="E1927" t="s">
        <v>15</v>
      </c>
      <c r="F1927" t="s">
        <v>11</v>
      </c>
      <c r="G1927" t="s">
        <v>74</v>
      </c>
      <c r="H1927">
        <v>2024</v>
      </c>
      <c r="I1927">
        <v>2453</v>
      </c>
      <c r="J1927">
        <v>9.4</v>
      </c>
      <c r="K1927" t="s">
        <v>22</v>
      </c>
      <c r="L1927">
        <v>6.3</v>
      </c>
      <c r="M1927">
        <v>9.8000000000000007</v>
      </c>
      <c r="N1927">
        <v>3851</v>
      </c>
      <c r="O1927" t="s">
        <v>55</v>
      </c>
      <c r="P1927">
        <v>39.9</v>
      </c>
      <c r="Q1927" t="s">
        <v>86</v>
      </c>
      <c r="R1927">
        <v>46</v>
      </c>
      <c r="S1927">
        <v>-6.5</v>
      </c>
      <c r="T1927">
        <v>-3.8</v>
      </c>
      <c r="U1927">
        <v>9.1999999999999993</v>
      </c>
      <c r="V1927">
        <v>7.9</v>
      </c>
      <c r="W1927">
        <v>4.4000000000000004</v>
      </c>
      <c r="X1927" t="s">
        <v>57</v>
      </c>
    </row>
    <row r="1928" spans="2:24" x14ac:dyDescent="0.3">
      <c r="B1928" t="s">
        <v>2021</v>
      </c>
      <c r="C1928" t="s">
        <v>106</v>
      </c>
      <c r="D1928" t="s">
        <v>4</v>
      </c>
      <c r="E1928" t="s">
        <v>19</v>
      </c>
      <c r="F1928" t="s">
        <v>11</v>
      </c>
      <c r="G1928" t="s">
        <v>54</v>
      </c>
      <c r="H1928">
        <v>2024</v>
      </c>
      <c r="I1928">
        <v>14583</v>
      </c>
      <c r="J1928">
        <v>32.200000000000003</v>
      </c>
      <c r="K1928" t="s">
        <v>24</v>
      </c>
      <c r="L1928">
        <v>7.9</v>
      </c>
      <c r="M1928">
        <v>10</v>
      </c>
      <c r="N1928">
        <v>92</v>
      </c>
      <c r="O1928" t="s">
        <v>75</v>
      </c>
      <c r="P1928">
        <v>18.100000000000001</v>
      </c>
      <c r="Q1928" t="s">
        <v>76</v>
      </c>
      <c r="R1928">
        <v>-39.6</v>
      </c>
      <c r="S1928">
        <v>9.4</v>
      </c>
      <c r="T1928">
        <v>3.4</v>
      </c>
      <c r="U1928">
        <v>6.3</v>
      </c>
      <c r="V1928">
        <v>4.8</v>
      </c>
      <c r="W1928">
        <v>2.2999999999999998</v>
      </c>
      <c r="X1928" t="s">
        <v>66</v>
      </c>
    </row>
    <row r="1929" spans="2:24" x14ac:dyDescent="0.3">
      <c r="B1929" t="s">
        <v>2022</v>
      </c>
      <c r="C1929" t="s">
        <v>71</v>
      </c>
      <c r="D1929" t="s">
        <v>5</v>
      </c>
      <c r="E1929" t="s">
        <v>18</v>
      </c>
      <c r="F1929" t="s">
        <v>12</v>
      </c>
      <c r="G1929" t="s">
        <v>74</v>
      </c>
      <c r="H1929">
        <v>2026</v>
      </c>
      <c r="I1929">
        <v>2308</v>
      </c>
      <c r="J1929">
        <v>7.2</v>
      </c>
      <c r="K1929" t="s">
        <v>22</v>
      </c>
      <c r="L1929">
        <v>11.2</v>
      </c>
      <c r="M1929">
        <v>10</v>
      </c>
      <c r="N1929">
        <v>3676</v>
      </c>
      <c r="O1929" t="s">
        <v>55</v>
      </c>
      <c r="P1929">
        <v>44.6</v>
      </c>
      <c r="Q1929" t="s">
        <v>86</v>
      </c>
      <c r="R1929">
        <v>62.5</v>
      </c>
      <c r="S1929">
        <v>6.6</v>
      </c>
      <c r="T1929">
        <v>11.8</v>
      </c>
      <c r="U1929">
        <v>8</v>
      </c>
      <c r="V1929">
        <v>6.4</v>
      </c>
      <c r="W1929">
        <v>4.9000000000000004</v>
      </c>
      <c r="X1929" t="s">
        <v>57</v>
      </c>
    </row>
    <row r="1930" spans="2:24" x14ac:dyDescent="0.3">
      <c r="B1930" t="s">
        <v>2023</v>
      </c>
      <c r="C1930" t="s">
        <v>137</v>
      </c>
      <c r="D1930" t="s">
        <v>3</v>
      </c>
      <c r="E1930" t="s">
        <v>15</v>
      </c>
      <c r="F1930" t="s">
        <v>9</v>
      </c>
      <c r="G1930" t="s">
        <v>101</v>
      </c>
      <c r="H1930">
        <v>2026</v>
      </c>
      <c r="I1930">
        <v>14165</v>
      </c>
      <c r="J1930">
        <v>11.6</v>
      </c>
      <c r="K1930" t="s">
        <v>22</v>
      </c>
      <c r="L1930">
        <v>9.4</v>
      </c>
      <c r="M1930">
        <v>10</v>
      </c>
      <c r="N1930">
        <v>1659</v>
      </c>
      <c r="O1930" t="s">
        <v>55</v>
      </c>
      <c r="P1930">
        <v>28.1</v>
      </c>
      <c r="Q1930" t="s">
        <v>84</v>
      </c>
      <c r="R1930">
        <v>84.1</v>
      </c>
      <c r="S1930">
        <v>0.3</v>
      </c>
      <c r="T1930">
        <v>8.6</v>
      </c>
      <c r="U1930">
        <v>9.6999999999999993</v>
      </c>
      <c r="V1930">
        <v>5.2</v>
      </c>
      <c r="W1930">
        <v>5.5</v>
      </c>
      <c r="X1930" t="s">
        <v>66</v>
      </c>
    </row>
    <row r="1931" spans="2:24" x14ac:dyDescent="0.3">
      <c r="B1931" t="s">
        <v>2024</v>
      </c>
      <c r="C1931" t="s">
        <v>142</v>
      </c>
      <c r="D1931" t="s">
        <v>8</v>
      </c>
      <c r="E1931" t="s">
        <v>16</v>
      </c>
      <c r="F1931" t="s">
        <v>11</v>
      </c>
      <c r="G1931" t="s">
        <v>69</v>
      </c>
      <c r="H1931">
        <v>2024</v>
      </c>
      <c r="I1931">
        <v>10776</v>
      </c>
      <c r="J1931">
        <v>28.5</v>
      </c>
      <c r="K1931" t="s">
        <v>21</v>
      </c>
      <c r="L1931">
        <v>7.1</v>
      </c>
      <c r="M1931">
        <v>10</v>
      </c>
      <c r="N1931">
        <v>62</v>
      </c>
      <c r="O1931" t="s">
        <v>75</v>
      </c>
      <c r="P1931">
        <v>64.7</v>
      </c>
      <c r="Q1931" t="s">
        <v>79</v>
      </c>
      <c r="R1931">
        <v>79.900000000000006</v>
      </c>
      <c r="S1931">
        <v>-7.1</v>
      </c>
      <c r="T1931">
        <v>0.3</v>
      </c>
      <c r="U1931">
        <v>4.8</v>
      </c>
      <c r="V1931">
        <v>4.5</v>
      </c>
      <c r="W1931">
        <v>3.9</v>
      </c>
      <c r="X1931" t="s">
        <v>66</v>
      </c>
    </row>
    <row r="1932" spans="2:24" x14ac:dyDescent="0.3">
      <c r="B1932" t="s">
        <v>2025</v>
      </c>
      <c r="C1932" t="s">
        <v>97</v>
      </c>
      <c r="D1932" t="s">
        <v>3</v>
      </c>
      <c r="E1932" t="s">
        <v>15</v>
      </c>
      <c r="F1932" t="s">
        <v>12</v>
      </c>
      <c r="G1932" t="s">
        <v>69</v>
      </c>
      <c r="H1932">
        <v>2025</v>
      </c>
      <c r="I1932">
        <v>596</v>
      </c>
      <c r="J1932">
        <v>1.7</v>
      </c>
      <c r="K1932" t="s">
        <v>24</v>
      </c>
      <c r="L1932">
        <v>3.4</v>
      </c>
      <c r="M1932">
        <v>3.1</v>
      </c>
      <c r="N1932">
        <v>2297</v>
      </c>
      <c r="O1932" t="s">
        <v>64</v>
      </c>
      <c r="P1932">
        <v>71.7</v>
      </c>
      <c r="Q1932" t="s">
        <v>84</v>
      </c>
      <c r="R1932">
        <v>22.1</v>
      </c>
      <c r="S1932">
        <v>17.2</v>
      </c>
      <c r="T1932">
        <v>16.3</v>
      </c>
      <c r="U1932">
        <v>2.8</v>
      </c>
      <c r="V1932">
        <v>8.8000000000000007</v>
      </c>
      <c r="W1932">
        <v>8.4</v>
      </c>
      <c r="X1932" t="s">
        <v>57</v>
      </c>
    </row>
    <row r="1933" spans="2:24" x14ac:dyDescent="0.3">
      <c r="B1933" t="s">
        <v>2026</v>
      </c>
      <c r="C1933" t="s">
        <v>90</v>
      </c>
      <c r="D1933" t="s">
        <v>6</v>
      </c>
      <c r="E1933" t="s">
        <v>14</v>
      </c>
      <c r="F1933" t="s">
        <v>11</v>
      </c>
      <c r="G1933" t="s">
        <v>69</v>
      </c>
      <c r="H1933">
        <v>2025</v>
      </c>
      <c r="I1933">
        <v>19952</v>
      </c>
      <c r="J1933">
        <v>35.1</v>
      </c>
      <c r="K1933" t="s">
        <v>22</v>
      </c>
      <c r="L1933">
        <v>7.3</v>
      </c>
      <c r="M1933">
        <v>10</v>
      </c>
      <c r="N1933">
        <v>436</v>
      </c>
      <c r="O1933" t="s">
        <v>64</v>
      </c>
      <c r="P1933">
        <v>22.9</v>
      </c>
      <c r="Q1933" t="s">
        <v>56</v>
      </c>
      <c r="R1933">
        <v>72.400000000000006</v>
      </c>
      <c r="S1933">
        <v>-10</v>
      </c>
      <c r="T1933">
        <v>-1.4</v>
      </c>
      <c r="U1933">
        <v>8.6</v>
      </c>
      <c r="V1933">
        <v>4.3</v>
      </c>
      <c r="W1933">
        <v>2.2000000000000002</v>
      </c>
      <c r="X1933" t="s">
        <v>66</v>
      </c>
    </row>
    <row r="1934" spans="2:24" x14ac:dyDescent="0.3">
      <c r="B1934" t="s">
        <v>2027</v>
      </c>
      <c r="C1934" t="s">
        <v>106</v>
      </c>
      <c r="D1934" t="s">
        <v>4</v>
      </c>
      <c r="E1934" t="s">
        <v>17</v>
      </c>
      <c r="F1934" t="s">
        <v>9</v>
      </c>
      <c r="G1934" t="s">
        <v>78</v>
      </c>
      <c r="H1934">
        <v>2026</v>
      </c>
      <c r="I1934">
        <v>871</v>
      </c>
      <c r="J1934">
        <v>7.3</v>
      </c>
      <c r="K1934" t="s">
        <v>22</v>
      </c>
      <c r="L1934">
        <v>3.9</v>
      </c>
      <c r="M1934">
        <v>3.5</v>
      </c>
      <c r="N1934">
        <v>1137</v>
      </c>
      <c r="O1934" t="s">
        <v>64</v>
      </c>
      <c r="P1934">
        <v>72.8</v>
      </c>
      <c r="Q1934" t="s">
        <v>84</v>
      </c>
      <c r="R1934">
        <v>77.3</v>
      </c>
      <c r="S1934">
        <v>-5.5</v>
      </c>
      <c r="T1934">
        <v>5.0999999999999996</v>
      </c>
      <c r="U1934">
        <v>2.5</v>
      </c>
      <c r="V1934">
        <v>5.4</v>
      </c>
      <c r="W1934">
        <v>7.2</v>
      </c>
      <c r="X1934" t="s">
        <v>116</v>
      </c>
    </row>
    <row r="1935" spans="2:24" x14ac:dyDescent="0.3">
      <c r="B1935" t="s">
        <v>2028</v>
      </c>
      <c r="C1935" t="s">
        <v>90</v>
      </c>
      <c r="D1935" t="s">
        <v>5</v>
      </c>
      <c r="E1935" t="s">
        <v>16</v>
      </c>
      <c r="F1935" t="s">
        <v>9</v>
      </c>
      <c r="G1935" t="s">
        <v>74</v>
      </c>
      <c r="H1935">
        <v>2025</v>
      </c>
      <c r="I1935">
        <v>11599</v>
      </c>
      <c r="J1935">
        <v>38.200000000000003</v>
      </c>
      <c r="K1935" t="s">
        <v>21</v>
      </c>
      <c r="L1935">
        <v>9.1</v>
      </c>
      <c r="M1935">
        <v>10</v>
      </c>
      <c r="N1935">
        <v>267</v>
      </c>
      <c r="O1935" t="s">
        <v>64</v>
      </c>
      <c r="P1935">
        <v>17</v>
      </c>
      <c r="Q1935" t="s">
        <v>86</v>
      </c>
      <c r="R1935">
        <v>51.2</v>
      </c>
      <c r="S1935">
        <v>10.199999999999999</v>
      </c>
      <c r="T1935">
        <v>-8.6</v>
      </c>
      <c r="U1935">
        <v>8.6999999999999993</v>
      </c>
      <c r="V1935">
        <v>6</v>
      </c>
      <c r="W1935">
        <v>2</v>
      </c>
      <c r="X1935" t="s">
        <v>66</v>
      </c>
    </row>
    <row r="1936" spans="2:24" x14ac:dyDescent="0.3">
      <c r="B1936" t="s">
        <v>2029</v>
      </c>
      <c r="C1936" t="s">
        <v>92</v>
      </c>
      <c r="D1936" t="s">
        <v>7</v>
      </c>
      <c r="E1936" t="s">
        <v>17</v>
      </c>
      <c r="F1936" t="s">
        <v>10</v>
      </c>
      <c r="G1936" t="s">
        <v>101</v>
      </c>
      <c r="H1936">
        <v>2024</v>
      </c>
      <c r="I1936">
        <v>496</v>
      </c>
      <c r="J1936">
        <v>5.5</v>
      </c>
      <c r="K1936" t="s">
        <v>24</v>
      </c>
      <c r="L1936">
        <v>4.8</v>
      </c>
      <c r="M1936">
        <v>7.7</v>
      </c>
      <c r="N1936">
        <v>3957</v>
      </c>
      <c r="O1936" t="s">
        <v>55</v>
      </c>
      <c r="P1936">
        <v>87.1</v>
      </c>
      <c r="Q1936" t="s">
        <v>125</v>
      </c>
      <c r="R1936">
        <v>20.5</v>
      </c>
      <c r="S1936">
        <v>8.4</v>
      </c>
      <c r="T1936">
        <v>-3.2</v>
      </c>
      <c r="U1936">
        <v>5.9</v>
      </c>
      <c r="V1936">
        <v>7.7</v>
      </c>
      <c r="W1936">
        <v>5.7</v>
      </c>
      <c r="X1936" t="s">
        <v>57</v>
      </c>
    </row>
    <row r="1937" spans="2:24" x14ac:dyDescent="0.3">
      <c r="B1937" t="s">
        <v>2030</v>
      </c>
      <c r="C1937" t="s">
        <v>92</v>
      </c>
      <c r="D1937" t="s">
        <v>7</v>
      </c>
      <c r="E1937" t="s">
        <v>14</v>
      </c>
      <c r="F1937" t="s">
        <v>12</v>
      </c>
      <c r="G1937" t="s">
        <v>69</v>
      </c>
      <c r="H1937">
        <v>2024</v>
      </c>
      <c r="I1937">
        <v>2783</v>
      </c>
      <c r="J1937">
        <v>11.8</v>
      </c>
      <c r="K1937" t="s">
        <v>23</v>
      </c>
      <c r="L1937">
        <v>5.8</v>
      </c>
      <c r="M1937">
        <v>6</v>
      </c>
      <c r="N1937">
        <v>3452</v>
      </c>
      <c r="O1937" t="s">
        <v>55</v>
      </c>
      <c r="P1937">
        <v>75.8</v>
      </c>
      <c r="Q1937" t="s">
        <v>79</v>
      </c>
      <c r="R1937">
        <v>-28.3</v>
      </c>
      <c r="S1937">
        <v>10.9</v>
      </c>
      <c r="T1937">
        <v>-1</v>
      </c>
      <c r="U1937">
        <v>3.8</v>
      </c>
      <c r="V1937">
        <v>5</v>
      </c>
      <c r="W1937">
        <v>5.8</v>
      </c>
      <c r="X1937" t="s">
        <v>116</v>
      </c>
    </row>
    <row r="1938" spans="2:24" x14ac:dyDescent="0.3">
      <c r="B1938" t="s">
        <v>2031</v>
      </c>
      <c r="C1938" t="s">
        <v>53</v>
      </c>
      <c r="D1938" t="s">
        <v>7</v>
      </c>
      <c r="E1938" t="s">
        <v>17</v>
      </c>
      <c r="F1938" t="s">
        <v>12</v>
      </c>
      <c r="G1938" t="s">
        <v>60</v>
      </c>
      <c r="H1938">
        <v>2025</v>
      </c>
      <c r="I1938">
        <v>6452</v>
      </c>
      <c r="J1938">
        <v>3.7</v>
      </c>
      <c r="K1938" t="s">
        <v>23</v>
      </c>
      <c r="L1938">
        <v>6.7</v>
      </c>
      <c r="M1938">
        <v>5.2</v>
      </c>
      <c r="N1938">
        <v>2208</v>
      </c>
      <c r="O1938" t="s">
        <v>55</v>
      </c>
      <c r="P1938">
        <v>45.5</v>
      </c>
      <c r="Q1938" t="s">
        <v>88</v>
      </c>
      <c r="R1938">
        <v>-20.7</v>
      </c>
      <c r="S1938">
        <v>-0.9</v>
      </c>
      <c r="T1938">
        <v>9.3000000000000007</v>
      </c>
      <c r="U1938">
        <v>6.3</v>
      </c>
      <c r="V1938">
        <v>5.7</v>
      </c>
      <c r="W1938">
        <v>6.3</v>
      </c>
      <c r="X1938" t="s">
        <v>116</v>
      </c>
    </row>
    <row r="1939" spans="2:24" x14ac:dyDescent="0.3">
      <c r="B1939" t="s">
        <v>2032</v>
      </c>
      <c r="C1939" t="s">
        <v>106</v>
      </c>
      <c r="D1939" t="s">
        <v>7</v>
      </c>
      <c r="E1939" t="s">
        <v>17</v>
      </c>
      <c r="F1939" t="s">
        <v>11</v>
      </c>
      <c r="G1939" t="s">
        <v>60</v>
      </c>
      <c r="H1939">
        <v>2025</v>
      </c>
      <c r="I1939">
        <v>6049</v>
      </c>
      <c r="J1939">
        <v>9.1</v>
      </c>
      <c r="K1939" t="s">
        <v>21</v>
      </c>
      <c r="L1939">
        <v>12.2</v>
      </c>
      <c r="M1939">
        <v>7.5</v>
      </c>
      <c r="N1939">
        <v>3426</v>
      </c>
      <c r="O1939" t="s">
        <v>55</v>
      </c>
      <c r="P1939">
        <v>54.6</v>
      </c>
      <c r="Q1939" t="s">
        <v>125</v>
      </c>
      <c r="R1939">
        <v>63.4</v>
      </c>
      <c r="S1939">
        <v>-4.8</v>
      </c>
      <c r="T1939">
        <v>-4.7</v>
      </c>
      <c r="U1939">
        <v>8.8000000000000007</v>
      </c>
      <c r="V1939">
        <v>5.2</v>
      </c>
      <c r="W1939">
        <v>5.5</v>
      </c>
      <c r="X1939" t="s">
        <v>116</v>
      </c>
    </row>
    <row r="1940" spans="2:24" x14ac:dyDescent="0.3">
      <c r="B1940" t="s">
        <v>2033</v>
      </c>
      <c r="C1940" t="s">
        <v>71</v>
      </c>
      <c r="D1940" t="s">
        <v>6</v>
      </c>
      <c r="E1940" t="s">
        <v>18</v>
      </c>
      <c r="F1940" t="s">
        <v>10</v>
      </c>
      <c r="G1940" t="s">
        <v>60</v>
      </c>
      <c r="H1940">
        <v>2024</v>
      </c>
      <c r="I1940">
        <v>10641</v>
      </c>
      <c r="J1940">
        <v>13.3</v>
      </c>
      <c r="K1940" t="s">
        <v>21</v>
      </c>
      <c r="L1940">
        <v>9.1</v>
      </c>
      <c r="M1940">
        <v>8.9</v>
      </c>
      <c r="N1940">
        <v>1084</v>
      </c>
      <c r="O1940" t="s">
        <v>64</v>
      </c>
      <c r="P1940">
        <v>37.1</v>
      </c>
      <c r="Q1940" t="s">
        <v>88</v>
      </c>
      <c r="R1940">
        <v>51.9</v>
      </c>
      <c r="S1940">
        <v>-13.2</v>
      </c>
      <c r="T1940">
        <v>-9.6999999999999993</v>
      </c>
      <c r="U1940">
        <v>8.1</v>
      </c>
      <c r="V1940">
        <v>5.9</v>
      </c>
      <c r="W1940">
        <v>5.3</v>
      </c>
      <c r="X1940" t="s">
        <v>66</v>
      </c>
    </row>
    <row r="1941" spans="2:24" x14ac:dyDescent="0.3">
      <c r="B1941" t="s">
        <v>2034</v>
      </c>
      <c r="C1941" t="s">
        <v>90</v>
      </c>
      <c r="D1941" t="s">
        <v>3</v>
      </c>
      <c r="E1941" t="s">
        <v>17</v>
      </c>
      <c r="F1941" t="s">
        <v>9</v>
      </c>
      <c r="G1941" t="s">
        <v>54</v>
      </c>
      <c r="H1941">
        <v>2024</v>
      </c>
      <c r="I1941">
        <v>471</v>
      </c>
      <c r="J1941">
        <v>8.9</v>
      </c>
      <c r="K1941" t="s">
        <v>24</v>
      </c>
      <c r="L1941">
        <v>2.2000000000000002</v>
      </c>
      <c r="M1941">
        <v>3.6</v>
      </c>
      <c r="N1941">
        <v>528</v>
      </c>
      <c r="O1941" t="s">
        <v>64</v>
      </c>
      <c r="P1941">
        <v>24.5</v>
      </c>
      <c r="Q1941" t="s">
        <v>84</v>
      </c>
      <c r="R1941">
        <v>-43.2</v>
      </c>
      <c r="S1941">
        <v>43.7</v>
      </c>
      <c r="T1941">
        <v>14.1</v>
      </c>
      <c r="U1941">
        <v>2.1</v>
      </c>
      <c r="V1941">
        <v>6.6</v>
      </c>
      <c r="W1941">
        <v>7.2</v>
      </c>
      <c r="X1941" t="s">
        <v>57</v>
      </c>
    </row>
    <row r="1942" spans="2:24" x14ac:dyDescent="0.3">
      <c r="B1942" t="s">
        <v>2035</v>
      </c>
      <c r="C1942" t="s">
        <v>53</v>
      </c>
      <c r="D1942" t="s">
        <v>7</v>
      </c>
      <c r="E1942" t="s">
        <v>19</v>
      </c>
      <c r="F1942" t="s">
        <v>12</v>
      </c>
      <c r="G1942" t="s">
        <v>131</v>
      </c>
      <c r="H1942">
        <v>2025</v>
      </c>
      <c r="I1942">
        <v>5680</v>
      </c>
      <c r="J1942">
        <v>7.8</v>
      </c>
      <c r="K1942" t="s">
        <v>22</v>
      </c>
      <c r="L1942">
        <v>8.5</v>
      </c>
      <c r="M1942">
        <v>10</v>
      </c>
      <c r="N1942">
        <v>4820</v>
      </c>
      <c r="O1942" t="s">
        <v>118</v>
      </c>
      <c r="P1942">
        <v>53.6</v>
      </c>
      <c r="Q1942" t="s">
        <v>65</v>
      </c>
      <c r="R1942">
        <v>86.4</v>
      </c>
      <c r="S1942">
        <v>54.1</v>
      </c>
      <c r="T1942">
        <v>29.6</v>
      </c>
      <c r="U1942">
        <v>9.8000000000000007</v>
      </c>
      <c r="V1942">
        <v>7.6</v>
      </c>
      <c r="W1942">
        <v>7.4</v>
      </c>
      <c r="X1942" t="s">
        <v>116</v>
      </c>
    </row>
    <row r="1943" spans="2:24" x14ac:dyDescent="0.3">
      <c r="B1943" t="s">
        <v>2036</v>
      </c>
      <c r="C1943" t="s">
        <v>159</v>
      </c>
      <c r="D1943" t="s">
        <v>7</v>
      </c>
      <c r="E1943" t="s">
        <v>16</v>
      </c>
      <c r="F1943" t="s">
        <v>11</v>
      </c>
      <c r="G1943" t="s">
        <v>78</v>
      </c>
      <c r="H1943">
        <v>2026</v>
      </c>
      <c r="I1943">
        <v>887</v>
      </c>
      <c r="J1943">
        <v>2.5</v>
      </c>
      <c r="K1943" t="s">
        <v>25</v>
      </c>
      <c r="L1943">
        <v>5.9</v>
      </c>
      <c r="M1943">
        <v>7.2</v>
      </c>
      <c r="N1943">
        <v>472</v>
      </c>
      <c r="O1943" t="s">
        <v>55</v>
      </c>
      <c r="P1943">
        <v>33.299999999999997</v>
      </c>
      <c r="Q1943" t="s">
        <v>88</v>
      </c>
      <c r="R1943">
        <v>0.1</v>
      </c>
      <c r="S1943">
        <v>34.5</v>
      </c>
      <c r="T1943">
        <v>14.3</v>
      </c>
      <c r="U1943">
        <v>8.3000000000000007</v>
      </c>
      <c r="V1943">
        <v>7.4</v>
      </c>
      <c r="W1943">
        <v>7.3</v>
      </c>
      <c r="X1943" t="s">
        <v>57</v>
      </c>
    </row>
    <row r="1944" spans="2:24" x14ac:dyDescent="0.3">
      <c r="B1944" t="s">
        <v>2037</v>
      </c>
      <c r="C1944" t="s">
        <v>122</v>
      </c>
      <c r="D1944" t="s">
        <v>2</v>
      </c>
      <c r="E1944" t="s">
        <v>19</v>
      </c>
      <c r="F1944" t="s">
        <v>10</v>
      </c>
      <c r="G1944" t="s">
        <v>78</v>
      </c>
      <c r="H1944">
        <v>2024</v>
      </c>
      <c r="I1944">
        <v>15079</v>
      </c>
      <c r="J1944">
        <v>39.5</v>
      </c>
      <c r="K1944" t="s">
        <v>23</v>
      </c>
      <c r="L1944">
        <v>2.6</v>
      </c>
      <c r="M1944">
        <v>9.6</v>
      </c>
      <c r="N1944">
        <v>2640</v>
      </c>
      <c r="O1944" t="s">
        <v>75</v>
      </c>
      <c r="P1944">
        <v>78.2</v>
      </c>
      <c r="Q1944" t="s">
        <v>56</v>
      </c>
      <c r="R1944">
        <v>-17.399999999999999</v>
      </c>
      <c r="S1944">
        <v>20.100000000000001</v>
      </c>
      <c r="T1944">
        <v>-4.8</v>
      </c>
      <c r="U1944">
        <v>3.9</v>
      </c>
      <c r="V1944">
        <v>5.7</v>
      </c>
      <c r="W1944">
        <v>2</v>
      </c>
      <c r="X1944" t="s">
        <v>66</v>
      </c>
    </row>
    <row r="1945" spans="2:24" x14ac:dyDescent="0.3">
      <c r="B1945" t="s">
        <v>2038</v>
      </c>
      <c r="C1945" t="s">
        <v>71</v>
      </c>
      <c r="D1945" t="s">
        <v>5</v>
      </c>
      <c r="E1945" t="s">
        <v>16</v>
      </c>
      <c r="F1945" t="s">
        <v>11</v>
      </c>
      <c r="G1945" t="s">
        <v>60</v>
      </c>
      <c r="H1945">
        <v>2025</v>
      </c>
      <c r="I1945">
        <v>202</v>
      </c>
      <c r="J1945">
        <v>8.6</v>
      </c>
      <c r="K1945" t="s">
        <v>23</v>
      </c>
      <c r="L1945">
        <v>5.7</v>
      </c>
      <c r="M1945">
        <v>9.4</v>
      </c>
      <c r="N1945">
        <v>1618</v>
      </c>
      <c r="O1945" t="s">
        <v>55</v>
      </c>
      <c r="P1945">
        <v>27.2</v>
      </c>
      <c r="Q1945" t="s">
        <v>88</v>
      </c>
      <c r="R1945">
        <v>73.8</v>
      </c>
      <c r="S1945">
        <v>10.199999999999999</v>
      </c>
      <c r="T1945">
        <v>2.9</v>
      </c>
      <c r="U1945">
        <v>7.5</v>
      </c>
      <c r="V1945">
        <v>5.0999999999999996</v>
      </c>
      <c r="W1945">
        <v>6.4</v>
      </c>
      <c r="X1945" t="s">
        <v>57</v>
      </c>
    </row>
    <row r="1946" spans="2:24" x14ac:dyDescent="0.3">
      <c r="B1946" t="s">
        <v>2039</v>
      </c>
      <c r="C1946" t="s">
        <v>27</v>
      </c>
      <c r="D1946" t="s">
        <v>3</v>
      </c>
      <c r="E1946" t="s">
        <v>16</v>
      </c>
      <c r="F1946" t="s">
        <v>10</v>
      </c>
      <c r="G1946" t="s">
        <v>115</v>
      </c>
      <c r="H1946">
        <v>2025</v>
      </c>
      <c r="I1946">
        <v>2185</v>
      </c>
      <c r="J1946">
        <v>5.0999999999999996</v>
      </c>
      <c r="K1946" t="s">
        <v>22</v>
      </c>
      <c r="L1946">
        <v>6.8</v>
      </c>
      <c r="M1946">
        <v>9.9</v>
      </c>
      <c r="N1946">
        <v>4438</v>
      </c>
      <c r="O1946" t="s">
        <v>55</v>
      </c>
      <c r="P1946">
        <v>89.5</v>
      </c>
      <c r="Q1946" t="s">
        <v>86</v>
      </c>
      <c r="R1946">
        <v>-19.7</v>
      </c>
      <c r="S1946">
        <v>-19.399999999999999</v>
      </c>
      <c r="T1946">
        <v>-2.8</v>
      </c>
      <c r="U1946">
        <v>8.1</v>
      </c>
      <c r="V1946">
        <v>7.7</v>
      </c>
      <c r="W1946">
        <v>5.5</v>
      </c>
      <c r="X1946" t="s">
        <v>57</v>
      </c>
    </row>
    <row r="1947" spans="2:24" x14ac:dyDescent="0.3">
      <c r="B1947" t="s">
        <v>2040</v>
      </c>
      <c r="C1947" t="s">
        <v>92</v>
      </c>
      <c r="D1947" t="s">
        <v>7</v>
      </c>
      <c r="E1947" t="s">
        <v>18</v>
      </c>
      <c r="F1947" t="s">
        <v>11</v>
      </c>
      <c r="G1947" t="s">
        <v>115</v>
      </c>
      <c r="H1947">
        <v>2025</v>
      </c>
      <c r="I1947">
        <v>6578</v>
      </c>
      <c r="J1947">
        <v>16.3</v>
      </c>
      <c r="K1947" t="s">
        <v>22</v>
      </c>
      <c r="L1947">
        <v>8.6999999999999993</v>
      </c>
      <c r="M1947">
        <v>10</v>
      </c>
      <c r="N1947">
        <v>137</v>
      </c>
      <c r="O1947" t="s">
        <v>64</v>
      </c>
      <c r="P1947">
        <v>89.9</v>
      </c>
      <c r="Q1947" t="s">
        <v>65</v>
      </c>
      <c r="R1947">
        <v>85.2</v>
      </c>
      <c r="S1947">
        <v>18</v>
      </c>
      <c r="T1947">
        <v>-2.7</v>
      </c>
      <c r="U1947">
        <v>8.6</v>
      </c>
      <c r="V1947">
        <v>5</v>
      </c>
      <c r="W1947">
        <v>4.7</v>
      </c>
      <c r="X1947" t="s">
        <v>66</v>
      </c>
    </row>
    <row r="1948" spans="2:24" x14ac:dyDescent="0.3">
      <c r="B1948" t="s">
        <v>2041</v>
      </c>
      <c r="C1948" t="s">
        <v>139</v>
      </c>
      <c r="D1948" t="s">
        <v>8</v>
      </c>
      <c r="E1948" t="s">
        <v>19</v>
      </c>
      <c r="F1948" t="s">
        <v>11</v>
      </c>
      <c r="G1948" t="s">
        <v>115</v>
      </c>
      <c r="H1948">
        <v>2025</v>
      </c>
      <c r="I1948">
        <v>2438</v>
      </c>
      <c r="J1948">
        <v>21.9</v>
      </c>
      <c r="K1948" t="s">
        <v>23</v>
      </c>
      <c r="L1948">
        <v>8.9</v>
      </c>
      <c r="M1948">
        <v>10</v>
      </c>
      <c r="N1948">
        <v>407</v>
      </c>
      <c r="O1948" t="s">
        <v>64</v>
      </c>
      <c r="P1948">
        <v>16.100000000000001</v>
      </c>
      <c r="Q1948" t="s">
        <v>125</v>
      </c>
      <c r="R1948">
        <v>75.5</v>
      </c>
      <c r="S1948">
        <v>11.3</v>
      </c>
      <c r="T1948">
        <v>-3.7</v>
      </c>
      <c r="U1948">
        <v>6.6</v>
      </c>
      <c r="V1948">
        <v>6.4</v>
      </c>
      <c r="W1948">
        <v>3.4</v>
      </c>
      <c r="X1948" t="s">
        <v>66</v>
      </c>
    </row>
    <row r="1949" spans="2:24" x14ac:dyDescent="0.3">
      <c r="B1949" t="s">
        <v>2042</v>
      </c>
      <c r="C1949" t="s">
        <v>73</v>
      </c>
      <c r="D1949" t="s">
        <v>3</v>
      </c>
      <c r="E1949" t="s">
        <v>19</v>
      </c>
      <c r="F1949" t="s">
        <v>11</v>
      </c>
      <c r="G1949" t="s">
        <v>112</v>
      </c>
      <c r="H1949">
        <v>2026</v>
      </c>
      <c r="I1949">
        <v>623</v>
      </c>
      <c r="J1949">
        <v>13.6</v>
      </c>
      <c r="K1949" t="s">
        <v>24</v>
      </c>
      <c r="L1949">
        <v>10.5</v>
      </c>
      <c r="M1949">
        <v>10</v>
      </c>
      <c r="N1949">
        <v>2518</v>
      </c>
      <c r="O1949" t="s">
        <v>55</v>
      </c>
      <c r="P1949">
        <v>89</v>
      </c>
      <c r="Q1949" t="s">
        <v>88</v>
      </c>
      <c r="R1949">
        <v>81.2</v>
      </c>
      <c r="S1949">
        <v>56.2</v>
      </c>
      <c r="T1949">
        <v>28.7</v>
      </c>
      <c r="U1949">
        <v>9.4</v>
      </c>
      <c r="V1949">
        <v>5.8</v>
      </c>
      <c r="W1949">
        <v>5.9</v>
      </c>
      <c r="X1949" t="s">
        <v>116</v>
      </c>
    </row>
    <row r="1950" spans="2:24" x14ac:dyDescent="0.3">
      <c r="B1950" t="s">
        <v>2043</v>
      </c>
      <c r="C1950" t="s">
        <v>53</v>
      </c>
      <c r="D1950" t="s">
        <v>4</v>
      </c>
      <c r="E1950" t="s">
        <v>14</v>
      </c>
      <c r="F1950" t="s">
        <v>9</v>
      </c>
      <c r="G1950" t="s">
        <v>60</v>
      </c>
      <c r="H1950">
        <v>2024</v>
      </c>
      <c r="I1950">
        <v>16411</v>
      </c>
      <c r="J1950">
        <v>34.200000000000003</v>
      </c>
      <c r="K1950" t="s">
        <v>25</v>
      </c>
      <c r="L1950">
        <v>3.7</v>
      </c>
      <c r="M1950">
        <v>10</v>
      </c>
      <c r="N1950">
        <v>1560</v>
      </c>
      <c r="O1950" t="s">
        <v>75</v>
      </c>
      <c r="P1950">
        <v>45.9</v>
      </c>
      <c r="Q1950" t="s">
        <v>65</v>
      </c>
      <c r="R1950">
        <v>68.7</v>
      </c>
      <c r="S1950">
        <v>-3.1</v>
      </c>
      <c r="T1950">
        <v>-9.3000000000000007</v>
      </c>
      <c r="U1950">
        <v>2.8</v>
      </c>
      <c r="V1950">
        <v>3.2</v>
      </c>
      <c r="W1950">
        <v>2.4</v>
      </c>
      <c r="X1950" t="s">
        <v>66</v>
      </c>
    </row>
    <row r="1951" spans="2:24" x14ac:dyDescent="0.3">
      <c r="B1951" t="s">
        <v>2044</v>
      </c>
      <c r="C1951" t="s">
        <v>59</v>
      </c>
      <c r="D1951" t="s">
        <v>4</v>
      </c>
      <c r="E1951" t="s">
        <v>14</v>
      </c>
      <c r="F1951" t="s">
        <v>12</v>
      </c>
      <c r="G1951" t="s">
        <v>60</v>
      </c>
      <c r="H1951">
        <v>2026</v>
      </c>
      <c r="I1951">
        <v>458</v>
      </c>
      <c r="J1951">
        <v>4.5999999999999996</v>
      </c>
      <c r="K1951" t="s">
        <v>22</v>
      </c>
      <c r="L1951">
        <v>9.1</v>
      </c>
      <c r="M1951">
        <v>9.4</v>
      </c>
      <c r="N1951">
        <v>2024</v>
      </c>
      <c r="O1951" t="s">
        <v>55</v>
      </c>
      <c r="P1951">
        <v>28.1</v>
      </c>
      <c r="Q1951" t="s">
        <v>86</v>
      </c>
      <c r="R1951">
        <v>-42.5</v>
      </c>
      <c r="S1951">
        <v>41.6</v>
      </c>
      <c r="T1951">
        <v>17.5</v>
      </c>
      <c r="U1951">
        <v>9.4</v>
      </c>
      <c r="V1951">
        <v>8.9</v>
      </c>
      <c r="W1951">
        <v>6.9</v>
      </c>
      <c r="X1951" t="s">
        <v>57</v>
      </c>
    </row>
    <row r="1952" spans="2:24" x14ac:dyDescent="0.3">
      <c r="B1952" t="s">
        <v>2045</v>
      </c>
      <c r="C1952" t="s">
        <v>90</v>
      </c>
      <c r="D1952" t="s">
        <v>5</v>
      </c>
      <c r="E1952" t="s">
        <v>16</v>
      </c>
      <c r="F1952" t="s">
        <v>12</v>
      </c>
      <c r="G1952" t="s">
        <v>98</v>
      </c>
      <c r="H1952">
        <v>2026</v>
      </c>
      <c r="I1952">
        <v>6915</v>
      </c>
      <c r="J1952">
        <v>29.7</v>
      </c>
      <c r="K1952" t="s">
        <v>25</v>
      </c>
      <c r="L1952">
        <v>11.6</v>
      </c>
      <c r="M1952">
        <v>10</v>
      </c>
      <c r="N1952">
        <v>1057</v>
      </c>
      <c r="O1952" t="s">
        <v>64</v>
      </c>
      <c r="P1952">
        <v>37</v>
      </c>
      <c r="Q1952" t="s">
        <v>88</v>
      </c>
      <c r="R1952">
        <v>-33.4</v>
      </c>
      <c r="S1952">
        <v>-23.2</v>
      </c>
      <c r="T1952">
        <v>-23.7</v>
      </c>
      <c r="U1952">
        <v>8.8000000000000007</v>
      </c>
      <c r="V1952">
        <v>2.4</v>
      </c>
      <c r="W1952">
        <v>1.6</v>
      </c>
      <c r="X1952" t="s">
        <v>66</v>
      </c>
    </row>
    <row r="1953" spans="2:24" x14ac:dyDescent="0.3">
      <c r="B1953" t="s">
        <v>2046</v>
      </c>
      <c r="C1953" t="s">
        <v>68</v>
      </c>
      <c r="D1953" t="s">
        <v>8</v>
      </c>
      <c r="E1953" t="s">
        <v>18</v>
      </c>
      <c r="F1953" t="s">
        <v>10</v>
      </c>
      <c r="G1953" t="s">
        <v>101</v>
      </c>
      <c r="H1953">
        <v>2024</v>
      </c>
      <c r="I1953">
        <v>1295</v>
      </c>
      <c r="J1953">
        <v>13.1</v>
      </c>
      <c r="K1953" t="s">
        <v>24</v>
      </c>
      <c r="L1953">
        <v>6.3</v>
      </c>
      <c r="M1953">
        <v>10</v>
      </c>
      <c r="N1953">
        <v>5511</v>
      </c>
      <c r="O1953" t="s">
        <v>55</v>
      </c>
      <c r="P1953">
        <v>84.9</v>
      </c>
      <c r="Q1953" t="s">
        <v>84</v>
      </c>
      <c r="R1953">
        <v>3.8</v>
      </c>
      <c r="S1953">
        <v>46.3</v>
      </c>
      <c r="T1953">
        <v>10.5</v>
      </c>
      <c r="U1953">
        <v>7.5</v>
      </c>
      <c r="V1953">
        <v>6.3</v>
      </c>
      <c r="W1953">
        <v>6.8</v>
      </c>
      <c r="X1953" t="s">
        <v>116</v>
      </c>
    </row>
    <row r="1954" spans="2:24" x14ac:dyDescent="0.3">
      <c r="B1954" t="s">
        <v>2047</v>
      </c>
      <c r="C1954" t="s">
        <v>53</v>
      </c>
      <c r="D1954" t="s">
        <v>2</v>
      </c>
      <c r="E1954" t="s">
        <v>17</v>
      </c>
      <c r="F1954" t="s">
        <v>10</v>
      </c>
      <c r="G1954" t="s">
        <v>115</v>
      </c>
      <c r="H1954">
        <v>2026</v>
      </c>
      <c r="I1954">
        <v>1433</v>
      </c>
      <c r="J1954">
        <v>5.3</v>
      </c>
      <c r="K1954" t="s">
        <v>25</v>
      </c>
      <c r="L1954">
        <v>3.4</v>
      </c>
      <c r="M1954">
        <v>4.9000000000000004</v>
      </c>
      <c r="N1954">
        <v>2125</v>
      </c>
      <c r="O1954" t="s">
        <v>55</v>
      </c>
      <c r="P1954">
        <v>58.4</v>
      </c>
      <c r="Q1954" t="s">
        <v>76</v>
      </c>
      <c r="R1954">
        <v>-20.7</v>
      </c>
      <c r="S1954">
        <v>8.6</v>
      </c>
      <c r="T1954">
        <v>6.9</v>
      </c>
      <c r="U1954">
        <v>2.8</v>
      </c>
      <c r="V1954">
        <v>6.1</v>
      </c>
      <c r="W1954">
        <v>6.1</v>
      </c>
      <c r="X1954" t="s">
        <v>57</v>
      </c>
    </row>
    <row r="1955" spans="2:24" x14ac:dyDescent="0.3">
      <c r="B1955" t="s">
        <v>2048</v>
      </c>
      <c r="C1955" t="s">
        <v>142</v>
      </c>
      <c r="D1955" t="s">
        <v>2</v>
      </c>
      <c r="E1955" t="s">
        <v>17</v>
      </c>
      <c r="F1955" t="s">
        <v>10</v>
      </c>
      <c r="G1955" t="s">
        <v>63</v>
      </c>
      <c r="H1955">
        <v>2026</v>
      </c>
      <c r="I1955">
        <v>590</v>
      </c>
      <c r="J1955">
        <v>2.6</v>
      </c>
      <c r="K1955" t="s">
        <v>25</v>
      </c>
      <c r="L1955">
        <v>3.5</v>
      </c>
      <c r="M1955">
        <v>1</v>
      </c>
      <c r="N1955">
        <v>3296</v>
      </c>
      <c r="O1955" t="s">
        <v>55</v>
      </c>
      <c r="P1955">
        <v>53.5</v>
      </c>
      <c r="Q1955" t="s">
        <v>56</v>
      </c>
      <c r="R1955">
        <v>21</v>
      </c>
      <c r="S1955">
        <v>37.6</v>
      </c>
      <c r="T1955">
        <v>13.8</v>
      </c>
      <c r="U1955">
        <v>2.1</v>
      </c>
      <c r="V1955">
        <v>7.3</v>
      </c>
      <c r="W1955">
        <v>9.4</v>
      </c>
      <c r="X1955" t="s">
        <v>57</v>
      </c>
    </row>
    <row r="1956" spans="2:24" x14ac:dyDescent="0.3">
      <c r="B1956" t="s">
        <v>2049</v>
      </c>
      <c r="C1956" t="s">
        <v>137</v>
      </c>
      <c r="D1956" t="s">
        <v>3</v>
      </c>
      <c r="E1956" t="s">
        <v>14</v>
      </c>
      <c r="F1956" t="s">
        <v>11</v>
      </c>
      <c r="G1956" t="s">
        <v>74</v>
      </c>
      <c r="H1956">
        <v>2026</v>
      </c>
      <c r="I1956">
        <v>1364</v>
      </c>
      <c r="J1956">
        <v>11.5</v>
      </c>
      <c r="K1956" t="s">
        <v>25</v>
      </c>
      <c r="L1956">
        <v>8.6999999999999993</v>
      </c>
      <c r="M1956">
        <v>10</v>
      </c>
      <c r="N1956">
        <v>659</v>
      </c>
      <c r="O1956" t="s">
        <v>64</v>
      </c>
      <c r="P1956">
        <v>72.3</v>
      </c>
      <c r="Q1956" t="s">
        <v>65</v>
      </c>
      <c r="R1956">
        <v>78.8</v>
      </c>
      <c r="S1956">
        <v>13.3</v>
      </c>
      <c r="T1956">
        <v>9.3000000000000007</v>
      </c>
      <c r="U1956">
        <v>8.6</v>
      </c>
      <c r="V1956">
        <v>6</v>
      </c>
      <c r="W1956">
        <v>4.8</v>
      </c>
      <c r="X1956" t="s">
        <v>116</v>
      </c>
    </row>
    <row r="1957" spans="2:24" x14ac:dyDescent="0.3">
      <c r="B1957" t="s">
        <v>2050</v>
      </c>
      <c r="C1957" t="s">
        <v>71</v>
      </c>
      <c r="D1957" t="s">
        <v>5</v>
      </c>
      <c r="E1957" t="s">
        <v>18</v>
      </c>
      <c r="F1957" t="s">
        <v>9</v>
      </c>
      <c r="G1957" t="s">
        <v>104</v>
      </c>
      <c r="H1957">
        <v>2024</v>
      </c>
      <c r="I1957">
        <v>2711</v>
      </c>
      <c r="J1957">
        <v>37.9</v>
      </c>
      <c r="K1957" t="s">
        <v>22</v>
      </c>
      <c r="L1957">
        <v>2.7</v>
      </c>
      <c r="M1957">
        <v>10</v>
      </c>
      <c r="N1957">
        <v>723</v>
      </c>
      <c r="O1957" t="s">
        <v>75</v>
      </c>
      <c r="P1957">
        <v>20.2</v>
      </c>
      <c r="Q1957" t="s">
        <v>84</v>
      </c>
      <c r="R1957">
        <v>-26.2</v>
      </c>
      <c r="S1957">
        <v>54.7</v>
      </c>
      <c r="T1957">
        <v>18</v>
      </c>
      <c r="U1957">
        <v>1.8</v>
      </c>
      <c r="V1957">
        <v>7</v>
      </c>
      <c r="W1957">
        <v>3.1</v>
      </c>
      <c r="X1957" t="s">
        <v>66</v>
      </c>
    </row>
    <row r="1958" spans="2:24" x14ac:dyDescent="0.3">
      <c r="B1958" t="s">
        <v>2051</v>
      </c>
      <c r="C1958" t="s">
        <v>53</v>
      </c>
      <c r="D1958" t="s">
        <v>3</v>
      </c>
      <c r="E1958" t="s">
        <v>15</v>
      </c>
      <c r="F1958" t="s">
        <v>9</v>
      </c>
      <c r="G1958" t="s">
        <v>104</v>
      </c>
      <c r="H1958">
        <v>2024</v>
      </c>
      <c r="I1958">
        <v>19840</v>
      </c>
      <c r="J1958">
        <v>21.9</v>
      </c>
      <c r="K1958" t="s">
        <v>23</v>
      </c>
      <c r="L1958">
        <v>4.0999999999999996</v>
      </c>
      <c r="M1958">
        <v>8.1999999999999993</v>
      </c>
      <c r="N1958">
        <v>84</v>
      </c>
      <c r="O1958" t="s">
        <v>64</v>
      </c>
      <c r="P1958">
        <v>29.6</v>
      </c>
      <c r="Q1958" t="s">
        <v>84</v>
      </c>
      <c r="R1958">
        <v>4.5</v>
      </c>
      <c r="S1958">
        <v>-22.3</v>
      </c>
      <c r="T1958">
        <v>-19.2</v>
      </c>
      <c r="U1958">
        <v>6</v>
      </c>
      <c r="V1958">
        <v>5.0999999999999996</v>
      </c>
      <c r="W1958">
        <v>3</v>
      </c>
      <c r="X1958" t="s">
        <v>66</v>
      </c>
    </row>
    <row r="1959" spans="2:24" x14ac:dyDescent="0.3">
      <c r="B1959" t="s">
        <v>2052</v>
      </c>
      <c r="C1959" t="s">
        <v>97</v>
      </c>
      <c r="D1959" t="s">
        <v>3</v>
      </c>
      <c r="E1959" t="s">
        <v>16</v>
      </c>
      <c r="F1959" t="s">
        <v>12</v>
      </c>
      <c r="G1959" t="s">
        <v>131</v>
      </c>
      <c r="H1959">
        <v>2024</v>
      </c>
      <c r="I1959">
        <v>3429</v>
      </c>
      <c r="J1959">
        <v>3.9</v>
      </c>
      <c r="K1959" t="s">
        <v>21</v>
      </c>
      <c r="L1959">
        <v>9.1</v>
      </c>
      <c r="M1959">
        <v>8.9</v>
      </c>
      <c r="N1959">
        <v>3831</v>
      </c>
      <c r="O1959" t="s">
        <v>55</v>
      </c>
      <c r="P1959">
        <v>61.3</v>
      </c>
      <c r="Q1959" t="s">
        <v>76</v>
      </c>
      <c r="R1959">
        <v>30</v>
      </c>
      <c r="S1959">
        <v>58.9</v>
      </c>
      <c r="T1959">
        <v>25.1</v>
      </c>
      <c r="U1959">
        <v>7.6</v>
      </c>
      <c r="V1959">
        <v>8.6999999999999993</v>
      </c>
      <c r="W1959">
        <v>8.3000000000000007</v>
      </c>
      <c r="X1959" t="s">
        <v>116</v>
      </c>
    </row>
    <row r="1960" spans="2:24" x14ac:dyDescent="0.3">
      <c r="B1960" t="s">
        <v>2053</v>
      </c>
      <c r="C1960" t="s">
        <v>27</v>
      </c>
      <c r="D1960" t="s">
        <v>2</v>
      </c>
      <c r="E1960" t="s">
        <v>18</v>
      </c>
      <c r="F1960" t="s">
        <v>10</v>
      </c>
      <c r="G1960" t="s">
        <v>54</v>
      </c>
      <c r="H1960">
        <v>2026</v>
      </c>
      <c r="I1960">
        <v>231</v>
      </c>
      <c r="J1960">
        <v>6.1</v>
      </c>
      <c r="K1960" t="s">
        <v>25</v>
      </c>
      <c r="L1960">
        <v>2.5</v>
      </c>
      <c r="M1960">
        <v>1</v>
      </c>
      <c r="N1960">
        <v>9235</v>
      </c>
      <c r="O1960" t="s">
        <v>55</v>
      </c>
      <c r="P1960">
        <v>54</v>
      </c>
      <c r="Q1960" t="s">
        <v>56</v>
      </c>
      <c r="R1960">
        <v>11.5</v>
      </c>
      <c r="S1960">
        <v>-4.0999999999999996</v>
      </c>
      <c r="T1960">
        <v>-8.6999999999999993</v>
      </c>
      <c r="U1960">
        <v>2.9</v>
      </c>
      <c r="V1960">
        <v>7.6</v>
      </c>
      <c r="W1960">
        <v>7.4</v>
      </c>
      <c r="X1960" t="s">
        <v>57</v>
      </c>
    </row>
    <row r="1961" spans="2:24" x14ac:dyDescent="0.3">
      <c r="B1961" t="s">
        <v>2054</v>
      </c>
      <c r="C1961" t="s">
        <v>142</v>
      </c>
      <c r="D1961" t="s">
        <v>8</v>
      </c>
      <c r="E1961" t="s">
        <v>16</v>
      </c>
      <c r="F1961" t="s">
        <v>10</v>
      </c>
      <c r="G1961" t="s">
        <v>63</v>
      </c>
      <c r="H1961">
        <v>2024</v>
      </c>
      <c r="I1961">
        <v>210</v>
      </c>
      <c r="J1961">
        <v>4.7</v>
      </c>
      <c r="K1961" t="s">
        <v>22</v>
      </c>
      <c r="L1961">
        <v>3.3</v>
      </c>
      <c r="M1961">
        <v>4.2</v>
      </c>
      <c r="N1961">
        <v>3332</v>
      </c>
      <c r="O1961" t="s">
        <v>55</v>
      </c>
      <c r="P1961">
        <v>23.4</v>
      </c>
      <c r="Q1961" t="s">
        <v>84</v>
      </c>
      <c r="R1961">
        <v>50.1</v>
      </c>
      <c r="S1961">
        <v>28.2</v>
      </c>
      <c r="T1961">
        <v>10.8</v>
      </c>
      <c r="U1961">
        <v>3.4</v>
      </c>
      <c r="V1961">
        <v>7.3</v>
      </c>
      <c r="W1961">
        <v>7.6</v>
      </c>
      <c r="X1961" t="s">
        <v>116</v>
      </c>
    </row>
    <row r="1962" spans="2:24" x14ac:dyDescent="0.3">
      <c r="B1962" t="s">
        <v>2055</v>
      </c>
      <c r="C1962" t="s">
        <v>53</v>
      </c>
      <c r="D1962" t="s">
        <v>7</v>
      </c>
      <c r="E1962" t="s">
        <v>16</v>
      </c>
      <c r="F1962" t="s">
        <v>10</v>
      </c>
      <c r="G1962" t="s">
        <v>54</v>
      </c>
      <c r="H1962">
        <v>2025</v>
      </c>
      <c r="I1962">
        <v>6713</v>
      </c>
      <c r="J1962">
        <v>17.5</v>
      </c>
      <c r="K1962" t="s">
        <v>24</v>
      </c>
      <c r="L1962">
        <v>6.5</v>
      </c>
      <c r="M1962">
        <v>10</v>
      </c>
      <c r="N1962">
        <v>619</v>
      </c>
      <c r="O1962" t="s">
        <v>64</v>
      </c>
      <c r="P1962">
        <v>54.6</v>
      </c>
      <c r="Q1962" t="s">
        <v>86</v>
      </c>
      <c r="R1962">
        <v>32.799999999999997</v>
      </c>
      <c r="S1962">
        <v>26.5</v>
      </c>
      <c r="T1962">
        <v>10.7</v>
      </c>
      <c r="U1962">
        <v>6.1</v>
      </c>
      <c r="V1962">
        <v>5.8</v>
      </c>
      <c r="W1962">
        <v>4.9000000000000004</v>
      </c>
      <c r="X1962" t="s">
        <v>116</v>
      </c>
    </row>
    <row r="1963" spans="2:24" x14ac:dyDescent="0.3">
      <c r="B1963" t="s">
        <v>2056</v>
      </c>
      <c r="C1963" t="s">
        <v>59</v>
      </c>
      <c r="D1963" t="s">
        <v>4</v>
      </c>
      <c r="E1963" t="s">
        <v>15</v>
      </c>
      <c r="F1963" t="s">
        <v>9</v>
      </c>
      <c r="G1963" t="s">
        <v>131</v>
      </c>
      <c r="H1963">
        <v>2026</v>
      </c>
      <c r="I1963">
        <v>7355</v>
      </c>
      <c r="J1963">
        <v>16</v>
      </c>
      <c r="K1963" t="s">
        <v>23</v>
      </c>
      <c r="L1963">
        <v>4.8</v>
      </c>
      <c r="M1963">
        <v>10</v>
      </c>
      <c r="N1963">
        <v>709</v>
      </c>
      <c r="O1963" t="s">
        <v>64</v>
      </c>
      <c r="P1963">
        <v>52.1</v>
      </c>
      <c r="Q1963" t="s">
        <v>76</v>
      </c>
      <c r="R1963">
        <v>59.7</v>
      </c>
      <c r="S1963">
        <v>45.8</v>
      </c>
      <c r="T1963">
        <v>21.4</v>
      </c>
      <c r="U1963">
        <v>6.2</v>
      </c>
      <c r="V1963">
        <v>6.9</v>
      </c>
      <c r="W1963">
        <v>5.6</v>
      </c>
      <c r="X1963" t="s">
        <v>66</v>
      </c>
    </row>
    <row r="1964" spans="2:24" x14ac:dyDescent="0.3">
      <c r="B1964" t="s">
        <v>2057</v>
      </c>
      <c r="C1964" t="s">
        <v>159</v>
      </c>
      <c r="D1964" t="s">
        <v>2</v>
      </c>
      <c r="E1964" t="s">
        <v>19</v>
      </c>
      <c r="F1964" t="s">
        <v>11</v>
      </c>
      <c r="G1964" t="s">
        <v>101</v>
      </c>
      <c r="H1964">
        <v>2026</v>
      </c>
      <c r="I1964">
        <v>16940</v>
      </c>
      <c r="J1964">
        <v>31.2</v>
      </c>
      <c r="K1964" t="s">
        <v>25</v>
      </c>
      <c r="L1964">
        <v>6.7</v>
      </c>
      <c r="M1964">
        <v>7.1</v>
      </c>
      <c r="N1964">
        <v>5600</v>
      </c>
      <c r="O1964" t="s">
        <v>64</v>
      </c>
      <c r="P1964">
        <v>27.2</v>
      </c>
      <c r="Q1964" t="s">
        <v>76</v>
      </c>
      <c r="R1964">
        <v>-40.799999999999997</v>
      </c>
      <c r="S1964">
        <v>0.9</v>
      </c>
      <c r="T1964">
        <v>-9.8000000000000007</v>
      </c>
      <c r="U1964">
        <v>5.4</v>
      </c>
      <c r="V1964">
        <v>5.9</v>
      </c>
      <c r="W1964">
        <v>4.0999999999999996</v>
      </c>
      <c r="X1964" t="s">
        <v>66</v>
      </c>
    </row>
    <row r="1965" spans="2:24" x14ac:dyDescent="0.3">
      <c r="B1965" t="s">
        <v>2058</v>
      </c>
      <c r="C1965" t="s">
        <v>122</v>
      </c>
      <c r="D1965" t="s">
        <v>2</v>
      </c>
      <c r="E1965" t="s">
        <v>15</v>
      </c>
      <c r="F1965" t="s">
        <v>11</v>
      </c>
      <c r="G1965" t="s">
        <v>115</v>
      </c>
      <c r="H1965">
        <v>2026</v>
      </c>
      <c r="I1965">
        <v>2568</v>
      </c>
      <c r="J1965">
        <v>30.3</v>
      </c>
      <c r="K1965" t="s">
        <v>25</v>
      </c>
      <c r="L1965">
        <v>8.1999999999999993</v>
      </c>
      <c r="M1965">
        <v>10</v>
      </c>
      <c r="N1965">
        <v>5901</v>
      </c>
      <c r="O1965" t="s">
        <v>64</v>
      </c>
      <c r="P1965">
        <v>69.599999999999994</v>
      </c>
      <c r="Q1965" t="s">
        <v>76</v>
      </c>
      <c r="R1965">
        <v>61.8</v>
      </c>
      <c r="S1965">
        <v>52.5</v>
      </c>
      <c r="T1965">
        <v>9.1999999999999993</v>
      </c>
      <c r="U1965">
        <v>8.5</v>
      </c>
      <c r="V1965">
        <v>6.8</v>
      </c>
      <c r="W1965">
        <v>3.8</v>
      </c>
      <c r="X1965" t="s">
        <v>66</v>
      </c>
    </row>
    <row r="1966" spans="2:24" x14ac:dyDescent="0.3">
      <c r="B1966" t="s">
        <v>2059</v>
      </c>
      <c r="C1966" t="s">
        <v>92</v>
      </c>
      <c r="D1966" t="s">
        <v>7</v>
      </c>
      <c r="E1966" t="s">
        <v>17</v>
      </c>
      <c r="F1966" t="s">
        <v>11</v>
      </c>
      <c r="G1966" t="s">
        <v>115</v>
      </c>
      <c r="H1966">
        <v>2026</v>
      </c>
      <c r="I1966">
        <v>6760</v>
      </c>
      <c r="J1966">
        <v>14</v>
      </c>
      <c r="K1966" t="s">
        <v>22</v>
      </c>
      <c r="L1966">
        <v>2.8</v>
      </c>
      <c r="M1966">
        <v>6.3</v>
      </c>
      <c r="N1966">
        <v>4340</v>
      </c>
      <c r="O1966" t="s">
        <v>64</v>
      </c>
      <c r="P1966">
        <v>52.2</v>
      </c>
      <c r="Q1966" t="s">
        <v>79</v>
      </c>
      <c r="R1966">
        <v>-7.2</v>
      </c>
      <c r="S1966">
        <v>10.6</v>
      </c>
      <c r="T1966">
        <v>9.1999999999999993</v>
      </c>
      <c r="U1966">
        <v>4.4000000000000004</v>
      </c>
      <c r="V1966">
        <v>5.8</v>
      </c>
      <c r="W1966">
        <v>5.5</v>
      </c>
      <c r="X1966" t="s">
        <v>116</v>
      </c>
    </row>
    <row r="1967" spans="2:24" x14ac:dyDescent="0.3">
      <c r="B1967" t="s">
        <v>2060</v>
      </c>
      <c r="C1967" t="s">
        <v>106</v>
      </c>
      <c r="D1967" t="s">
        <v>8</v>
      </c>
      <c r="E1967" t="s">
        <v>16</v>
      </c>
      <c r="F1967" t="s">
        <v>9</v>
      </c>
      <c r="G1967" t="s">
        <v>60</v>
      </c>
      <c r="H1967">
        <v>2026</v>
      </c>
      <c r="I1967">
        <v>1840</v>
      </c>
      <c r="J1967">
        <v>8.4</v>
      </c>
      <c r="K1967" t="s">
        <v>23</v>
      </c>
      <c r="L1967">
        <v>1.7</v>
      </c>
      <c r="M1967">
        <v>1.8</v>
      </c>
      <c r="N1967">
        <v>5960</v>
      </c>
      <c r="O1967" t="s">
        <v>55</v>
      </c>
      <c r="P1967">
        <v>59.7</v>
      </c>
      <c r="Q1967" t="s">
        <v>86</v>
      </c>
      <c r="R1967">
        <v>-12.9</v>
      </c>
      <c r="S1967">
        <v>-12.8</v>
      </c>
      <c r="T1967">
        <v>-5.6</v>
      </c>
      <c r="U1967">
        <v>2</v>
      </c>
      <c r="V1967">
        <v>7.5</v>
      </c>
      <c r="W1967">
        <v>7.1</v>
      </c>
      <c r="X1967" t="s">
        <v>57</v>
      </c>
    </row>
    <row r="1968" spans="2:24" x14ac:dyDescent="0.3">
      <c r="B1968" t="s">
        <v>2061</v>
      </c>
      <c r="C1968" t="s">
        <v>53</v>
      </c>
      <c r="D1968" t="s">
        <v>3</v>
      </c>
      <c r="E1968" t="s">
        <v>14</v>
      </c>
      <c r="F1968" t="s">
        <v>11</v>
      </c>
      <c r="G1968" t="s">
        <v>54</v>
      </c>
      <c r="H1968">
        <v>2024</v>
      </c>
      <c r="I1968">
        <v>11942</v>
      </c>
      <c r="J1968">
        <v>19.3</v>
      </c>
      <c r="K1968" t="s">
        <v>21</v>
      </c>
      <c r="L1968">
        <v>13.4</v>
      </c>
      <c r="M1968">
        <v>10</v>
      </c>
      <c r="N1968">
        <v>1691</v>
      </c>
      <c r="O1968" t="s">
        <v>64</v>
      </c>
      <c r="P1968">
        <v>56.5</v>
      </c>
      <c r="Q1968" t="s">
        <v>56</v>
      </c>
      <c r="R1968">
        <v>16.399999999999999</v>
      </c>
      <c r="S1968">
        <v>13.3</v>
      </c>
      <c r="T1968">
        <v>-5.2</v>
      </c>
      <c r="U1968">
        <v>9.9</v>
      </c>
      <c r="V1968">
        <v>7.7</v>
      </c>
      <c r="W1968">
        <v>4.9000000000000004</v>
      </c>
      <c r="X1968" t="s">
        <v>66</v>
      </c>
    </row>
    <row r="1969" spans="2:24" x14ac:dyDescent="0.3">
      <c r="B1969" t="s">
        <v>2062</v>
      </c>
      <c r="C1969" t="s">
        <v>73</v>
      </c>
      <c r="D1969" t="s">
        <v>2</v>
      </c>
      <c r="E1969" t="s">
        <v>19</v>
      </c>
      <c r="F1969" t="s">
        <v>11</v>
      </c>
      <c r="G1969" t="s">
        <v>104</v>
      </c>
      <c r="H1969">
        <v>2026</v>
      </c>
      <c r="I1969">
        <v>14727</v>
      </c>
      <c r="J1969">
        <v>24.5</v>
      </c>
      <c r="K1969" t="s">
        <v>22</v>
      </c>
      <c r="L1969">
        <v>3</v>
      </c>
      <c r="M1969">
        <v>8.6</v>
      </c>
      <c r="N1969">
        <v>6928</v>
      </c>
      <c r="O1969" t="s">
        <v>55</v>
      </c>
      <c r="P1969">
        <v>82</v>
      </c>
      <c r="Q1969" t="s">
        <v>56</v>
      </c>
      <c r="R1969">
        <v>-4.9000000000000004</v>
      </c>
      <c r="S1969">
        <v>-14.3</v>
      </c>
      <c r="T1969">
        <v>-20.5</v>
      </c>
      <c r="U1969">
        <v>4.3</v>
      </c>
      <c r="V1969">
        <v>6.2</v>
      </c>
      <c r="W1969">
        <v>3.1</v>
      </c>
      <c r="X1969" t="s">
        <v>66</v>
      </c>
    </row>
    <row r="1970" spans="2:24" x14ac:dyDescent="0.3">
      <c r="B1970" t="s">
        <v>2063</v>
      </c>
      <c r="C1970" t="s">
        <v>142</v>
      </c>
      <c r="D1970" t="s">
        <v>8</v>
      </c>
      <c r="E1970" t="s">
        <v>15</v>
      </c>
      <c r="F1970" t="s">
        <v>10</v>
      </c>
      <c r="G1970" t="s">
        <v>60</v>
      </c>
      <c r="H1970">
        <v>2024</v>
      </c>
      <c r="I1970">
        <v>13125</v>
      </c>
      <c r="J1970">
        <v>17.399999999999999</v>
      </c>
      <c r="K1970" t="s">
        <v>22</v>
      </c>
      <c r="L1970">
        <v>6.3</v>
      </c>
      <c r="M1970">
        <v>3.7</v>
      </c>
      <c r="N1970">
        <v>1501</v>
      </c>
      <c r="O1970" t="s">
        <v>75</v>
      </c>
      <c r="P1970">
        <v>87.5</v>
      </c>
      <c r="Q1970" t="s">
        <v>76</v>
      </c>
      <c r="R1970">
        <v>53.7</v>
      </c>
      <c r="S1970">
        <v>-24.8</v>
      </c>
      <c r="T1970">
        <v>-20.7</v>
      </c>
      <c r="U1970">
        <v>3.9</v>
      </c>
      <c r="V1970">
        <v>6.3</v>
      </c>
      <c r="W1970">
        <v>4.4000000000000004</v>
      </c>
      <c r="X1970" t="s">
        <v>66</v>
      </c>
    </row>
    <row r="1971" spans="2:24" x14ac:dyDescent="0.3">
      <c r="B1971" t="s">
        <v>2064</v>
      </c>
      <c r="C1971" t="s">
        <v>106</v>
      </c>
      <c r="D1971" t="s">
        <v>8</v>
      </c>
      <c r="E1971" t="s">
        <v>19</v>
      </c>
      <c r="F1971" t="s">
        <v>11</v>
      </c>
      <c r="G1971" t="s">
        <v>63</v>
      </c>
      <c r="H1971">
        <v>2025</v>
      </c>
      <c r="I1971">
        <v>277</v>
      </c>
      <c r="J1971">
        <v>7.6</v>
      </c>
      <c r="K1971" t="s">
        <v>23</v>
      </c>
      <c r="L1971">
        <v>4.7</v>
      </c>
      <c r="M1971">
        <v>5.2</v>
      </c>
      <c r="N1971">
        <v>1674</v>
      </c>
      <c r="O1971" t="s">
        <v>55</v>
      </c>
      <c r="P1971">
        <v>54.5</v>
      </c>
      <c r="Q1971" t="s">
        <v>79</v>
      </c>
      <c r="R1971">
        <v>5.7</v>
      </c>
      <c r="S1971">
        <v>56.4</v>
      </c>
      <c r="T1971">
        <v>26.4</v>
      </c>
      <c r="U1971">
        <v>7.7</v>
      </c>
      <c r="V1971">
        <v>7</v>
      </c>
      <c r="W1971">
        <v>6.9</v>
      </c>
      <c r="X1971" t="s">
        <v>57</v>
      </c>
    </row>
    <row r="1972" spans="2:24" x14ac:dyDescent="0.3">
      <c r="B1972" t="s">
        <v>2065</v>
      </c>
      <c r="C1972" t="s">
        <v>142</v>
      </c>
      <c r="D1972" t="s">
        <v>2</v>
      </c>
      <c r="E1972" t="s">
        <v>19</v>
      </c>
      <c r="F1972" t="s">
        <v>12</v>
      </c>
      <c r="G1972" t="s">
        <v>54</v>
      </c>
      <c r="H1972">
        <v>2024</v>
      </c>
      <c r="I1972">
        <v>1498</v>
      </c>
      <c r="J1972">
        <v>5.7</v>
      </c>
      <c r="K1972" t="s">
        <v>24</v>
      </c>
      <c r="L1972">
        <v>7.4</v>
      </c>
      <c r="M1972">
        <v>6.5</v>
      </c>
      <c r="N1972">
        <v>2592</v>
      </c>
      <c r="O1972" t="s">
        <v>64</v>
      </c>
      <c r="P1972">
        <v>42.7</v>
      </c>
      <c r="Q1972" t="s">
        <v>76</v>
      </c>
      <c r="R1972">
        <v>20.399999999999999</v>
      </c>
      <c r="S1972">
        <v>44.1</v>
      </c>
      <c r="T1972">
        <v>25.9</v>
      </c>
      <c r="U1972">
        <v>4.7</v>
      </c>
      <c r="V1972">
        <v>8.5</v>
      </c>
      <c r="W1972">
        <v>7.8</v>
      </c>
      <c r="X1972" t="s">
        <v>57</v>
      </c>
    </row>
    <row r="1973" spans="2:24" x14ac:dyDescent="0.3">
      <c r="B1973" t="s">
        <v>2066</v>
      </c>
      <c r="C1973" t="s">
        <v>27</v>
      </c>
      <c r="D1973" t="s">
        <v>3</v>
      </c>
      <c r="E1973" t="s">
        <v>18</v>
      </c>
      <c r="F1973" t="s">
        <v>12</v>
      </c>
      <c r="G1973" t="s">
        <v>63</v>
      </c>
      <c r="H1973">
        <v>2024</v>
      </c>
      <c r="I1973">
        <v>4641</v>
      </c>
      <c r="J1973">
        <v>6.7</v>
      </c>
      <c r="K1973" t="s">
        <v>21</v>
      </c>
      <c r="L1973">
        <v>7.1</v>
      </c>
      <c r="M1973">
        <v>7.9</v>
      </c>
      <c r="N1973">
        <v>2256</v>
      </c>
      <c r="O1973" t="s">
        <v>55</v>
      </c>
      <c r="P1973">
        <v>17.2</v>
      </c>
      <c r="Q1973" t="s">
        <v>65</v>
      </c>
      <c r="R1973">
        <v>17.899999999999999</v>
      </c>
      <c r="S1973">
        <v>15.6</v>
      </c>
      <c r="T1973">
        <v>3.1</v>
      </c>
      <c r="U1973">
        <v>5.6</v>
      </c>
      <c r="V1973">
        <v>6.8</v>
      </c>
      <c r="W1973">
        <v>5.7</v>
      </c>
      <c r="X1973" t="s">
        <v>116</v>
      </c>
    </row>
    <row r="1974" spans="2:24" x14ac:dyDescent="0.3">
      <c r="B1974" t="s">
        <v>2067</v>
      </c>
      <c r="C1974" t="s">
        <v>159</v>
      </c>
      <c r="D1974" t="s">
        <v>7</v>
      </c>
      <c r="E1974" t="s">
        <v>16</v>
      </c>
      <c r="F1974" t="s">
        <v>9</v>
      </c>
      <c r="G1974" t="s">
        <v>112</v>
      </c>
      <c r="H1974">
        <v>2024</v>
      </c>
      <c r="I1974">
        <v>15115</v>
      </c>
      <c r="J1974">
        <v>22</v>
      </c>
      <c r="K1974" t="s">
        <v>22</v>
      </c>
      <c r="L1974">
        <v>16.2</v>
      </c>
      <c r="M1974">
        <v>10</v>
      </c>
      <c r="N1974">
        <v>1038</v>
      </c>
      <c r="O1974" t="s">
        <v>64</v>
      </c>
      <c r="P1974">
        <v>49.6</v>
      </c>
      <c r="Q1974" t="s">
        <v>84</v>
      </c>
      <c r="R1974">
        <v>13.7</v>
      </c>
      <c r="S1974">
        <v>12.4</v>
      </c>
      <c r="T1974">
        <v>-0.9</v>
      </c>
      <c r="U1974">
        <v>9.6</v>
      </c>
      <c r="V1974">
        <v>5.3</v>
      </c>
      <c r="W1974">
        <v>3.4</v>
      </c>
      <c r="X1974" t="s">
        <v>66</v>
      </c>
    </row>
    <row r="1975" spans="2:24" x14ac:dyDescent="0.3">
      <c r="B1975" t="s">
        <v>2068</v>
      </c>
      <c r="C1975" t="s">
        <v>90</v>
      </c>
      <c r="D1975" t="s">
        <v>2</v>
      </c>
      <c r="E1975" t="s">
        <v>17</v>
      </c>
      <c r="F1975" t="s">
        <v>12</v>
      </c>
      <c r="G1975" t="s">
        <v>69</v>
      </c>
      <c r="H1975">
        <v>2026</v>
      </c>
      <c r="I1975">
        <v>5584</v>
      </c>
      <c r="J1975">
        <v>13.4</v>
      </c>
      <c r="K1975" t="s">
        <v>24</v>
      </c>
      <c r="L1975">
        <v>9.5</v>
      </c>
      <c r="M1975">
        <v>9.9</v>
      </c>
      <c r="N1975">
        <v>1427</v>
      </c>
      <c r="O1975" t="s">
        <v>64</v>
      </c>
      <c r="P1975">
        <v>85.2</v>
      </c>
      <c r="Q1975" t="s">
        <v>56</v>
      </c>
      <c r="R1975">
        <v>-42.3</v>
      </c>
      <c r="S1975">
        <v>-22.2</v>
      </c>
      <c r="T1975">
        <v>-6.7</v>
      </c>
      <c r="U1975">
        <v>8</v>
      </c>
      <c r="V1975">
        <v>6.7</v>
      </c>
      <c r="W1975">
        <v>4.8</v>
      </c>
      <c r="X1975" t="s">
        <v>66</v>
      </c>
    </row>
    <row r="1976" spans="2:24" x14ac:dyDescent="0.3">
      <c r="B1976" t="s">
        <v>2069</v>
      </c>
      <c r="C1976" t="s">
        <v>122</v>
      </c>
      <c r="D1976" t="s">
        <v>2</v>
      </c>
      <c r="E1976" t="s">
        <v>19</v>
      </c>
      <c r="F1976" t="s">
        <v>11</v>
      </c>
      <c r="G1976" t="s">
        <v>69</v>
      </c>
      <c r="H1976">
        <v>2026</v>
      </c>
      <c r="I1976">
        <v>884</v>
      </c>
      <c r="J1976">
        <v>4.7</v>
      </c>
      <c r="K1976" t="s">
        <v>24</v>
      </c>
      <c r="L1976">
        <v>0.9</v>
      </c>
      <c r="M1976">
        <v>1.8</v>
      </c>
      <c r="N1976">
        <v>4230</v>
      </c>
      <c r="O1976" t="s">
        <v>55</v>
      </c>
      <c r="P1976">
        <v>23.3</v>
      </c>
      <c r="Q1976" t="s">
        <v>56</v>
      </c>
      <c r="R1976">
        <v>-25.1</v>
      </c>
      <c r="S1976">
        <v>-9.4</v>
      </c>
      <c r="T1976">
        <v>0.1</v>
      </c>
      <c r="U1976">
        <v>1.1000000000000001</v>
      </c>
      <c r="V1976">
        <v>4.7</v>
      </c>
      <c r="W1976">
        <v>7.8</v>
      </c>
      <c r="X1976" t="s">
        <v>57</v>
      </c>
    </row>
    <row r="1977" spans="2:24" x14ac:dyDescent="0.3">
      <c r="B1977" t="s">
        <v>2070</v>
      </c>
      <c r="C1977" t="s">
        <v>71</v>
      </c>
      <c r="D1977" t="s">
        <v>6</v>
      </c>
      <c r="E1977" t="s">
        <v>19</v>
      </c>
      <c r="F1977" t="s">
        <v>9</v>
      </c>
      <c r="G1977" t="s">
        <v>112</v>
      </c>
      <c r="H1977">
        <v>2026</v>
      </c>
      <c r="I1977">
        <v>102</v>
      </c>
      <c r="J1977">
        <v>7.7</v>
      </c>
      <c r="K1977" t="s">
        <v>21</v>
      </c>
      <c r="L1977">
        <v>5.6</v>
      </c>
      <c r="M1977">
        <v>10</v>
      </c>
      <c r="N1977">
        <v>5189</v>
      </c>
      <c r="O1977" t="s">
        <v>118</v>
      </c>
      <c r="P1977">
        <v>86</v>
      </c>
      <c r="Q1977" t="s">
        <v>86</v>
      </c>
      <c r="R1977">
        <v>62.9</v>
      </c>
      <c r="S1977">
        <v>-5.8</v>
      </c>
      <c r="T1977">
        <v>-6.1</v>
      </c>
      <c r="U1977">
        <v>7.6</v>
      </c>
      <c r="V1977">
        <v>6.8</v>
      </c>
      <c r="W1977">
        <v>5</v>
      </c>
      <c r="X1977" t="s">
        <v>57</v>
      </c>
    </row>
    <row r="1978" spans="2:24" x14ac:dyDescent="0.3">
      <c r="B1978" t="s">
        <v>2071</v>
      </c>
      <c r="C1978" t="s">
        <v>159</v>
      </c>
      <c r="D1978" t="s">
        <v>2</v>
      </c>
      <c r="E1978" t="s">
        <v>18</v>
      </c>
      <c r="F1978" t="s">
        <v>11</v>
      </c>
      <c r="G1978" t="s">
        <v>63</v>
      </c>
      <c r="H1978">
        <v>2026</v>
      </c>
      <c r="I1978">
        <v>474</v>
      </c>
      <c r="J1978">
        <v>17.7</v>
      </c>
      <c r="K1978" t="s">
        <v>25</v>
      </c>
      <c r="L1978">
        <v>4.0999999999999996</v>
      </c>
      <c r="M1978">
        <v>8.1999999999999993</v>
      </c>
      <c r="N1978">
        <v>5071</v>
      </c>
      <c r="O1978" t="s">
        <v>55</v>
      </c>
      <c r="P1978">
        <v>44</v>
      </c>
      <c r="Q1978" t="s">
        <v>76</v>
      </c>
      <c r="R1978">
        <v>23.4</v>
      </c>
      <c r="S1978">
        <v>28.5</v>
      </c>
      <c r="T1978">
        <v>-0.9</v>
      </c>
      <c r="U1978">
        <v>3.2</v>
      </c>
      <c r="V1978">
        <v>4.7</v>
      </c>
      <c r="W1978">
        <v>4.5999999999999996</v>
      </c>
      <c r="X1978" t="s">
        <v>116</v>
      </c>
    </row>
    <row r="1979" spans="2:24" x14ac:dyDescent="0.3">
      <c r="B1979" t="s">
        <v>2072</v>
      </c>
      <c r="C1979" t="s">
        <v>73</v>
      </c>
      <c r="D1979" t="s">
        <v>3</v>
      </c>
      <c r="E1979" t="s">
        <v>18</v>
      </c>
      <c r="F1979" t="s">
        <v>12</v>
      </c>
      <c r="G1979" t="s">
        <v>104</v>
      </c>
      <c r="H1979">
        <v>2024</v>
      </c>
      <c r="I1979">
        <v>8557</v>
      </c>
      <c r="J1979">
        <v>23.6</v>
      </c>
      <c r="K1979" t="s">
        <v>22</v>
      </c>
      <c r="L1979">
        <v>10.1</v>
      </c>
      <c r="M1979">
        <v>10</v>
      </c>
      <c r="N1979">
        <v>1143</v>
      </c>
      <c r="O1979" t="s">
        <v>64</v>
      </c>
      <c r="P1979">
        <v>51.3</v>
      </c>
      <c r="Q1979" t="s">
        <v>84</v>
      </c>
      <c r="R1979">
        <v>29.2</v>
      </c>
      <c r="S1979">
        <v>58.8</v>
      </c>
      <c r="T1979">
        <v>24.6</v>
      </c>
      <c r="U1979">
        <v>8.4</v>
      </c>
      <c r="V1979">
        <v>8.1</v>
      </c>
      <c r="W1979">
        <v>5.2</v>
      </c>
      <c r="X1979" t="s">
        <v>66</v>
      </c>
    </row>
    <row r="1980" spans="2:24" x14ac:dyDescent="0.3">
      <c r="B1980" t="s">
        <v>2073</v>
      </c>
      <c r="C1980" t="s">
        <v>90</v>
      </c>
      <c r="D1980" t="s">
        <v>3</v>
      </c>
      <c r="E1980" t="s">
        <v>16</v>
      </c>
      <c r="F1980" t="s">
        <v>10</v>
      </c>
      <c r="G1980" t="s">
        <v>60</v>
      </c>
      <c r="H1980">
        <v>2026</v>
      </c>
      <c r="I1980">
        <v>1017</v>
      </c>
      <c r="J1980">
        <v>13.3</v>
      </c>
      <c r="K1980" t="s">
        <v>24</v>
      </c>
      <c r="L1980">
        <v>3.2</v>
      </c>
      <c r="M1980">
        <v>6.1</v>
      </c>
      <c r="N1980">
        <v>3563</v>
      </c>
      <c r="O1980" t="s">
        <v>64</v>
      </c>
      <c r="P1980">
        <v>14.4</v>
      </c>
      <c r="Q1980" t="s">
        <v>125</v>
      </c>
      <c r="R1980">
        <v>13.3</v>
      </c>
      <c r="S1980">
        <v>-24.3</v>
      </c>
      <c r="T1980">
        <v>-21.4</v>
      </c>
      <c r="U1980">
        <v>2.2999999999999998</v>
      </c>
      <c r="V1980">
        <v>4.5999999999999996</v>
      </c>
      <c r="W1980">
        <v>5.6</v>
      </c>
      <c r="X1980" t="s">
        <v>116</v>
      </c>
    </row>
    <row r="1981" spans="2:24" x14ac:dyDescent="0.3">
      <c r="B1981" t="s">
        <v>2074</v>
      </c>
      <c r="C1981" t="s">
        <v>83</v>
      </c>
      <c r="D1981" t="s">
        <v>4</v>
      </c>
      <c r="E1981" t="s">
        <v>19</v>
      </c>
      <c r="F1981" t="s">
        <v>10</v>
      </c>
      <c r="G1981" t="s">
        <v>98</v>
      </c>
      <c r="H1981">
        <v>2024</v>
      </c>
      <c r="I1981">
        <v>6359</v>
      </c>
      <c r="J1981">
        <v>3.9</v>
      </c>
      <c r="K1981" t="s">
        <v>21</v>
      </c>
      <c r="L1981">
        <v>9.1</v>
      </c>
      <c r="M1981">
        <v>6.3</v>
      </c>
      <c r="N1981">
        <v>4902</v>
      </c>
      <c r="O1981" t="s">
        <v>55</v>
      </c>
      <c r="P1981">
        <v>82.3</v>
      </c>
      <c r="Q1981" t="s">
        <v>76</v>
      </c>
      <c r="R1981">
        <v>35.6</v>
      </c>
      <c r="S1981">
        <v>9.8000000000000007</v>
      </c>
      <c r="T1981">
        <v>8.4</v>
      </c>
      <c r="U1981">
        <v>7.4</v>
      </c>
      <c r="V1981">
        <v>8.5</v>
      </c>
      <c r="W1981">
        <v>6</v>
      </c>
      <c r="X1981" t="s">
        <v>116</v>
      </c>
    </row>
    <row r="1982" spans="2:24" x14ac:dyDescent="0.3">
      <c r="B1982" t="s">
        <v>2075</v>
      </c>
      <c r="C1982" t="s">
        <v>142</v>
      </c>
      <c r="D1982" t="s">
        <v>2</v>
      </c>
      <c r="E1982" t="s">
        <v>17</v>
      </c>
      <c r="F1982" t="s">
        <v>12</v>
      </c>
      <c r="G1982" t="s">
        <v>60</v>
      </c>
      <c r="H1982">
        <v>2025</v>
      </c>
      <c r="I1982">
        <v>12702</v>
      </c>
      <c r="J1982">
        <v>32.9</v>
      </c>
      <c r="K1982" t="s">
        <v>24</v>
      </c>
      <c r="L1982">
        <v>6.2</v>
      </c>
      <c r="M1982">
        <v>10</v>
      </c>
      <c r="N1982">
        <v>2155</v>
      </c>
      <c r="O1982" t="s">
        <v>64</v>
      </c>
      <c r="P1982">
        <v>25.2</v>
      </c>
      <c r="Q1982" t="s">
        <v>56</v>
      </c>
      <c r="R1982">
        <v>-21.8</v>
      </c>
      <c r="S1982">
        <v>36.700000000000003</v>
      </c>
      <c r="T1982">
        <v>3</v>
      </c>
      <c r="U1982">
        <v>4.3</v>
      </c>
      <c r="V1982">
        <v>7.1</v>
      </c>
      <c r="W1982">
        <v>4.0999999999999996</v>
      </c>
      <c r="X1982" t="s">
        <v>66</v>
      </c>
    </row>
    <row r="1983" spans="2:24" x14ac:dyDescent="0.3">
      <c r="B1983" t="s">
        <v>2076</v>
      </c>
      <c r="C1983" t="s">
        <v>92</v>
      </c>
      <c r="D1983" t="s">
        <v>7</v>
      </c>
      <c r="E1983" t="s">
        <v>14</v>
      </c>
      <c r="F1983" t="s">
        <v>9</v>
      </c>
      <c r="G1983" t="s">
        <v>98</v>
      </c>
      <c r="H1983">
        <v>2024</v>
      </c>
      <c r="I1983">
        <v>1732</v>
      </c>
      <c r="J1983">
        <v>6.8</v>
      </c>
      <c r="K1983" t="s">
        <v>25</v>
      </c>
      <c r="L1983">
        <v>5.7</v>
      </c>
      <c r="M1983">
        <v>6.1</v>
      </c>
      <c r="N1983">
        <v>3449</v>
      </c>
      <c r="O1983" t="s">
        <v>55</v>
      </c>
      <c r="P1983">
        <v>65.8</v>
      </c>
      <c r="Q1983" t="s">
        <v>56</v>
      </c>
      <c r="R1983">
        <v>-30.5</v>
      </c>
      <c r="S1983">
        <v>-19</v>
      </c>
      <c r="T1983">
        <v>-14.5</v>
      </c>
      <c r="U1983">
        <v>3.6</v>
      </c>
      <c r="V1983">
        <v>6.4</v>
      </c>
      <c r="W1983">
        <v>5.6</v>
      </c>
      <c r="X1983" t="s">
        <v>57</v>
      </c>
    </row>
    <row r="1984" spans="2:24" x14ac:dyDescent="0.3">
      <c r="B1984" t="s">
        <v>2077</v>
      </c>
      <c r="C1984" t="s">
        <v>106</v>
      </c>
      <c r="D1984" t="s">
        <v>8</v>
      </c>
      <c r="E1984" t="s">
        <v>17</v>
      </c>
      <c r="F1984" t="s">
        <v>12</v>
      </c>
      <c r="G1984" t="s">
        <v>69</v>
      </c>
      <c r="H1984">
        <v>2026</v>
      </c>
      <c r="I1984">
        <v>915</v>
      </c>
      <c r="J1984">
        <v>8.1999999999999993</v>
      </c>
      <c r="K1984" t="s">
        <v>24</v>
      </c>
      <c r="L1984">
        <v>8.4</v>
      </c>
      <c r="M1984">
        <v>3.7</v>
      </c>
      <c r="N1984">
        <v>4973</v>
      </c>
      <c r="O1984" t="s">
        <v>55</v>
      </c>
      <c r="P1984">
        <v>10.199999999999999</v>
      </c>
      <c r="Q1984" t="s">
        <v>56</v>
      </c>
      <c r="R1984">
        <v>39.4</v>
      </c>
      <c r="S1984">
        <v>-5.8</v>
      </c>
      <c r="T1984">
        <v>-8.1</v>
      </c>
      <c r="U1984">
        <v>5.9</v>
      </c>
      <c r="V1984">
        <v>6.3</v>
      </c>
      <c r="W1984">
        <v>7.1</v>
      </c>
      <c r="X1984" t="s">
        <v>57</v>
      </c>
    </row>
    <row r="1985" spans="2:24" x14ac:dyDescent="0.3">
      <c r="B1985" t="s">
        <v>2078</v>
      </c>
      <c r="C1985" t="s">
        <v>142</v>
      </c>
      <c r="D1985" t="s">
        <v>8</v>
      </c>
      <c r="E1985" t="s">
        <v>19</v>
      </c>
      <c r="F1985" t="s">
        <v>11</v>
      </c>
      <c r="G1985" t="s">
        <v>78</v>
      </c>
      <c r="H1985">
        <v>2025</v>
      </c>
      <c r="I1985">
        <v>1590</v>
      </c>
      <c r="J1985">
        <v>5.8</v>
      </c>
      <c r="K1985" t="s">
        <v>21</v>
      </c>
      <c r="L1985">
        <v>1.2</v>
      </c>
      <c r="M1985">
        <v>3.3</v>
      </c>
      <c r="N1985">
        <v>1008</v>
      </c>
      <c r="O1985" t="s">
        <v>64</v>
      </c>
      <c r="P1985">
        <v>71.099999999999994</v>
      </c>
      <c r="Q1985" t="s">
        <v>86</v>
      </c>
      <c r="R1985">
        <v>20.399999999999999</v>
      </c>
      <c r="S1985">
        <v>19.2</v>
      </c>
      <c r="T1985">
        <v>1.9</v>
      </c>
      <c r="U1985">
        <v>1.4</v>
      </c>
      <c r="V1985">
        <v>8.8000000000000007</v>
      </c>
      <c r="W1985">
        <v>8.1</v>
      </c>
      <c r="X1985" t="s">
        <v>57</v>
      </c>
    </row>
    <row r="1986" spans="2:24" x14ac:dyDescent="0.3">
      <c r="B1986" t="s">
        <v>2079</v>
      </c>
      <c r="C1986" t="s">
        <v>27</v>
      </c>
      <c r="D1986" t="s">
        <v>3</v>
      </c>
      <c r="E1986" t="s">
        <v>19</v>
      </c>
      <c r="F1986" t="s">
        <v>10</v>
      </c>
      <c r="G1986" t="s">
        <v>131</v>
      </c>
      <c r="H1986">
        <v>2026</v>
      </c>
      <c r="I1986">
        <v>1640</v>
      </c>
      <c r="J1986">
        <v>28.6</v>
      </c>
      <c r="K1986" t="s">
        <v>22</v>
      </c>
      <c r="L1986">
        <v>7</v>
      </c>
      <c r="M1986">
        <v>10</v>
      </c>
      <c r="N1986">
        <v>886</v>
      </c>
      <c r="O1986" t="s">
        <v>64</v>
      </c>
      <c r="P1986">
        <v>78.8</v>
      </c>
      <c r="Q1986" t="s">
        <v>56</v>
      </c>
      <c r="R1986">
        <v>31.6</v>
      </c>
      <c r="S1986">
        <v>-5.6</v>
      </c>
      <c r="T1986">
        <v>-5.8</v>
      </c>
      <c r="U1986">
        <v>10</v>
      </c>
      <c r="V1986">
        <v>5.7</v>
      </c>
      <c r="W1986">
        <v>2.9</v>
      </c>
      <c r="X1986" t="s">
        <v>66</v>
      </c>
    </row>
    <row r="1987" spans="2:24" x14ac:dyDescent="0.3">
      <c r="B1987" t="s">
        <v>2080</v>
      </c>
      <c r="C1987" t="s">
        <v>27</v>
      </c>
      <c r="D1987" t="s">
        <v>2</v>
      </c>
      <c r="E1987" t="s">
        <v>15</v>
      </c>
      <c r="F1987" t="s">
        <v>11</v>
      </c>
      <c r="G1987" t="s">
        <v>112</v>
      </c>
      <c r="H1987">
        <v>2025</v>
      </c>
      <c r="I1987">
        <v>1352</v>
      </c>
      <c r="J1987">
        <v>8.3000000000000007</v>
      </c>
      <c r="K1987" t="s">
        <v>23</v>
      </c>
      <c r="L1987">
        <v>16.5</v>
      </c>
      <c r="M1987">
        <v>7</v>
      </c>
      <c r="N1987">
        <v>2214</v>
      </c>
      <c r="O1987" t="s">
        <v>55</v>
      </c>
      <c r="P1987">
        <v>76.599999999999994</v>
      </c>
      <c r="Q1987" t="s">
        <v>76</v>
      </c>
      <c r="R1987">
        <v>77.5</v>
      </c>
      <c r="S1987">
        <v>15.7</v>
      </c>
      <c r="T1987">
        <v>17.399999999999999</v>
      </c>
      <c r="U1987">
        <v>9.9</v>
      </c>
      <c r="V1987">
        <v>5.3</v>
      </c>
      <c r="W1987">
        <v>6.9</v>
      </c>
      <c r="X1987" t="s">
        <v>66</v>
      </c>
    </row>
    <row r="1988" spans="2:24" x14ac:dyDescent="0.3">
      <c r="B1988" t="s">
        <v>2081</v>
      </c>
      <c r="C1988" t="s">
        <v>106</v>
      </c>
      <c r="D1988" t="s">
        <v>3</v>
      </c>
      <c r="E1988" t="s">
        <v>14</v>
      </c>
      <c r="F1988" t="s">
        <v>12</v>
      </c>
      <c r="G1988" t="s">
        <v>101</v>
      </c>
      <c r="H1988">
        <v>2026</v>
      </c>
      <c r="I1988">
        <v>2062</v>
      </c>
      <c r="J1988">
        <v>8.3000000000000007</v>
      </c>
      <c r="K1988" t="s">
        <v>21</v>
      </c>
      <c r="L1988">
        <v>8.9</v>
      </c>
      <c r="M1988">
        <v>8.3000000000000007</v>
      </c>
      <c r="N1988">
        <v>5368</v>
      </c>
      <c r="O1988" t="s">
        <v>55</v>
      </c>
      <c r="P1988">
        <v>12.3</v>
      </c>
      <c r="Q1988" t="s">
        <v>88</v>
      </c>
      <c r="R1988">
        <v>75.8</v>
      </c>
      <c r="S1988">
        <v>40.4</v>
      </c>
      <c r="T1988">
        <v>19.5</v>
      </c>
      <c r="U1988">
        <v>8.3000000000000007</v>
      </c>
      <c r="V1988">
        <v>8.5</v>
      </c>
      <c r="W1988">
        <v>5.8</v>
      </c>
      <c r="X1988" t="s">
        <v>57</v>
      </c>
    </row>
    <row r="1989" spans="2:24" x14ac:dyDescent="0.3">
      <c r="B1989" t="s">
        <v>2082</v>
      </c>
      <c r="C1989" t="s">
        <v>106</v>
      </c>
      <c r="D1989" t="s">
        <v>3</v>
      </c>
      <c r="E1989" t="s">
        <v>14</v>
      </c>
      <c r="F1989" t="s">
        <v>12</v>
      </c>
      <c r="G1989" t="s">
        <v>98</v>
      </c>
      <c r="H1989">
        <v>2025</v>
      </c>
      <c r="I1989">
        <v>2430</v>
      </c>
      <c r="J1989">
        <v>9.8000000000000007</v>
      </c>
      <c r="K1989" t="s">
        <v>21</v>
      </c>
      <c r="L1989">
        <v>4.2</v>
      </c>
      <c r="M1989">
        <v>6</v>
      </c>
      <c r="N1989">
        <v>1526</v>
      </c>
      <c r="O1989" t="s">
        <v>64</v>
      </c>
      <c r="P1989">
        <v>20.9</v>
      </c>
      <c r="Q1989" t="s">
        <v>76</v>
      </c>
      <c r="R1989">
        <v>82.8</v>
      </c>
      <c r="S1989">
        <v>54.7</v>
      </c>
      <c r="T1989">
        <v>13.6</v>
      </c>
      <c r="U1989">
        <v>2.7</v>
      </c>
      <c r="V1989">
        <v>6.8</v>
      </c>
      <c r="W1989">
        <v>7.7</v>
      </c>
      <c r="X1989" t="s">
        <v>57</v>
      </c>
    </row>
    <row r="1990" spans="2:24" x14ac:dyDescent="0.3">
      <c r="B1990" t="s">
        <v>2083</v>
      </c>
      <c r="C1990" t="s">
        <v>71</v>
      </c>
      <c r="D1990" t="s">
        <v>6</v>
      </c>
      <c r="E1990" t="s">
        <v>14</v>
      </c>
      <c r="F1990" t="s">
        <v>10</v>
      </c>
      <c r="G1990" t="s">
        <v>63</v>
      </c>
      <c r="H1990">
        <v>2024</v>
      </c>
      <c r="I1990">
        <v>4311</v>
      </c>
      <c r="J1990">
        <v>33.299999999999997</v>
      </c>
      <c r="K1990" t="s">
        <v>25</v>
      </c>
      <c r="L1990">
        <v>11.1</v>
      </c>
      <c r="M1990">
        <v>10</v>
      </c>
      <c r="N1990">
        <v>784</v>
      </c>
      <c r="O1990" t="s">
        <v>75</v>
      </c>
      <c r="P1990">
        <v>23.8</v>
      </c>
      <c r="Q1990" t="s">
        <v>84</v>
      </c>
      <c r="R1990">
        <v>68.7</v>
      </c>
      <c r="S1990">
        <v>14.1</v>
      </c>
      <c r="T1990">
        <v>-6.8</v>
      </c>
      <c r="U1990">
        <v>7.7</v>
      </c>
      <c r="V1990">
        <v>5.7</v>
      </c>
      <c r="W1990">
        <v>3.9</v>
      </c>
      <c r="X1990" t="s">
        <v>66</v>
      </c>
    </row>
    <row r="1991" spans="2:24" x14ac:dyDescent="0.3">
      <c r="B1991" t="s">
        <v>2084</v>
      </c>
      <c r="C1991" t="s">
        <v>71</v>
      </c>
      <c r="D1991" t="s">
        <v>6</v>
      </c>
      <c r="E1991" t="s">
        <v>18</v>
      </c>
      <c r="F1991" t="s">
        <v>9</v>
      </c>
      <c r="G1991" t="s">
        <v>101</v>
      </c>
      <c r="H1991">
        <v>2026</v>
      </c>
      <c r="I1991">
        <v>4734</v>
      </c>
      <c r="J1991">
        <v>10.199999999999999</v>
      </c>
      <c r="K1991" t="s">
        <v>24</v>
      </c>
      <c r="L1991">
        <v>6.3</v>
      </c>
      <c r="M1991">
        <v>7.2</v>
      </c>
      <c r="N1991">
        <v>4446</v>
      </c>
      <c r="O1991" t="s">
        <v>55</v>
      </c>
      <c r="P1991">
        <v>75.599999999999994</v>
      </c>
      <c r="Q1991" t="s">
        <v>125</v>
      </c>
      <c r="R1991">
        <v>-24.1</v>
      </c>
      <c r="S1991">
        <v>13.5</v>
      </c>
      <c r="T1991">
        <v>2.1</v>
      </c>
      <c r="U1991">
        <v>7.1</v>
      </c>
      <c r="V1991">
        <v>8.1</v>
      </c>
      <c r="W1991">
        <v>5.5</v>
      </c>
      <c r="X1991" t="s">
        <v>116</v>
      </c>
    </row>
    <row r="1992" spans="2:24" x14ac:dyDescent="0.3">
      <c r="B1992" t="s">
        <v>2085</v>
      </c>
      <c r="C1992" t="s">
        <v>94</v>
      </c>
      <c r="D1992" t="s">
        <v>6</v>
      </c>
      <c r="E1992" t="s">
        <v>17</v>
      </c>
      <c r="F1992" t="s">
        <v>12</v>
      </c>
      <c r="G1992" t="s">
        <v>54</v>
      </c>
      <c r="H1992">
        <v>2025</v>
      </c>
      <c r="I1992">
        <v>823</v>
      </c>
      <c r="J1992">
        <v>9.1</v>
      </c>
      <c r="K1992" t="s">
        <v>21</v>
      </c>
      <c r="L1992">
        <v>7.3</v>
      </c>
      <c r="M1992">
        <v>7.4</v>
      </c>
      <c r="N1992">
        <v>1145</v>
      </c>
      <c r="O1992" t="s">
        <v>55</v>
      </c>
      <c r="P1992">
        <v>25.3</v>
      </c>
      <c r="Q1992" t="s">
        <v>79</v>
      </c>
      <c r="R1992">
        <v>-29.4</v>
      </c>
      <c r="S1992">
        <v>34.200000000000003</v>
      </c>
      <c r="T1992">
        <v>23.4</v>
      </c>
      <c r="U1992">
        <v>9.9</v>
      </c>
      <c r="V1992">
        <v>7.2</v>
      </c>
      <c r="W1992">
        <v>7</v>
      </c>
      <c r="X1992" t="s">
        <v>116</v>
      </c>
    </row>
    <row r="1993" spans="2:24" x14ac:dyDescent="0.3">
      <c r="B1993" t="s">
        <v>2086</v>
      </c>
      <c r="C1993" t="s">
        <v>81</v>
      </c>
      <c r="D1993" t="s">
        <v>5</v>
      </c>
      <c r="E1993" t="s">
        <v>19</v>
      </c>
      <c r="F1993" t="s">
        <v>11</v>
      </c>
      <c r="G1993" t="s">
        <v>69</v>
      </c>
      <c r="H1993">
        <v>2026</v>
      </c>
      <c r="I1993">
        <v>2292</v>
      </c>
      <c r="J1993">
        <v>5.5</v>
      </c>
      <c r="K1993" t="s">
        <v>23</v>
      </c>
      <c r="L1993">
        <v>4.4000000000000004</v>
      </c>
      <c r="M1993">
        <v>5.4</v>
      </c>
      <c r="N1993">
        <v>272</v>
      </c>
      <c r="O1993" t="s">
        <v>64</v>
      </c>
      <c r="P1993">
        <v>38.5</v>
      </c>
      <c r="Q1993" t="s">
        <v>125</v>
      </c>
      <c r="R1993">
        <v>45.3</v>
      </c>
      <c r="S1993">
        <v>49.2</v>
      </c>
      <c r="T1993">
        <v>17.100000000000001</v>
      </c>
      <c r="U1993">
        <v>3.9</v>
      </c>
      <c r="V1993">
        <v>9.9</v>
      </c>
      <c r="W1993">
        <v>8.6999999999999993</v>
      </c>
      <c r="X1993" t="s">
        <v>116</v>
      </c>
    </row>
    <row r="1994" spans="2:24" x14ac:dyDescent="0.3">
      <c r="B1994" t="s">
        <v>2087</v>
      </c>
      <c r="C1994" t="s">
        <v>71</v>
      </c>
      <c r="D1994" t="s">
        <v>6</v>
      </c>
      <c r="E1994" t="s">
        <v>17</v>
      </c>
      <c r="F1994" t="s">
        <v>12</v>
      </c>
      <c r="G1994" t="s">
        <v>98</v>
      </c>
      <c r="H1994">
        <v>2025</v>
      </c>
      <c r="I1994">
        <v>354</v>
      </c>
      <c r="J1994">
        <v>16.600000000000001</v>
      </c>
      <c r="K1994" t="s">
        <v>23</v>
      </c>
      <c r="L1994">
        <v>8.6999999999999993</v>
      </c>
      <c r="M1994">
        <v>7</v>
      </c>
      <c r="N1994">
        <v>1922</v>
      </c>
      <c r="O1994" t="s">
        <v>64</v>
      </c>
      <c r="P1994">
        <v>22.4</v>
      </c>
      <c r="Q1994" t="s">
        <v>76</v>
      </c>
      <c r="R1994">
        <v>-44.8</v>
      </c>
      <c r="S1994">
        <v>-12.1</v>
      </c>
      <c r="T1994">
        <v>-12.1</v>
      </c>
      <c r="U1994">
        <v>6.7</v>
      </c>
      <c r="V1994">
        <v>3.5</v>
      </c>
      <c r="W1994">
        <v>4.7</v>
      </c>
      <c r="X1994" t="s">
        <v>116</v>
      </c>
    </row>
    <row r="1995" spans="2:24" x14ac:dyDescent="0.3">
      <c r="B1995" t="s">
        <v>2088</v>
      </c>
      <c r="C1995" t="s">
        <v>92</v>
      </c>
      <c r="D1995" t="s">
        <v>7</v>
      </c>
      <c r="E1995" t="s">
        <v>17</v>
      </c>
      <c r="F1995" t="s">
        <v>11</v>
      </c>
      <c r="G1995" t="s">
        <v>74</v>
      </c>
      <c r="H1995">
        <v>2025</v>
      </c>
      <c r="I1995">
        <v>12951</v>
      </c>
      <c r="J1995">
        <v>29.5</v>
      </c>
      <c r="K1995" t="s">
        <v>24</v>
      </c>
      <c r="L1995">
        <v>8.4</v>
      </c>
      <c r="M1995">
        <v>10</v>
      </c>
      <c r="N1995">
        <v>1926</v>
      </c>
      <c r="O1995" t="s">
        <v>75</v>
      </c>
      <c r="P1995">
        <v>36.4</v>
      </c>
      <c r="Q1995" t="s">
        <v>65</v>
      </c>
      <c r="R1995">
        <v>30.3</v>
      </c>
      <c r="S1995">
        <v>16</v>
      </c>
      <c r="T1995">
        <v>-4</v>
      </c>
      <c r="U1995">
        <v>7.1</v>
      </c>
      <c r="V1995">
        <v>5.6</v>
      </c>
      <c r="W1995">
        <v>3.9</v>
      </c>
      <c r="X1995" t="s">
        <v>66</v>
      </c>
    </row>
    <row r="1996" spans="2:24" x14ac:dyDescent="0.3">
      <c r="B1996" t="s">
        <v>2089</v>
      </c>
      <c r="C1996" t="s">
        <v>81</v>
      </c>
      <c r="D1996" t="s">
        <v>5</v>
      </c>
      <c r="E1996" t="s">
        <v>17</v>
      </c>
      <c r="F1996" t="s">
        <v>11</v>
      </c>
      <c r="G1996" t="s">
        <v>63</v>
      </c>
      <c r="H1996">
        <v>2025</v>
      </c>
      <c r="I1996">
        <v>1608</v>
      </c>
      <c r="J1996">
        <v>13</v>
      </c>
      <c r="K1996" t="s">
        <v>24</v>
      </c>
      <c r="L1996">
        <v>5.0999999999999996</v>
      </c>
      <c r="M1996">
        <v>6.3</v>
      </c>
      <c r="N1996">
        <v>2410</v>
      </c>
      <c r="O1996" t="s">
        <v>64</v>
      </c>
      <c r="P1996">
        <v>56</v>
      </c>
      <c r="Q1996" t="s">
        <v>84</v>
      </c>
      <c r="R1996">
        <v>-42.4</v>
      </c>
      <c r="S1996">
        <v>8</v>
      </c>
      <c r="T1996">
        <v>2.8</v>
      </c>
      <c r="U1996">
        <v>3.5</v>
      </c>
      <c r="V1996">
        <v>7.4</v>
      </c>
      <c r="W1996">
        <v>5.2</v>
      </c>
      <c r="X1996" t="s">
        <v>116</v>
      </c>
    </row>
    <row r="1997" spans="2:24" x14ac:dyDescent="0.3">
      <c r="B1997" t="s">
        <v>2090</v>
      </c>
      <c r="C1997" t="s">
        <v>122</v>
      </c>
      <c r="D1997" t="s">
        <v>2</v>
      </c>
      <c r="E1997" t="s">
        <v>16</v>
      </c>
      <c r="F1997" t="s">
        <v>12</v>
      </c>
      <c r="G1997" t="s">
        <v>63</v>
      </c>
      <c r="H1997">
        <v>2024</v>
      </c>
      <c r="I1997">
        <v>6893</v>
      </c>
      <c r="J1997">
        <v>12.6</v>
      </c>
      <c r="K1997" t="s">
        <v>23</v>
      </c>
      <c r="L1997">
        <v>9.6</v>
      </c>
      <c r="M1997">
        <v>10</v>
      </c>
      <c r="N1997">
        <v>1494</v>
      </c>
      <c r="O1997" t="s">
        <v>64</v>
      </c>
      <c r="P1997">
        <v>79</v>
      </c>
      <c r="Q1997" t="s">
        <v>76</v>
      </c>
      <c r="R1997">
        <v>-20.399999999999999</v>
      </c>
      <c r="S1997">
        <v>50.5</v>
      </c>
      <c r="T1997">
        <v>27.9</v>
      </c>
      <c r="U1997">
        <v>8.3000000000000007</v>
      </c>
      <c r="V1997">
        <v>9</v>
      </c>
      <c r="W1997">
        <v>6.4</v>
      </c>
      <c r="X1997" t="s">
        <v>116</v>
      </c>
    </row>
    <row r="1998" spans="2:24" x14ac:dyDescent="0.3">
      <c r="B1998" t="s">
        <v>2091</v>
      </c>
      <c r="C1998" t="s">
        <v>142</v>
      </c>
      <c r="D1998" t="s">
        <v>8</v>
      </c>
      <c r="E1998" t="s">
        <v>19</v>
      </c>
      <c r="F1998" t="s">
        <v>10</v>
      </c>
      <c r="G1998" t="s">
        <v>101</v>
      </c>
      <c r="H1998">
        <v>2025</v>
      </c>
      <c r="I1998">
        <v>17481</v>
      </c>
      <c r="J1998">
        <v>27.9</v>
      </c>
      <c r="K1998" t="s">
        <v>24</v>
      </c>
      <c r="L1998">
        <v>9.1999999999999993</v>
      </c>
      <c r="M1998">
        <v>10</v>
      </c>
      <c r="N1998">
        <v>1431</v>
      </c>
      <c r="O1998" t="s">
        <v>64</v>
      </c>
      <c r="P1998">
        <v>76.5</v>
      </c>
      <c r="Q1998" t="s">
        <v>79</v>
      </c>
      <c r="R1998">
        <v>-43.7</v>
      </c>
      <c r="S1998">
        <v>-9.9</v>
      </c>
      <c r="T1998">
        <v>-16.7</v>
      </c>
      <c r="U1998">
        <v>9.6999999999999993</v>
      </c>
      <c r="V1998">
        <v>5.8</v>
      </c>
      <c r="W1998">
        <v>2.5</v>
      </c>
      <c r="X1998" t="s">
        <v>66</v>
      </c>
    </row>
    <row r="1999" spans="2:24" x14ac:dyDescent="0.3">
      <c r="B1999" t="s">
        <v>2092</v>
      </c>
      <c r="C1999" t="s">
        <v>73</v>
      </c>
      <c r="D1999" t="s">
        <v>3</v>
      </c>
      <c r="E1999" t="s">
        <v>15</v>
      </c>
      <c r="F1999" t="s">
        <v>9</v>
      </c>
      <c r="G1999" t="s">
        <v>69</v>
      </c>
      <c r="H1999">
        <v>2024</v>
      </c>
      <c r="I1999">
        <v>2745</v>
      </c>
      <c r="J1999">
        <v>8.9</v>
      </c>
      <c r="K1999" t="s">
        <v>21</v>
      </c>
      <c r="L1999">
        <v>6.5</v>
      </c>
      <c r="M1999">
        <v>8.3000000000000007</v>
      </c>
      <c r="N1999">
        <v>709</v>
      </c>
      <c r="O1999" t="s">
        <v>64</v>
      </c>
      <c r="P1999">
        <v>64.5</v>
      </c>
      <c r="Q1999" t="s">
        <v>79</v>
      </c>
      <c r="R1999">
        <v>44</v>
      </c>
      <c r="S1999">
        <v>16.3</v>
      </c>
      <c r="T1999">
        <v>11.8</v>
      </c>
      <c r="U1999">
        <v>4.8</v>
      </c>
      <c r="V1999">
        <v>6.6</v>
      </c>
      <c r="W1999">
        <v>5.9</v>
      </c>
      <c r="X1999" t="s">
        <v>116</v>
      </c>
    </row>
    <row r="2000" spans="2:24" x14ac:dyDescent="0.3">
      <c r="B2000" t="s">
        <v>2093</v>
      </c>
      <c r="C2000" t="s">
        <v>159</v>
      </c>
      <c r="D2000" t="s">
        <v>2</v>
      </c>
      <c r="E2000" t="s">
        <v>14</v>
      </c>
      <c r="F2000" t="s">
        <v>11</v>
      </c>
      <c r="G2000" t="s">
        <v>54</v>
      </c>
      <c r="H2000">
        <v>2026</v>
      </c>
      <c r="I2000">
        <v>2909</v>
      </c>
      <c r="J2000">
        <v>6.5</v>
      </c>
      <c r="K2000" t="s">
        <v>22</v>
      </c>
      <c r="L2000">
        <v>6.5</v>
      </c>
      <c r="M2000">
        <v>7.7</v>
      </c>
      <c r="N2000">
        <v>1174</v>
      </c>
      <c r="O2000" t="s">
        <v>64</v>
      </c>
      <c r="P2000">
        <v>50.4</v>
      </c>
      <c r="Q2000" t="s">
        <v>56</v>
      </c>
      <c r="R2000">
        <v>81.099999999999994</v>
      </c>
      <c r="S2000">
        <v>-5.4</v>
      </c>
      <c r="T2000">
        <v>3.9</v>
      </c>
      <c r="U2000">
        <v>4.7</v>
      </c>
      <c r="V2000">
        <v>5.5</v>
      </c>
      <c r="W2000">
        <v>4.8</v>
      </c>
      <c r="X2000" t="s">
        <v>116</v>
      </c>
    </row>
    <row r="2001" spans="2:24" x14ac:dyDescent="0.3">
      <c r="B2001" t="s">
        <v>2094</v>
      </c>
      <c r="C2001" t="s">
        <v>27</v>
      </c>
      <c r="D2001" t="s">
        <v>3</v>
      </c>
      <c r="E2001" t="s">
        <v>17</v>
      </c>
      <c r="F2001" t="s">
        <v>9</v>
      </c>
      <c r="G2001" t="s">
        <v>115</v>
      </c>
      <c r="H2001">
        <v>2024</v>
      </c>
      <c r="I2001">
        <v>666</v>
      </c>
      <c r="J2001">
        <v>8.8000000000000007</v>
      </c>
      <c r="K2001" t="s">
        <v>22</v>
      </c>
      <c r="L2001">
        <v>2.8</v>
      </c>
      <c r="M2001">
        <v>5.4</v>
      </c>
      <c r="N2001">
        <v>2559</v>
      </c>
      <c r="O2001" t="s">
        <v>64</v>
      </c>
      <c r="P2001">
        <v>67.8</v>
      </c>
      <c r="Q2001" t="s">
        <v>65</v>
      </c>
      <c r="R2001">
        <v>1</v>
      </c>
      <c r="S2001">
        <v>1.6</v>
      </c>
      <c r="T2001">
        <v>7.5</v>
      </c>
      <c r="U2001">
        <v>3.3</v>
      </c>
      <c r="V2001">
        <v>7.8</v>
      </c>
      <c r="W2001">
        <v>6.7</v>
      </c>
      <c r="X2001" t="s">
        <v>57</v>
      </c>
    </row>
    <row r="2002" spans="2:24" x14ac:dyDescent="0.3">
      <c r="B2002" t="s">
        <v>2095</v>
      </c>
      <c r="C2002" t="s">
        <v>59</v>
      </c>
      <c r="D2002" t="s">
        <v>4</v>
      </c>
      <c r="E2002" t="s">
        <v>17</v>
      </c>
      <c r="F2002" t="s">
        <v>11</v>
      </c>
      <c r="G2002" t="s">
        <v>101</v>
      </c>
      <c r="H2002">
        <v>2024</v>
      </c>
      <c r="I2002">
        <v>4548</v>
      </c>
      <c r="J2002">
        <v>4.0999999999999996</v>
      </c>
      <c r="K2002" t="s">
        <v>24</v>
      </c>
      <c r="L2002">
        <v>12.1</v>
      </c>
      <c r="M2002">
        <v>6.3</v>
      </c>
      <c r="N2002">
        <v>4766</v>
      </c>
      <c r="O2002" t="s">
        <v>55</v>
      </c>
      <c r="P2002">
        <v>44.1</v>
      </c>
      <c r="Q2002" t="s">
        <v>86</v>
      </c>
      <c r="R2002">
        <v>-12.9</v>
      </c>
      <c r="S2002">
        <v>20.100000000000001</v>
      </c>
      <c r="T2002">
        <v>20.100000000000001</v>
      </c>
      <c r="U2002">
        <v>7.7</v>
      </c>
      <c r="V2002">
        <v>8</v>
      </c>
      <c r="W2002">
        <v>7.3</v>
      </c>
      <c r="X2002" t="s">
        <v>116</v>
      </c>
    </row>
    <row r="2003" spans="2:24" x14ac:dyDescent="0.3">
      <c r="B2003" t="s">
        <v>2096</v>
      </c>
      <c r="C2003" t="s">
        <v>90</v>
      </c>
      <c r="D2003" t="s">
        <v>6</v>
      </c>
      <c r="E2003" t="s">
        <v>18</v>
      </c>
      <c r="F2003" t="s">
        <v>9</v>
      </c>
      <c r="G2003" t="s">
        <v>101</v>
      </c>
      <c r="H2003">
        <v>2025</v>
      </c>
      <c r="I2003">
        <v>5577</v>
      </c>
      <c r="J2003">
        <v>1.2</v>
      </c>
      <c r="K2003" t="s">
        <v>25</v>
      </c>
      <c r="L2003">
        <v>1.6</v>
      </c>
      <c r="M2003">
        <v>2.6</v>
      </c>
      <c r="N2003">
        <v>1941</v>
      </c>
      <c r="O2003" t="s">
        <v>64</v>
      </c>
      <c r="P2003">
        <v>59.1</v>
      </c>
      <c r="Q2003" t="s">
        <v>56</v>
      </c>
      <c r="R2003">
        <v>78.900000000000006</v>
      </c>
      <c r="S2003">
        <v>-9.8000000000000007</v>
      </c>
      <c r="T2003">
        <v>-0.8</v>
      </c>
      <c r="U2003">
        <v>1.6</v>
      </c>
      <c r="V2003">
        <v>7.8</v>
      </c>
      <c r="W2003">
        <v>7.5</v>
      </c>
      <c r="X2003" t="s">
        <v>116</v>
      </c>
    </row>
    <row r="2004" spans="2:24" x14ac:dyDescent="0.3">
      <c r="B2004" t="s">
        <v>2097</v>
      </c>
      <c r="C2004" t="s">
        <v>59</v>
      </c>
      <c r="D2004" t="s">
        <v>4</v>
      </c>
      <c r="E2004" t="s">
        <v>19</v>
      </c>
      <c r="F2004" t="s">
        <v>9</v>
      </c>
      <c r="G2004" t="s">
        <v>63</v>
      </c>
      <c r="H2004">
        <v>2026</v>
      </c>
      <c r="I2004">
        <v>7834</v>
      </c>
      <c r="J2004">
        <v>33.1</v>
      </c>
      <c r="K2004" t="s">
        <v>25</v>
      </c>
      <c r="L2004">
        <v>4.8</v>
      </c>
      <c r="M2004">
        <v>10</v>
      </c>
      <c r="N2004">
        <v>1783</v>
      </c>
      <c r="O2004" t="s">
        <v>75</v>
      </c>
      <c r="P2004">
        <v>65.099999999999994</v>
      </c>
      <c r="Q2004" t="s">
        <v>86</v>
      </c>
      <c r="R2004">
        <v>-32.700000000000003</v>
      </c>
      <c r="S2004">
        <v>47.8</v>
      </c>
      <c r="T2004">
        <v>17.3</v>
      </c>
      <c r="U2004">
        <v>4.7</v>
      </c>
      <c r="V2004">
        <v>6.8</v>
      </c>
      <c r="W2004">
        <v>4.9000000000000004</v>
      </c>
      <c r="X2004" t="s">
        <v>66</v>
      </c>
    </row>
    <row r="2005" spans="2:24" x14ac:dyDescent="0.3">
      <c r="B2005" t="s">
        <v>2098</v>
      </c>
      <c r="C2005" t="s">
        <v>137</v>
      </c>
      <c r="D2005" t="s">
        <v>3</v>
      </c>
      <c r="E2005" t="s">
        <v>14</v>
      </c>
      <c r="F2005" t="s">
        <v>11</v>
      </c>
      <c r="G2005" t="s">
        <v>131</v>
      </c>
      <c r="H2005">
        <v>2025</v>
      </c>
      <c r="I2005">
        <v>1996</v>
      </c>
      <c r="J2005">
        <v>6.7</v>
      </c>
      <c r="K2005" t="s">
        <v>22</v>
      </c>
      <c r="L2005">
        <v>4</v>
      </c>
      <c r="M2005">
        <v>6.6</v>
      </c>
      <c r="N2005">
        <v>3237</v>
      </c>
      <c r="O2005" t="s">
        <v>64</v>
      </c>
      <c r="P2005">
        <v>52.4</v>
      </c>
      <c r="Q2005" t="s">
        <v>76</v>
      </c>
      <c r="R2005">
        <v>23</v>
      </c>
      <c r="S2005">
        <v>-7.4</v>
      </c>
      <c r="T2005">
        <v>-4.8</v>
      </c>
      <c r="U2005">
        <v>4.0999999999999996</v>
      </c>
      <c r="V2005">
        <v>5.3</v>
      </c>
      <c r="W2005">
        <v>6.4</v>
      </c>
      <c r="X2005" t="s">
        <v>57</v>
      </c>
    </row>
    <row r="2006" spans="2:24" x14ac:dyDescent="0.3">
      <c r="B2006" t="s">
        <v>2099</v>
      </c>
      <c r="C2006" t="s">
        <v>53</v>
      </c>
      <c r="D2006" t="s">
        <v>2</v>
      </c>
      <c r="E2006" t="s">
        <v>18</v>
      </c>
      <c r="F2006" t="s">
        <v>9</v>
      </c>
      <c r="G2006" t="s">
        <v>112</v>
      </c>
      <c r="H2006">
        <v>2025</v>
      </c>
      <c r="I2006">
        <v>1852</v>
      </c>
      <c r="J2006">
        <v>3.9</v>
      </c>
      <c r="K2006" t="s">
        <v>22</v>
      </c>
      <c r="L2006">
        <v>3.1</v>
      </c>
      <c r="M2006">
        <v>2.8</v>
      </c>
      <c r="N2006">
        <v>4824</v>
      </c>
      <c r="O2006" t="s">
        <v>64</v>
      </c>
      <c r="P2006">
        <v>55.9</v>
      </c>
      <c r="Q2006" t="s">
        <v>76</v>
      </c>
      <c r="R2006">
        <v>44.6</v>
      </c>
      <c r="S2006">
        <v>44.2</v>
      </c>
      <c r="T2006">
        <v>22.3</v>
      </c>
      <c r="U2006">
        <v>2.5</v>
      </c>
      <c r="V2006">
        <v>7.3</v>
      </c>
      <c r="W2006">
        <v>9.1</v>
      </c>
      <c r="X2006" t="s">
        <v>57</v>
      </c>
    </row>
    <row r="2007" spans="2:24" x14ac:dyDescent="0.3">
      <c r="B2007" t="s">
        <v>2100</v>
      </c>
      <c r="C2007" t="s">
        <v>159</v>
      </c>
      <c r="D2007" t="s">
        <v>7</v>
      </c>
      <c r="E2007" t="s">
        <v>15</v>
      </c>
      <c r="F2007" t="s">
        <v>11</v>
      </c>
      <c r="G2007" t="s">
        <v>131</v>
      </c>
      <c r="H2007">
        <v>2025</v>
      </c>
      <c r="I2007">
        <v>10234</v>
      </c>
      <c r="J2007">
        <v>15.5</v>
      </c>
      <c r="K2007" t="s">
        <v>22</v>
      </c>
      <c r="L2007">
        <v>3.1</v>
      </c>
      <c r="M2007">
        <v>4.5</v>
      </c>
      <c r="N2007">
        <v>1404</v>
      </c>
      <c r="O2007" t="s">
        <v>64</v>
      </c>
      <c r="P2007">
        <v>81.2</v>
      </c>
      <c r="Q2007" t="s">
        <v>88</v>
      </c>
      <c r="R2007">
        <v>25.4</v>
      </c>
      <c r="S2007">
        <v>22.9</v>
      </c>
      <c r="T2007">
        <v>5.9</v>
      </c>
      <c r="U2007">
        <v>1.9</v>
      </c>
      <c r="V2007">
        <v>4.7</v>
      </c>
      <c r="W2007">
        <v>7.1</v>
      </c>
      <c r="X2007" t="s">
        <v>66</v>
      </c>
    </row>
    <row r="2008" spans="2:24" x14ac:dyDescent="0.3">
      <c r="B2008" t="s">
        <v>2101</v>
      </c>
      <c r="C2008" t="s">
        <v>106</v>
      </c>
      <c r="D2008" t="s">
        <v>7</v>
      </c>
      <c r="E2008" t="s">
        <v>17</v>
      </c>
      <c r="F2008" t="s">
        <v>9</v>
      </c>
      <c r="G2008" t="s">
        <v>115</v>
      </c>
      <c r="H2008">
        <v>2025</v>
      </c>
      <c r="I2008">
        <v>12560</v>
      </c>
      <c r="J2008">
        <v>37.5</v>
      </c>
      <c r="K2008" t="s">
        <v>22</v>
      </c>
      <c r="L2008">
        <v>6.4</v>
      </c>
      <c r="M2008">
        <v>10</v>
      </c>
      <c r="N2008">
        <v>842</v>
      </c>
      <c r="O2008" t="s">
        <v>64</v>
      </c>
      <c r="P2008">
        <v>13.8</v>
      </c>
      <c r="Q2008" t="s">
        <v>88</v>
      </c>
      <c r="R2008">
        <v>19.399999999999999</v>
      </c>
      <c r="S2008">
        <v>-6.9</v>
      </c>
      <c r="T2008">
        <v>-6.1</v>
      </c>
      <c r="U2008">
        <v>8.6999999999999993</v>
      </c>
      <c r="V2008">
        <v>2.2000000000000002</v>
      </c>
      <c r="W2008">
        <v>2</v>
      </c>
      <c r="X2008" t="s">
        <v>66</v>
      </c>
    </row>
    <row r="2009" spans="2:24" x14ac:dyDescent="0.3">
      <c r="B2009" t="s">
        <v>2102</v>
      </c>
      <c r="C2009" t="s">
        <v>53</v>
      </c>
      <c r="D2009" t="s">
        <v>3</v>
      </c>
      <c r="E2009" t="s">
        <v>15</v>
      </c>
      <c r="F2009" t="s">
        <v>12</v>
      </c>
      <c r="G2009" t="s">
        <v>112</v>
      </c>
      <c r="H2009">
        <v>2026</v>
      </c>
      <c r="I2009">
        <v>752</v>
      </c>
      <c r="J2009">
        <v>2</v>
      </c>
      <c r="K2009" t="s">
        <v>22</v>
      </c>
      <c r="L2009">
        <v>5.5</v>
      </c>
      <c r="M2009">
        <v>10</v>
      </c>
      <c r="N2009">
        <v>2296</v>
      </c>
      <c r="O2009" t="s">
        <v>55</v>
      </c>
      <c r="P2009">
        <v>56</v>
      </c>
      <c r="Q2009" t="s">
        <v>65</v>
      </c>
      <c r="R2009">
        <v>63.6</v>
      </c>
      <c r="S2009">
        <v>3.7</v>
      </c>
      <c r="T2009">
        <v>10.3</v>
      </c>
      <c r="U2009">
        <v>8.6999999999999993</v>
      </c>
      <c r="V2009">
        <v>8.9</v>
      </c>
      <c r="W2009">
        <v>6.9</v>
      </c>
      <c r="X2009" t="s">
        <v>116</v>
      </c>
    </row>
    <row r="2010" spans="2:24" x14ac:dyDescent="0.3">
      <c r="B2010" t="s">
        <v>2103</v>
      </c>
      <c r="C2010" t="s">
        <v>142</v>
      </c>
      <c r="D2010" t="s">
        <v>2</v>
      </c>
      <c r="E2010" t="s">
        <v>19</v>
      </c>
      <c r="F2010" t="s">
        <v>9</v>
      </c>
      <c r="G2010" t="s">
        <v>115</v>
      </c>
      <c r="H2010">
        <v>2025</v>
      </c>
      <c r="I2010">
        <v>5341</v>
      </c>
      <c r="J2010">
        <v>15.6</v>
      </c>
      <c r="K2010" t="s">
        <v>23</v>
      </c>
      <c r="L2010">
        <v>11.8</v>
      </c>
      <c r="M2010">
        <v>10</v>
      </c>
      <c r="N2010">
        <v>1584</v>
      </c>
      <c r="O2010" t="s">
        <v>55</v>
      </c>
      <c r="P2010">
        <v>73.099999999999994</v>
      </c>
      <c r="Q2010" t="s">
        <v>76</v>
      </c>
      <c r="R2010">
        <v>3.5</v>
      </c>
      <c r="S2010">
        <v>-6.9</v>
      </c>
      <c r="T2010">
        <v>-11.6</v>
      </c>
      <c r="U2010">
        <v>8.8000000000000007</v>
      </c>
      <c r="V2010">
        <v>7.2</v>
      </c>
      <c r="W2010">
        <v>4.5</v>
      </c>
      <c r="X2010" t="s">
        <v>66</v>
      </c>
    </row>
    <row r="2011" spans="2:24" x14ac:dyDescent="0.3">
      <c r="B2011" t="s">
        <v>2104</v>
      </c>
      <c r="C2011" t="s">
        <v>142</v>
      </c>
      <c r="D2011" t="s">
        <v>2</v>
      </c>
      <c r="E2011" t="s">
        <v>16</v>
      </c>
      <c r="F2011" t="s">
        <v>11</v>
      </c>
      <c r="G2011" t="s">
        <v>98</v>
      </c>
      <c r="H2011">
        <v>2024</v>
      </c>
      <c r="I2011">
        <v>2049</v>
      </c>
      <c r="J2011">
        <v>7.1</v>
      </c>
      <c r="K2011" t="s">
        <v>23</v>
      </c>
      <c r="L2011">
        <v>5.2</v>
      </c>
      <c r="M2011">
        <v>10</v>
      </c>
      <c r="N2011">
        <v>6905</v>
      </c>
      <c r="O2011" t="s">
        <v>118</v>
      </c>
      <c r="P2011">
        <v>14.2</v>
      </c>
      <c r="Q2011" t="s">
        <v>56</v>
      </c>
      <c r="R2011">
        <v>-8.5</v>
      </c>
      <c r="S2011">
        <v>15.8</v>
      </c>
      <c r="T2011">
        <v>-0.4</v>
      </c>
      <c r="U2011">
        <v>8.4</v>
      </c>
      <c r="V2011">
        <v>7.7</v>
      </c>
      <c r="W2011">
        <v>5.9</v>
      </c>
      <c r="X2011" t="s">
        <v>57</v>
      </c>
    </row>
    <row r="2012" spans="2:24" x14ac:dyDescent="0.3">
      <c r="B2012" t="s">
        <v>2105</v>
      </c>
      <c r="C2012" t="s">
        <v>100</v>
      </c>
      <c r="D2012" t="s">
        <v>3</v>
      </c>
      <c r="E2012" t="s">
        <v>16</v>
      </c>
      <c r="F2012" t="s">
        <v>12</v>
      </c>
      <c r="G2012" t="s">
        <v>60</v>
      </c>
      <c r="H2012">
        <v>2024</v>
      </c>
      <c r="I2012">
        <v>7687</v>
      </c>
      <c r="J2012">
        <v>9.6</v>
      </c>
      <c r="K2012" t="s">
        <v>25</v>
      </c>
      <c r="L2012">
        <v>4.2</v>
      </c>
      <c r="M2012">
        <v>8.1999999999999993</v>
      </c>
      <c r="N2012">
        <v>1557</v>
      </c>
      <c r="O2012" t="s">
        <v>55</v>
      </c>
      <c r="P2012">
        <v>30.7</v>
      </c>
      <c r="Q2012" t="s">
        <v>84</v>
      </c>
      <c r="R2012">
        <v>16.899999999999999</v>
      </c>
      <c r="S2012">
        <v>52.8</v>
      </c>
      <c r="T2012">
        <v>20.3</v>
      </c>
      <c r="U2012">
        <v>4</v>
      </c>
      <c r="V2012">
        <v>9.6999999999999993</v>
      </c>
      <c r="W2012">
        <v>7.4</v>
      </c>
      <c r="X2012" t="s">
        <v>66</v>
      </c>
    </row>
    <row r="2013" spans="2:24" x14ac:dyDescent="0.3">
      <c r="B2013" t="s">
        <v>2106</v>
      </c>
      <c r="C2013" t="s">
        <v>106</v>
      </c>
      <c r="D2013" t="s">
        <v>3</v>
      </c>
      <c r="E2013" t="s">
        <v>14</v>
      </c>
      <c r="F2013" t="s">
        <v>12</v>
      </c>
      <c r="G2013" t="s">
        <v>115</v>
      </c>
      <c r="H2013">
        <v>2026</v>
      </c>
      <c r="I2013">
        <v>1311</v>
      </c>
      <c r="J2013">
        <v>9</v>
      </c>
      <c r="K2013" t="s">
        <v>21</v>
      </c>
      <c r="L2013">
        <v>7.5</v>
      </c>
      <c r="M2013">
        <v>7.4</v>
      </c>
      <c r="N2013">
        <v>5772</v>
      </c>
      <c r="O2013" t="s">
        <v>55</v>
      </c>
      <c r="P2013">
        <v>30.2</v>
      </c>
      <c r="Q2013" t="s">
        <v>86</v>
      </c>
      <c r="R2013">
        <v>82.9</v>
      </c>
      <c r="S2013">
        <v>7.1</v>
      </c>
      <c r="T2013">
        <v>-0.7</v>
      </c>
      <c r="U2013">
        <v>5</v>
      </c>
      <c r="V2013">
        <v>5.6</v>
      </c>
      <c r="W2013">
        <v>6.5</v>
      </c>
      <c r="X2013" t="s">
        <v>57</v>
      </c>
    </row>
    <row r="2014" spans="2:24" x14ac:dyDescent="0.3">
      <c r="B2014" t="s">
        <v>2107</v>
      </c>
      <c r="C2014" t="s">
        <v>100</v>
      </c>
      <c r="D2014" t="s">
        <v>3</v>
      </c>
      <c r="E2014" t="s">
        <v>17</v>
      </c>
      <c r="F2014" t="s">
        <v>9</v>
      </c>
      <c r="G2014" t="s">
        <v>78</v>
      </c>
      <c r="H2014">
        <v>2026</v>
      </c>
      <c r="I2014">
        <v>294</v>
      </c>
      <c r="J2014">
        <v>17</v>
      </c>
      <c r="K2014" t="s">
        <v>22</v>
      </c>
      <c r="L2014">
        <v>5.4</v>
      </c>
      <c r="M2014">
        <v>10</v>
      </c>
      <c r="N2014">
        <v>3467</v>
      </c>
      <c r="O2014" t="s">
        <v>55</v>
      </c>
      <c r="P2014">
        <v>61.9</v>
      </c>
      <c r="Q2014" t="s">
        <v>76</v>
      </c>
      <c r="R2014">
        <v>3.9</v>
      </c>
      <c r="S2014">
        <v>-16.2</v>
      </c>
      <c r="T2014">
        <v>-7.1</v>
      </c>
      <c r="U2014">
        <v>7.2</v>
      </c>
      <c r="V2014">
        <v>6.8</v>
      </c>
      <c r="W2014">
        <v>4.4000000000000004</v>
      </c>
      <c r="X2014" t="s">
        <v>116</v>
      </c>
    </row>
    <row r="2015" spans="2:24" x14ac:dyDescent="0.3">
      <c r="B2015" t="s">
        <v>2108</v>
      </c>
      <c r="C2015" t="s">
        <v>106</v>
      </c>
      <c r="D2015" t="s">
        <v>2</v>
      </c>
      <c r="E2015" t="s">
        <v>17</v>
      </c>
      <c r="F2015" t="s">
        <v>9</v>
      </c>
      <c r="G2015" t="s">
        <v>54</v>
      </c>
      <c r="H2015">
        <v>2026</v>
      </c>
      <c r="I2015">
        <v>1812</v>
      </c>
      <c r="J2015">
        <v>4.9000000000000004</v>
      </c>
      <c r="K2015" t="s">
        <v>24</v>
      </c>
      <c r="L2015">
        <v>6.3</v>
      </c>
      <c r="M2015">
        <v>4.7</v>
      </c>
      <c r="N2015">
        <v>9894</v>
      </c>
      <c r="O2015" t="s">
        <v>118</v>
      </c>
      <c r="P2015">
        <v>51.6</v>
      </c>
      <c r="Q2015" t="s">
        <v>76</v>
      </c>
      <c r="R2015">
        <v>15.2</v>
      </c>
      <c r="S2015">
        <v>31.1</v>
      </c>
      <c r="T2015">
        <v>23.1</v>
      </c>
      <c r="U2015">
        <v>4.5999999999999996</v>
      </c>
      <c r="V2015">
        <v>6.6</v>
      </c>
      <c r="W2015">
        <v>7</v>
      </c>
      <c r="X2015" t="s">
        <v>116</v>
      </c>
    </row>
    <row r="2016" spans="2:24" x14ac:dyDescent="0.3">
      <c r="B2016" t="s">
        <v>2109</v>
      </c>
      <c r="C2016" t="s">
        <v>90</v>
      </c>
      <c r="D2016" t="s">
        <v>5</v>
      </c>
      <c r="E2016" t="s">
        <v>16</v>
      </c>
      <c r="F2016" t="s">
        <v>12</v>
      </c>
      <c r="G2016" t="s">
        <v>63</v>
      </c>
      <c r="H2016">
        <v>2024</v>
      </c>
      <c r="I2016">
        <v>189</v>
      </c>
      <c r="J2016">
        <v>5.5</v>
      </c>
      <c r="K2016" t="s">
        <v>21</v>
      </c>
      <c r="L2016">
        <v>12.3</v>
      </c>
      <c r="M2016">
        <v>7.7</v>
      </c>
      <c r="N2016">
        <v>2380</v>
      </c>
      <c r="O2016" t="s">
        <v>55</v>
      </c>
      <c r="P2016">
        <v>16.7</v>
      </c>
      <c r="Q2016" t="s">
        <v>84</v>
      </c>
      <c r="R2016">
        <v>-37</v>
      </c>
      <c r="S2016">
        <v>13.9</v>
      </c>
      <c r="T2016">
        <v>-0.4</v>
      </c>
      <c r="U2016">
        <v>8.8000000000000007</v>
      </c>
      <c r="V2016">
        <v>6.4</v>
      </c>
      <c r="W2016">
        <v>7.1</v>
      </c>
      <c r="X2016" t="s">
        <v>57</v>
      </c>
    </row>
    <row r="2017" spans="2:24" x14ac:dyDescent="0.3">
      <c r="B2017" t="s">
        <v>2110</v>
      </c>
      <c r="C2017" t="s">
        <v>142</v>
      </c>
      <c r="D2017" t="s">
        <v>2</v>
      </c>
      <c r="E2017" t="s">
        <v>18</v>
      </c>
      <c r="F2017" t="s">
        <v>9</v>
      </c>
      <c r="G2017" t="s">
        <v>60</v>
      </c>
      <c r="H2017">
        <v>2025</v>
      </c>
      <c r="I2017">
        <v>14621</v>
      </c>
      <c r="J2017">
        <v>24.2</v>
      </c>
      <c r="K2017" t="s">
        <v>24</v>
      </c>
      <c r="L2017">
        <v>1.6</v>
      </c>
      <c r="M2017">
        <v>6</v>
      </c>
      <c r="N2017">
        <v>2775</v>
      </c>
      <c r="O2017" t="s">
        <v>64</v>
      </c>
      <c r="P2017">
        <v>51.5</v>
      </c>
      <c r="Q2017" t="s">
        <v>76</v>
      </c>
      <c r="R2017">
        <v>82.4</v>
      </c>
      <c r="S2017">
        <v>54.9</v>
      </c>
      <c r="T2017">
        <v>14.3</v>
      </c>
      <c r="U2017">
        <v>1.4</v>
      </c>
      <c r="V2017">
        <v>6</v>
      </c>
      <c r="W2017">
        <v>6.5</v>
      </c>
      <c r="X2017" t="s">
        <v>66</v>
      </c>
    </row>
    <row r="2018" spans="2:24" x14ac:dyDescent="0.3">
      <c r="B2018" t="s">
        <v>2111</v>
      </c>
      <c r="C2018" t="s">
        <v>53</v>
      </c>
      <c r="D2018" t="s">
        <v>3</v>
      </c>
      <c r="E2018" t="s">
        <v>14</v>
      </c>
      <c r="F2018" t="s">
        <v>10</v>
      </c>
      <c r="G2018" t="s">
        <v>98</v>
      </c>
      <c r="H2018">
        <v>2026</v>
      </c>
      <c r="I2018">
        <v>1099</v>
      </c>
      <c r="J2018">
        <v>9.9</v>
      </c>
      <c r="K2018" t="s">
        <v>24</v>
      </c>
      <c r="L2018">
        <v>0.8</v>
      </c>
      <c r="M2018">
        <v>1.1000000000000001</v>
      </c>
      <c r="N2018">
        <v>901</v>
      </c>
      <c r="O2018" t="s">
        <v>64</v>
      </c>
      <c r="P2018">
        <v>41.2</v>
      </c>
      <c r="Q2018" t="s">
        <v>86</v>
      </c>
      <c r="R2018">
        <v>-35.5</v>
      </c>
      <c r="S2018">
        <v>44.8</v>
      </c>
      <c r="T2018">
        <v>21.5</v>
      </c>
      <c r="U2018">
        <v>1</v>
      </c>
      <c r="V2018">
        <v>7.4</v>
      </c>
      <c r="W2018">
        <v>7.4</v>
      </c>
      <c r="X2018" t="s">
        <v>57</v>
      </c>
    </row>
    <row r="2019" spans="2:24" x14ac:dyDescent="0.3">
      <c r="B2019" t="s">
        <v>2112</v>
      </c>
      <c r="C2019" t="s">
        <v>53</v>
      </c>
      <c r="D2019" t="s">
        <v>2</v>
      </c>
      <c r="E2019" t="s">
        <v>17</v>
      </c>
      <c r="F2019" t="s">
        <v>10</v>
      </c>
      <c r="G2019" t="s">
        <v>74</v>
      </c>
      <c r="H2019">
        <v>2024</v>
      </c>
      <c r="I2019">
        <v>982</v>
      </c>
      <c r="J2019">
        <v>6.3</v>
      </c>
      <c r="K2019" t="s">
        <v>25</v>
      </c>
      <c r="L2019">
        <v>7.8</v>
      </c>
      <c r="M2019">
        <v>3.6</v>
      </c>
      <c r="N2019">
        <v>2372</v>
      </c>
      <c r="O2019" t="s">
        <v>55</v>
      </c>
      <c r="P2019">
        <v>73.400000000000006</v>
      </c>
      <c r="Q2019" t="s">
        <v>56</v>
      </c>
      <c r="R2019">
        <v>12.6</v>
      </c>
      <c r="S2019">
        <v>13.8</v>
      </c>
      <c r="T2019">
        <v>4.7</v>
      </c>
      <c r="U2019">
        <v>5.9</v>
      </c>
      <c r="V2019">
        <v>5.6</v>
      </c>
      <c r="W2019">
        <v>7.4</v>
      </c>
      <c r="X2019" t="s">
        <v>57</v>
      </c>
    </row>
    <row r="2020" spans="2:24" x14ac:dyDescent="0.3">
      <c r="B2020" t="s">
        <v>2113</v>
      </c>
      <c r="C2020" t="s">
        <v>159</v>
      </c>
      <c r="D2020" t="s">
        <v>7</v>
      </c>
      <c r="E2020" t="s">
        <v>15</v>
      </c>
      <c r="F2020" t="s">
        <v>9</v>
      </c>
      <c r="G2020" t="s">
        <v>104</v>
      </c>
      <c r="H2020">
        <v>2025</v>
      </c>
      <c r="I2020">
        <v>5371</v>
      </c>
      <c r="J2020">
        <v>34.200000000000003</v>
      </c>
      <c r="K2020" t="s">
        <v>21</v>
      </c>
      <c r="L2020">
        <v>13.5</v>
      </c>
      <c r="M2020">
        <v>10</v>
      </c>
      <c r="N2020">
        <v>586</v>
      </c>
      <c r="O2020" t="s">
        <v>64</v>
      </c>
      <c r="P2020">
        <v>38.5</v>
      </c>
      <c r="Q2020" t="s">
        <v>125</v>
      </c>
      <c r="R2020">
        <v>75.8</v>
      </c>
      <c r="S2020">
        <v>-15.6</v>
      </c>
      <c r="T2020">
        <v>-20</v>
      </c>
      <c r="U2020">
        <v>9.3000000000000007</v>
      </c>
      <c r="V2020">
        <v>2.4</v>
      </c>
      <c r="W2020">
        <v>1.4</v>
      </c>
      <c r="X2020" t="s">
        <v>66</v>
      </c>
    </row>
    <row r="2021" spans="2:24" x14ac:dyDescent="0.3">
      <c r="B2021" t="s">
        <v>2114</v>
      </c>
      <c r="C2021" t="s">
        <v>71</v>
      </c>
      <c r="D2021" t="s">
        <v>6</v>
      </c>
      <c r="E2021" t="s">
        <v>19</v>
      </c>
      <c r="F2021" t="s">
        <v>12</v>
      </c>
      <c r="G2021" t="s">
        <v>98</v>
      </c>
      <c r="H2021">
        <v>2026</v>
      </c>
      <c r="I2021">
        <v>2458</v>
      </c>
      <c r="J2021">
        <v>7.4</v>
      </c>
      <c r="K2021" t="s">
        <v>22</v>
      </c>
      <c r="L2021">
        <v>9.8000000000000007</v>
      </c>
      <c r="M2021">
        <v>10</v>
      </c>
      <c r="N2021">
        <v>597</v>
      </c>
      <c r="O2021" t="s">
        <v>55</v>
      </c>
      <c r="P2021">
        <v>21</v>
      </c>
      <c r="Q2021" t="s">
        <v>56</v>
      </c>
      <c r="R2021">
        <v>39.4</v>
      </c>
      <c r="S2021">
        <v>34.799999999999997</v>
      </c>
      <c r="T2021">
        <v>9</v>
      </c>
      <c r="U2021">
        <v>8.1</v>
      </c>
      <c r="V2021">
        <v>8</v>
      </c>
      <c r="W2021">
        <v>5.9</v>
      </c>
      <c r="X2021" t="s">
        <v>57</v>
      </c>
    </row>
    <row r="2022" spans="2:24" x14ac:dyDescent="0.3">
      <c r="B2022" t="s">
        <v>2115</v>
      </c>
      <c r="C2022" t="s">
        <v>90</v>
      </c>
      <c r="D2022" t="s">
        <v>2</v>
      </c>
      <c r="E2022" t="s">
        <v>18</v>
      </c>
      <c r="F2022" t="s">
        <v>11</v>
      </c>
      <c r="G2022" t="s">
        <v>98</v>
      </c>
      <c r="H2022">
        <v>2024</v>
      </c>
      <c r="I2022">
        <v>1230</v>
      </c>
      <c r="J2022">
        <v>2.8</v>
      </c>
      <c r="K2022" t="s">
        <v>25</v>
      </c>
      <c r="L2022">
        <v>4.4000000000000004</v>
      </c>
      <c r="M2022">
        <v>2.8</v>
      </c>
      <c r="N2022">
        <v>7865</v>
      </c>
      <c r="O2022" t="s">
        <v>118</v>
      </c>
      <c r="P2022">
        <v>38.5</v>
      </c>
      <c r="Q2022" t="s">
        <v>76</v>
      </c>
      <c r="R2022">
        <v>29.6</v>
      </c>
      <c r="S2022">
        <v>-12.9</v>
      </c>
      <c r="T2022">
        <v>2.1</v>
      </c>
      <c r="U2022">
        <v>3.3</v>
      </c>
      <c r="V2022">
        <v>5.7</v>
      </c>
      <c r="W2022">
        <v>7.5</v>
      </c>
      <c r="X2022" t="s">
        <v>57</v>
      </c>
    </row>
    <row r="2023" spans="2:24" x14ac:dyDescent="0.3">
      <c r="B2023" t="s">
        <v>2116</v>
      </c>
      <c r="C2023" t="s">
        <v>27</v>
      </c>
      <c r="D2023" t="s">
        <v>2</v>
      </c>
      <c r="E2023" t="s">
        <v>17</v>
      </c>
      <c r="F2023" t="s">
        <v>11</v>
      </c>
      <c r="G2023" t="s">
        <v>104</v>
      </c>
      <c r="H2023">
        <v>2026</v>
      </c>
      <c r="I2023">
        <v>10272</v>
      </c>
      <c r="J2023">
        <v>24.6</v>
      </c>
      <c r="K2023" t="s">
        <v>21</v>
      </c>
      <c r="L2023">
        <v>1.9</v>
      </c>
      <c r="M2023">
        <v>7.2</v>
      </c>
      <c r="N2023">
        <v>8417</v>
      </c>
      <c r="O2023" t="s">
        <v>64</v>
      </c>
      <c r="P2023">
        <v>22.8</v>
      </c>
      <c r="Q2023" t="s">
        <v>76</v>
      </c>
      <c r="R2023">
        <v>-44.5</v>
      </c>
      <c r="S2023">
        <v>34</v>
      </c>
      <c r="T2023">
        <v>-2</v>
      </c>
      <c r="U2023">
        <v>1.9</v>
      </c>
      <c r="V2023">
        <v>4.8</v>
      </c>
      <c r="W2023">
        <v>5.8</v>
      </c>
      <c r="X2023" t="s">
        <v>66</v>
      </c>
    </row>
    <row r="2024" spans="2:24" x14ac:dyDescent="0.3">
      <c r="B2024" t="s">
        <v>2117</v>
      </c>
      <c r="C2024" t="s">
        <v>59</v>
      </c>
      <c r="D2024" t="s">
        <v>4</v>
      </c>
      <c r="E2024" t="s">
        <v>18</v>
      </c>
      <c r="F2024" t="s">
        <v>12</v>
      </c>
      <c r="G2024" t="s">
        <v>74</v>
      </c>
      <c r="H2024">
        <v>2024</v>
      </c>
      <c r="I2024">
        <v>4756</v>
      </c>
      <c r="J2024">
        <v>15.8</v>
      </c>
      <c r="K2024" t="s">
        <v>23</v>
      </c>
      <c r="L2024">
        <v>4</v>
      </c>
      <c r="M2024">
        <v>6.5</v>
      </c>
      <c r="N2024">
        <v>2126</v>
      </c>
      <c r="O2024" t="s">
        <v>64</v>
      </c>
      <c r="P2024">
        <v>12.1</v>
      </c>
      <c r="Q2024" t="s">
        <v>76</v>
      </c>
      <c r="R2024">
        <v>21.4</v>
      </c>
      <c r="S2024">
        <v>50.6</v>
      </c>
      <c r="T2024">
        <v>16.5</v>
      </c>
      <c r="U2024">
        <v>4.7</v>
      </c>
      <c r="V2024">
        <v>5.9</v>
      </c>
      <c r="W2024">
        <v>6.6</v>
      </c>
      <c r="X2024" t="s">
        <v>116</v>
      </c>
    </row>
    <row r="2025" spans="2:24" x14ac:dyDescent="0.3">
      <c r="B2025" t="s">
        <v>2118</v>
      </c>
      <c r="C2025" t="s">
        <v>97</v>
      </c>
      <c r="D2025" t="s">
        <v>3</v>
      </c>
      <c r="E2025" t="s">
        <v>15</v>
      </c>
      <c r="F2025" t="s">
        <v>11</v>
      </c>
      <c r="G2025" t="s">
        <v>101</v>
      </c>
      <c r="H2025">
        <v>2024</v>
      </c>
      <c r="I2025">
        <v>2125</v>
      </c>
      <c r="J2025">
        <v>9</v>
      </c>
      <c r="K2025" t="s">
        <v>24</v>
      </c>
      <c r="L2025">
        <v>3</v>
      </c>
      <c r="M2025">
        <v>7.9</v>
      </c>
      <c r="N2025">
        <v>3800</v>
      </c>
      <c r="O2025" t="s">
        <v>55</v>
      </c>
      <c r="P2025">
        <v>47.1</v>
      </c>
      <c r="Q2025" t="s">
        <v>84</v>
      </c>
      <c r="R2025">
        <v>66.2</v>
      </c>
      <c r="S2025">
        <v>7.5</v>
      </c>
      <c r="T2025">
        <v>2</v>
      </c>
      <c r="U2025">
        <v>4.2</v>
      </c>
      <c r="V2025">
        <v>8</v>
      </c>
      <c r="W2025">
        <v>4.9000000000000004</v>
      </c>
      <c r="X2025" t="s">
        <v>57</v>
      </c>
    </row>
    <row r="2026" spans="2:24" x14ac:dyDescent="0.3">
      <c r="B2026" t="s">
        <v>2119</v>
      </c>
      <c r="C2026" t="s">
        <v>27</v>
      </c>
      <c r="D2026" t="s">
        <v>2</v>
      </c>
      <c r="E2026" t="s">
        <v>18</v>
      </c>
      <c r="F2026" t="s">
        <v>10</v>
      </c>
      <c r="G2026" t="s">
        <v>54</v>
      </c>
      <c r="H2026">
        <v>2024</v>
      </c>
      <c r="I2026">
        <v>1327</v>
      </c>
      <c r="J2026">
        <v>1.8</v>
      </c>
      <c r="K2026" t="s">
        <v>23</v>
      </c>
      <c r="L2026">
        <v>11.8</v>
      </c>
      <c r="M2026">
        <v>7.4</v>
      </c>
      <c r="N2026">
        <v>6835</v>
      </c>
      <c r="O2026" t="s">
        <v>55</v>
      </c>
      <c r="P2026">
        <v>46.5</v>
      </c>
      <c r="Q2026" t="s">
        <v>56</v>
      </c>
      <c r="R2026">
        <v>-2.2999999999999998</v>
      </c>
      <c r="S2026">
        <v>35.4</v>
      </c>
      <c r="T2026">
        <v>16.3</v>
      </c>
      <c r="U2026">
        <v>8</v>
      </c>
      <c r="V2026">
        <v>9.1999999999999993</v>
      </c>
      <c r="W2026">
        <v>7.3</v>
      </c>
      <c r="X2026" t="s">
        <v>57</v>
      </c>
    </row>
    <row r="2027" spans="2:24" x14ac:dyDescent="0.3">
      <c r="B2027" t="s">
        <v>2120</v>
      </c>
      <c r="C2027" t="s">
        <v>159</v>
      </c>
      <c r="D2027" t="s">
        <v>2</v>
      </c>
      <c r="E2027" t="s">
        <v>14</v>
      </c>
      <c r="F2027" t="s">
        <v>9</v>
      </c>
      <c r="G2027" t="s">
        <v>115</v>
      </c>
      <c r="H2027">
        <v>2026</v>
      </c>
      <c r="I2027">
        <v>1345</v>
      </c>
      <c r="J2027">
        <v>9.1</v>
      </c>
      <c r="K2027" t="s">
        <v>24</v>
      </c>
      <c r="L2027">
        <v>4.9000000000000004</v>
      </c>
      <c r="M2027">
        <v>6.6</v>
      </c>
      <c r="N2027">
        <v>9680</v>
      </c>
      <c r="O2027" t="s">
        <v>118</v>
      </c>
      <c r="P2027">
        <v>75.3</v>
      </c>
      <c r="Q2027" t="s">
        <v>56</v>
      </c>
      <c r="R2027">
        <v>87.7</v>
      </c>
      <c r="S2027">
        <v>-21.6</v>
      </c>
      <c r="T2027">
        <v>-14</v>
      </c>
      <c r="U2027">
        <v>6.7</v>
      </c>
      <c r="V2027">
        <v>7</v>
      </c>
      <c r="W2027">
        <v>4.9000000000000004</v>
      </c>
      <c r="X2027" t="s">
        <v>57</v>
      </c>
    </row>
    <row r="2028" spans="2:24" x14ac:dyDescent="0.3">
      <c r="B2028" t="s">
        <v>2121</v>
      </c>
      <c r="C2028" t="s">
        <v>73</v>
      </c>
      <c r="D2028" t="s">
        <v>3</v>
      </c>
      <c r="E2028" t="s">
        <v>18</v>
      </c>
      <c r="F2028" t="s">
        <v>9</v>
      </c>
      <c r="G2028" t="s">
        <v>60</v>
      </c>
      <c r="H2028">
        <v>2025</v>
      </c>
      <c r="I2028">
        <v>4114</v>
      </c>
      <c r="J2028">
        <v>4.8</v>
      </c>
      <c r="K2028" t="s">
        <v>23</v>
      </c>
      <c r="L2028">
        <v>10.3</v>
      </c>
      <c r="M2028">
        <v>7.6</v>
      </c>
      <c r="N2028">
        <v>373</v>
      </c>
      <c r="O2028" t="s">
        <v>55</v>
      </c>
      <c r="P2028">
        <v>63.6</v>
      </c>
      <c r="Q2028" t="s">
        <v>79</v>
      </c>
      <c r="R2028">
        <v>-41.3</v>
      </c>
      <c r="S2028">
        <v>17</v>
      </c>
      <c r="T2028">
        <v>19.3</v>
      </c>
      <c r="U2028">
        <v>8</v>
      </c>
      <c r="V2028">
        <v>6.9</v>
      </c>
      <c r="W2028">
        <v>7.4</v>
      </c>
      <c r="X2028" t="s">
        <v>116</v>
      </c>
    </row>
    <row r="2029" spans="2:24" x14ac:dyDescent="0.3">
      <c r="B2029" t="s">
        <v>2122</v>
      </c>
      <c r="C2029" t="s">
        <v>73</v>
      </c>
      <c r="D2029" t="s">
        <v>3</v>
      </c>
      <c r="E2029" t="s">
        <v>17</v>
      </c>
      <c r="F2029" t="s">
        <v>12</v>
      </c>
      <c r="G2029" t="s">
        <v>54</v>
      </c>
      <c r="H2029">
        <v>2025</v>
      </c>
      <c r="I2029">
        <v>671</v>
      </c>
      <c r="J2029">
        <v>1.3</v>
      </c>
      <c r="K2029" t="s">
        <v>21</v>
      </c>
      <c r="L2029">
        <v>4</v>
      </c>
      <c r="M2029">
        <v>4.8</v>
      </c>
      <c r="N2029">
        <v>572</v>
      </c>
      <c r="O2029" t="s">
        <v>55</v>
      </c>
      <c r="P2029">
        <v>12.5</v>
      </c>
      <c r="Q2029" t="s">
        <v>79</v>
      </c>
      <c r="R2029">
        <v>51.6</v>
      </c>
      <c r="S2029">
        <v>46.9</v>
      </c>
      <c r="T2029">
        <v>24.2</v>
      </c>
      <c r="U2029">
        <v>5</v>
      </c>
      <c r="V2029">
        <v>9.3000000000000007</v>
      </c>
      <c r="W2029">
        <v>8.6</v>
      </c>
      <c r="X2029" t="s">
        <v>57</v>
      </c>
    </row>
    <row r="2030" spans="2:24" x14ac:dyDescent="0.3">
      <c r="B2030" t="s">
        <v>2123</v>
      </c>
      <c r="C2030" t="s">
        <v>159</v>
      </c>
      <c r="D2030" t="s">
        <v>2</v>
      </c>
      <c r="E2030" t="s">
        <v>14</v>
      </c>
      <c r="F2030" t="s">
        <v>9</v>
      </c>
      <c r="G2030" t="s">
        <v>74</v>
      </c>
      <c r="H2030">
        <v>2024</v>
      </c>
      <c r="I2030">
        <v>1158</v>
      </c>
      <c r="J2030">
        <v>38.9</v>
      </c>
      <c r="K2030" t="s">
        <v>25</v>
      </c>
      <c r="L2030">
        <v>3.3</v>
      </c>
      <c r="M2030">
        <v>10</v>
      </c>
      <c r="N2030">
        <v>4173</v>
      </c>
      <c r="O2030" t="s">
        <v>64</v>
      </c>
      <c r="P2030">
        <v>77.400000000000006</v>
      </c>
      <c r="Q2030" t="s">
        <v>76</v>
      </c>
      <c r="R2030">
        <v>-33.200000000000003</v>
      </c>
      <c r="S2030">
        <v>49.7</v>
      </c>
      <c r="T2030">
        <v>2.8</v>
      </c>
      <c r="U2030">
        <v>5.2</v>
      </c>
      <c r="V2030">
        <v>5.2</v>
      </c>
      <c r="W2030">
        <v>3.9</v>
      </c>
      <c r="X2030" t="s">
        <v>66</v>
      </c>
    </row>
    <row r="2031" spans="2:24" x14ac:dyDescent="0.3">
      <c r="B2031" t="s">
        <v>2124</v>
      </c>
      <c r="C2031" t="s">
        <v>53</v>
      </c>
      <c r="D2031" t="s">
        <v>3</v>
      </c>
      <c r="E2031" t="s">
        <v>18</v>
      </c>
      <c r="F2031" t="s">
        <v>11</v>
      </c>
      <c r="G2031" t="s">
        <v>54</v>
      </c>
      <c r="H2031">
        <v>2025</v>
      </c>
      <c r="I2031">
        <v>10501</v>
      </c>
      <c r="J2031">
        <v>10.7</v>
      </c>
      <c r="K2031" t="s">
        <v>22</v>
      </c>
      <c r="L2031">
        <v>10.1</v>
      </c>
      <c r="M2031">
        <v>8</v>
      </c>
      <c r="N2031">
        <v>826</v>
      </c>
      <c r="O2031" t="s">
        <v>64</v>
      </c>
      <c r="P2031">
        <v>33.799999999999997</v>
      </c>
      <c r="Q2031" t="s">
        <v>76</v>
      </c>
      <c r="R2031">
        <v>11.9</v>
      </c>
      <c r="S2031">
        <v>35.700000000000003</v>
      </c>
      <c r="T2031">
        <v>16.100000000000001</v>
      </c>
      <c r="U2031">
        <v>7</v>
      </c>
      <c r="V2031">
        <v>7.2</v>
      </c>
      <c r="W2031">
        <v>7.3</v>
      </c>
      <c r="X2031" t="s">
        <v>66</v>
      </c>
    </row>
    <row r="2032" spans="2:24" x14ac:dyDescent="0.3">
      <c r="B2032" t="s">
        <v>2125</v>
      </c>
      <c r="C2032" t="s">
        <v>81</v>
      </c>
      <c r="D2032" t="s">
        <v>5</v>
      </c>
      <c r="E2032" t="s">
        <v>15</v>
      </c>
      <c r="F2032" t="s">
        <v>9</v>
      </c>
      <c r="G2032" t="s">
        <v>78</v>
      </c>
      <c r="H2032">
        <v>2024</v>
      </c>
      <c r="I2032">
        <v>1932</v>
      </c>
      <c r="J2032">
        <v>2.6</v>
      </c>
      <c r="K2032" t="s">
        <v>25</v>
      </c>
      <c r="L2032">
        <v>1</v>
      </c>
      <c r="M2032">
        <v>1</v>
      </c>
      <c r="N2032">
        <v>5388</v>
      </c>
      <c r="O2032" t="s">
        <v>55</v>
      </c>
      <c r="P2032">
        <v>29.7</v>
      </c>
      <c r="Q2032" t="s">
        <v>84</v>
      </c>
      <c r="R2032">
        <v>-11.8</v>
      </c>
      <c r="S2032">
        <v>54.8</v>
      </c>
      <c r="T2032">
        <v>22.8</v>
      </c>
      <c r="U2032">
        <v>1</v>
      </c>
      <c r="V2032">
        <v>9.5</v>
      </c>
      <c r="W2032">
        <v>9.6999999999999993</v>
      </c>
      <c r="X2032" t="s">
        <v>57</v>
      </c>
    </row>
    <row r="2033" spans="2:24" x14ac:dyDescent="0.3">
      <c r="B2033" t="s">
        <v>2126</v>
      </c>
      <c r="C2033" t="s">
        <v>94</v>
      </c>
      <c r="D2033" t="s">
        <v>6</v>
      </c>
      <c r="E2033" t="s">
        <v>17</v>
      </c>
      <c r="F2033" t="s">
        <v>12</v>
      </c>
      <c r="G2033" t="s">
        <v>54</v>
      </c>
      <c r="H2033">
        <v>2025</v>
      </c>
      <c r="I2033">
        <v>1806</v>
      </c>
      <c r="J2033">
        <v>10</v>
      </c>
      <c r="K2033" t="s">
        <v>25</v>
      </c>
      <c r="L2033">
        <v>8.8000000000000007</v>
      </c>
      <c r="M2033">
        <v>8.5</v>
      </c>
      <c r="N2033">
        <v>3183</v>
      </c>
      <c r="O2033" t="s">
        <v>55</v>
      </c>
      <c r="P2033">
        <v>80.7</v>
      </c>
      <c r="Q2033" t="s">
        <v>76</v>
      </c>
      <c r="R2033">
        <v>76</v>
      </c>
      <c r="S2033">
        <v>-3</v>
      </c>
      <c r="T2033">
        <v>6.5</v>
      </c>
      <c r="U2033">
        <v>9.4</v>
      </c>
      <c r="V2033">
        <v>6.6</v>
      </c>
      <c r="W2033">
        <v>6.1</v>
      </c>
      <c r="X2033" t="s">
        <v>116</v>
      </c>
    </row>
    <row r="2034" spans="2:24" x14ac:dyDescent="0.3">
      <c r="B2034" t="s">
        <v>2127</v>
      </c>
      <c r="C2034" t="s">
        <v>159</v>
      </c>
      <c r="D2034" t="s">
        <v>2</v>
      </c>
      <c r="E2034" t="s">
        <v>17</v>
      </c>
      <c r="F2034" t="s">
        <v>12</v>
      </c>
      <c r="G2034" t="s">
        <v>131</v>
      </c>
      <c r="H2034">
        <v>2025</v>
      </c>
      <c r="I2034">
        <v>2290</v>
      </c>
      <c r="J2034">
        <v>4.0999999999999996</v>
      </c>
      <c r="K2034" t="s">
        <v>23</v>
      </c>
      <c r="L2034">
        <v>2.2999999999999998</v>
      </c>
      <c r="M2034">
        <v>5.4</v>
      </c>
      <c r="N2034">
        <v>1542</v>
      </c>
      <c r="O2034" t="s">
        <v>55</v>
      </c>
      <c r="P2034">
        <v>44.5</v>
      </c>
      <c r="Q2034" t="s">
        <v>56</v>
      </c>
      <c r="R2034">
        <v>35.5</v>
      </c>
      <c r="S2034">
        <v>54.9</v>
      </c>
      <c r="T2034">
        <v>28.8</v>
      </c>
      <c r="U2034">
        <v>3.7</v>
      </c>
      <c r="V2034">
        <v>8.6</v>
      </c>
      <c r="W2034">
        <v>7.9</v>
      </c>
      <c r="X2034" t="s">
        <v>116</v>
      </c>
    </row>
    <row r="2035" spans="2:24" x14ac:dyDescent="0.3">
      <c r="B2035" t="s">
        <v>2128</v>
      </c>
      <c r="C2035" t="s">
        <v>159</v>
      </c>
      <c r="D2035" t="s">
        <v>7</v>
      </c>
      <c r="E2035" t="s">
        <v>16</v>
      </c>
      <c r="F2035" t="s">
        <v>10</v>
      </c>
      <c r="G2035" t="s">
        <v>74</v>
      </c>
      <c r="H2035">
        <v>2025</v>
      </c>
      <c r="I2035">
        <v>5829</v>
      </c>
      <c r="J2035">
        <v>6.7</v>
      </c>
      <c r="K2035" t="s">
        <v>23</v>
      </c>
      <c r="L2035">
        <v>4.8</v>
      </c>
      <c r="M2035">
        <v>8.4</v>
      </c>
      <c r="N2035">
        <v>1146</v>
      </c>
      <c r="O2035" t="s">
        <v>64</v>
      </c>
      <c r="P2035">
        <v>15.7</v>
      </c>
      <c r="Q2035" t="s">
        <v>76</v>
      </c>
      <c r="R2035">
        <v>49</v>
      </c>
      <c r="S2035">
        <v>-6.5</v>
      </c>
      <c r="T2035">
        <v>-2.4</v>
      </c>
      <c r="U2035">
        <v>3.6</v>
      </c>
      <c r="V2035">
        <v>6</v>
      </c>
      <c r="W2035">
        <v>5.4</v>
      </c>
      <c r="X2035" t="s">
        <v>116</v>
      </c>
    </row>
    <row r="2036" spans="2:24" x14ac:dyDescent="0.3">
      <c r="B2036" t="s">
        <v>2129</v>
      </c>
      <c r="C2036" t="s">
        <v>73</v>
      </c>
      <c r="D2036" t="s">
        <v>3</v>
      </c>
      <c r="E2036" t="s">
        <v>17</v>
      </c>
      <c r="F2036" t="s">
        <v>9</v>
      </c>
      <c r="G2036" t="s">
        <v>54</v>
      </c>
      <c r="H2036">
        <v>2024</v>
      </c>
      <c r="I2036">
        <v>360</v>
      </c>
      <c r="J2036">
        <v>1.3</v>
      </c>
      <c r="K2036" t="s">
        <v>25</v>
      </c>
      <c r="L2036">
        <v>9.1</v>
      </c>
      <c r="M2036">
        <v>9</v>
      </c>
      <c r="N2036">
        <v>5661</v>
      </c>
      <c r="O2036" t="s">
        <v>55</v>
      </c>
      <c r="P2036">
        <v>43.3</v>
      </c>
      <c r="Q2036" t="s">
        <v>76</v>
      </c>
      <c r="R2036">
        <v>-2.1</v>
      </c>
      <c r="S2036">
        <v>29.1</v>
      </c>
      <c r="T2036">
        <v>20.6</v>
      </c>
      <c r="U2036">
        <v>7.3</v>
      </c>
      <c r="V2036">
        <v>6.7</v>
      </c>
      <c r="W2036">
        <v>7.2</v>
      </c>
      <c r="X2036" t="s">
        <v>116</v>
      </c>
    </row>
    <row r="2037" spans="2:24" x14ac:dyDescent="0.3">
      <c r="B2037" t="s">
        <v>2130</v>
      </c>
      <c r="C2037" t="s">
        <v>122</v>
      </c>
      <c r="D2037" t="s">
        <v>2</v>
      </c>
      <c r="E2037" t="s">
        <v>15</v>
      </c>
      <c r="F2037" t="s">
        <v>10</v>
      </c>
      <c r="G2037" t="s">
        <v>63</v>
      </c>
      <c r="H2037">
        <v>2025</v>
      </c>
      <c r="I2037">
        <v>774</v>
      </c>
      <c r="J2037">
        <v>1.3</v>
      </c>
      <c r="K2037" t="s">
        <v>22</v>
      </c>
      <c r="L2037">
        <v>6.8</v>
      </c>
      <c r="M2037">
        <v>8.1999999999999993</v>
      </c>
      <c r="N2037">
        <v>2095</v>
      </c>
      <c r="O2037" t="s">
        <v>55</v>
      </c>
      <c r="P2037">
        <v>72.900000000000006</v>
      </c>
      <c r="Q2037" t="s">
        <v>56</v>
      </c>
      <c r="R2037">
        <v>59.7</v>
      </c>
      <c r="S2037">
        <v>-16.5</v>
      </c>
      <c r="T2037">
        <v>-4.8</v>
      </c>
      <c r="U2037">
        <v>7.1</v>
      </c>
      <c r="V2037">
        <v>5.5</v>
      </c>
      <c r="W2037">
        <v>5.3</v>
      </c>
      <c r="X2037" t="s">
        <v>57</v>
      </c>
    </row>
    <row r="2038" spans="2:24" x14ac:dyDescent="0.3">
      <c r="B2038" t="s">
        <v>2131</v>
      </c>
      <c r="C2038" t="s">
        <v>94</v>
      </c>
      <c r="D2038" t="s">
        <v>6</v>
      </c>
      <c r="E2038" t="s">
        <v>15</v>
      </c>
      <c r="F2038" t="s">
        <v>11</v>
      </c>
      <c r="G2038" t="s">
        <v>112</v>
      </c>
      <c r="H2038">
        <v>2024</v>
      </c>
      <c r="I2038">
        <v>1301</v>
      </c>
      <c r="J2038">
        <v>2.9</v>
      </c>
      <c r="K2038" t="s">
        <v>25</v>
      </c>
      <c r="L2038">
        <v>9.8000000000000007</v>
      </c>
      <c r="M2038">
        <v>9.6</v>
      </c>
      <c r="N2038">
        <v>5897</v>
      </c>
      <c r="O2038" t="s">
        <v>55</v>
      </c>
      <c r="P2038">
        <v>31.3</v>
      </c>
      <c r="Q2038" t="s">
        <v>125</v>
      </c>
      <c r="R2038">
        <v>74.3</v>
      </c>
      <c r="S2038">
        <v>-5.5</v>
      </c>
      <c r="T2038">
        <v>5.2</v>
      </c>
      <c r="U2038">
        <v>9.4</v>
      </c>
      <c r="V2038">
        <v>8.3000000000000007</v>
      </c>
      <c r="W2038">
        <v>6.5</v>
      </c>
      <c r="X2038" t="s">
        <v>57</v>
      </c>
    </row>
    <row r="2039" spans="2:24" x14ac:dyDescent="0.3">
      <c r="B2039" t="s">
        <v>2132</v>
      </c>
      <c r="C2039" t="s">
        <v>90</v>
      </c>
      <c r="D2039" t="s">
        <v>3</v>
      </c>
      <c r="E2039" t="s">
        <v>14</v>
      </c>
      <c r="F2039" t="s">
        <v>12</v>
      </c>
      <c r="G2039" t="s">
        <v>131</v>
      </c>
      <c r="H2039">
        <v>2026</v>
      </c>
      <c r="I2039">
        <v>4876</v>
      </c>
      <c r="J2039">
        <v>15.3</v>
      </c>
      <c r="K2039" t="s">
        <v>23</v>
      </c>
      <c r="L2039">
        <v>2.5</v>
      </c>
      <c r="M2039">
        <v>9.1999999999999993</v>
      </c>
      <c r="N2039">
        <v>3500</v>
      </c>
      <c r="O2039" t="s">
        <v>64</v>
      </c>
      <c r="P2039">
        <v>17.2</v>
      </c>
      <c r="Q2039" t="s">
        <v>125</v>
      </c>
      <c r="R2039">
        <v>19.399999999999999</v>
      </c>
      <c r="S2039">
        <v>-18.600000000000001</v>
      </c>
      <c r="T2039">
        <v>-13.1</v>
      </c>
      <c r="U2039">
        <v>3.7</v>
      </c>
      <c r="V2039">
        <v>5.7</v>
      </c>
      <c r="W2039">
        <v>4.5999999999999996</v>
      </c>
      <c r="X2039" t="s">
        <v>116</v>
      </c>
    </row>
    <row r="2040" spans="2:24" x14ac:dyDescent="0.3">
      <c r="B2040" t="s">
        <v>2133</v>
      </c>
      <c r="C2040" t="s">
        <v>94</v>
      </c>
      <c r="D2040" t="s">
        <v>6</v>
      </c>
      <c r="E2040" t="s">
        <v>14</v>
      </c>
      <c r="F2040" t="s">
        <v>11</v>
      </c>
      <c r="G2040" t="s">
        <v>63</v>
      </c>
      <c r="H2040">
        <v>2026</v>
      </c>
      <c r="I2040">
        <v>3378</v>
      </c>
      <c r="J2040">
        <v>23</v>
      </c>
      <c r="K2040" t="s">
        <v>22</v>
      </c>
      <c r="L2040">
        <v>9.4</v>
      </c>
      <c r="M2040">
        <v>10</v>
      </c>
      <c r="N2040">
        <v>888</v>
      </c>
      <c r="O2040" t="s">
        <v>64</v>
      </c>
      <c r="P2040">
        <v>56.8</v>
      </c>
      <c r="Q2040" t="s">
        <v>84</v>
      </c>
      <c r="R2040">
        <v>31.6</v>
      </c>
      <c r="S2040">
        <v>25</v>
      </c>
      <c r="T2040">
        <v>16.899999999999999</v>
      </c>
      <c r="U2040">
        <v>7.8</v>
      </c>
      <c r="V2040">
        <v>7.5</v>
      </c>
      <c r="W2040">
        <v>4.7</v>
      </c>
      <c r="X2040" t="s">
        <v>66</v>
      </c>
    </row>
    <row r="2041" spans="2:24" x14ac:dyDescent="0.3">
      <c r="B2041" t="s">
        <v>2134</v>
      </c>
      <c r="C2041" t="s">
        <v>90</v>
      </c>
      <c r="D2041" t="s">
        <v>6</v>
      </c>
      <c r="E2041" t="s">
        <v>14</v>
      </c>
      <c r="F2041" t="s">
        <v>11</v>
      </c>
      <c r="G2041" t="s">
        <v>69</v>
      </c>
      <c r="H2041">
        <v>2025</v>
      </c>
      <c r="I2041">
        <v>1906</v>
      </c>
      <c r="J2041">
        <v>2.6</v>
      </c>
      <c r="K2041" t="s">
        <v>21</v>
      </c>
      <c r="L2041">
        <v>7.4</v>
      </c>
      <c r="M2041">
        <v>4.5</v>
      </c>
      <c r="N2041">
        <v>4110</v>
      </c>
      <c r="O2041" t="s">
        <v>55</v>
      </c>
      <c r="P2041">
        <v>25.7</v>
      </c>
      <c r="Q2041" t="s">
        <v>56</v>
      </c>
      <c r="R2041">
        <v>86.6</v>
      </c>
      <c r="S2041">
        <v>35.9</v>
      </c>
      <c r="T2041">
        <v>9.6999999999999993</v>
      </c>
      <c r="U2041">
        <v>5.6</v>
      </c>
      <c r="V2041">
        <v>9.3000000000000007</v>
      </c>
      <c r="W2041">
        <v>8.5</v>
      </c>
      <c r="X2041" t="s">
        <v>57</v>
      </c>
    </row>
    <row r="2042" spans="2:24" x14ac:dyDescent="0.3">
      <c r="B2042" t="s">
        <v>2135</v>
      </c>
      <c r="C2042" t="s">
        <v>53</v>
      </c>
      <c r="D2042" t="s">
        <v>7</v>
      </c>
      <c r="E2042" t="s">
        <v>18</v>
      </c>
      <c r="F2042" t="s">
        <v>10</v>
      </c>
      <c r="G2042" t="s">
        <v>74</v>
      </c>
      <c r="H2042">
        <v>2024</v>
      </c>
      <c r="I2042">
        <v>16092</v>
      </c>
      <c r="J2042">
        <v>28.1</v>
      </c>
      <c r="K2042" t="s">
        <v>21</v>
      </c>
      <c r="L2042">
        <v>1</v>
      </c>
      <c r="M2042">
        <v>4.7</v>
      </c>
      <c r="N2042">
        <v>1586</v>
      </c>
      <c r="O2042" t="s">
        <v>75</v>
      </c>
      <c r="P2042">
        <v>57</v>
      </c>
      <c r="Q2042" t="s">
        <v>79</v>
      </c>
      <c r="R2042">
        <v>43.4</v>
      </c>
      <c r="S2042">
        <v>46.3</v>
      </c>
      <c r="T2042">
        <v>4.7</v>
      </c>
      <c r="U2042">
        <v>1.2</v>
      </c>
      <c r="V2042">
        <v>4.4000000000000004</v>
      </c>
      <c r="W2042">
        <v>6</v>
      </c>
      <c r="X2042" t="s">
        <v>66</v>
      </c>
    </row>
    <row r="2043" spans="2:24" x14ac:dyDescent="0.3">
      <c r="B2043" t="s">
        <v>2136</v>
      </c>
      <c r="C2043" t="s">
        <v>100</v>
      </c>
      <c r="D2043" t="s">
        <v>3</v>
      </c>
      <c r="E2043" t="s">
        <v>14</v>
      </c>
      <c r="F2043" t="s">
        <v>11</v>
      </c>
      <c r="G2043" t="s">
        <v>74</v>
      </c>
      <c r="H2043">
        <v>2026</v>
      </c>
      <c r="I2043">
        <v>667</v>
      </c>
      <c r="J2043">
        <v>4.3</v>
      </c>
      <c r="K2043" t="s">
        <v>25</v>
      </c>
      <c r="L2043">
        <v>10.9</v>
      </c>
      <c r="M2043">
        <v>10</v>
      </c>
      <c r="N2043">
        <v>2311</v>
      </c>
      <c r="O2043" t="s">
        <v>64</v>
      </c>
      <c r="P2043">
        <v>88.6</v>
      </c>
      <c r="Q2043" t="s">
        <v>65</v>
      </c>
      <c r="R2043">
        <v>-41.5</v>
      </c>
      <c r="S2043">
        <v>-20.2</v>
      </c>
      <c r="T2043">
        <v>3.1</v>
      </c>
      <c r="U2043">
        <v>8.3000000000000007</v>
      </c>
      <c r="V2043">
        <v>5</v>
      </c>
      <c r="W2043">
        <v>4.0999999999999996</v>
      </c>
      <c r="X2043" t="s">
        <v>57</v>
      </c>
    </row>
    <row r="2044" spans="2:24" x14ac:dyDescent="0.3">
      <c r="B2044" t="s">
        <v>2137</v>
      </c>
      <c r="C2044" t="s">
        <v>90</v>
      </c>
      <c r="D2044" t="s">
        <v>2</v>
      </c>
      <c r="E2044" t="s">
        <v>18</v>
      </c>
      <c r="F2044" t="s">
        <v>10</v>
      </c>
      <c r="G2044" t="s">
        <v>74</v>
      </c>
      <c r="H2044">
        <v>2024</v>
      </c>
      <c r="I2044">
        <v>1779</v>
      </c>
      <c r="J2044">
        <v>2.7</v>
      </c>
      <c r="K2044" t="s">
        <v>22</v>
      </c>
      <c r="L2044">
        <v>1.9</v>
      </c>
      <c r="M2044">
        <v>3.4</v>
      </c>
      <c r="N2044">
        <v>5186</v>
      </c>
      <c r="O2044" t="s">
        <v>55</v>
      </c>
      <c r="P2044">
        <v>27.4</v>
      </c>
      <c r="Q2044" t="s">
        <v>56</v>
      </c>
      <c r="R2044">
        <v>-5.6</v>
      </c>
      <c r="S2044">
        <v>-22.1</v>
      </c>
      <c r="T2044">
        <v>-1.3</v>
      </c>
      <c r="U2044">
        <v>3</v>
      </c>
      <c r="V2044">
        <v>4.5</v>
      </c>
      <c r="W2044">
        <v>7</v>
      </c>
      <c r="X2044" t="s">
        <v>116</v>
      </c>
    </row>
    <row r="2045" spans="2:24" x14ac:dyDescent="0.3">
      <c r="B2045" t="s">
        <v>2138</v>
      </c>
      <c r="C2045" t="s">
        <v>53</v>
      </c>
      <c r="D2045" t="s">
        <v>7</v>
      </c>
      <c r="E2045" t="s">
        <v>18</v>
      </c>
      <c r="F2045" t="s">
        <v>9</v>
      </c>
      <c r="G2045" t="s">
        <v>115</v>
      </c>
      <c r="H2045">
        <v>2025</v>
      </c>
      <c r="I2045">
        <v>165</v>
      </c>
      <c r="J2045">
        <v>0.4</v>
      </c>
      <c r="K2045" t="s">
        <v>22</v>
      </c>
      <c r="L2045">
        <v>5.7</v>
      </c>
      <c r="M2045">
        <v>7.1</v>
      </c>
      <c r="N2045">
        <v>1868</v>
      </c>
      <c r="O2045" t="s">
        <v>55</v>
      </c>
      <c r="P2045">
        <v>41.1</v>
      </c>
      <c r="Q2045" t="s">
        <v>88</v>
      </c>
      <c r="R2045">
        <v>60.7</v>
      </c>
      <c r="S2045">
        <v>51.3</v>
      </c>
      <c r="T2045">
        <v>16.100000000000001</v>
      </c>
      <c r="U2045">
        <v>7.9</v>
      </c>
      <c r="V2045">
        <v>10</v>
      </c>
      <c r="W2045">
        <v>8.1</v>
      </c>
      <c r="X2045" t="s">
        <v>57</v>
      </c>
    </row>
    <row r="2046" spans="2:24" x14ac:dyDescent="0.3">
      <c r="B2046" t="s">
        <v>2139</v>
      </c>
      <c r="C2046" t="s">
        <v>106</v>
      </c>
      <c r="D2046" t="s">
        <v>3</v>
      </c>
      <c r="E2046" t="s">
        <v>15</v>
      </c>
      <c r="F2046" t="s">
        <v>9</v>
      </c>
      <c r="G2046" t="s">
        <v>115</v>
      </c>
      <c r="H2046">
        <v>2024</v>
      </c>
      <c r="I2046">
        <v>6462</v>
      </c>
      <c r="J2046">
        <v>22.2</v>
      </c>
      <c r="K2046" t="s">
        <v>21</v>
      </c>
      <c r="L2046">
        <v>9</v>
      </c>
      <c r="M2046">
        <v>10</v>
      </c>
      <c r="N2046">
        <v>1076</v>
      </c>
      <c r="O2046" t="s">
        <v>64</v>
      </c>
      <c r="P2046">
        <v>20.9</v>
      </c>
      <c r="Q2046" t="s">
        <v>56</v>
      </c>
      <c r="R2046">
        <v>37</v>
      </c>
      <c r="S2046">
        <v>34</v>
      </c>
      <c r="T2046">
        <v>3.7</v>
      </c>
      <c r="U2046">
        <v>9.9</v>
      </c>
      <c r="V2046">
        <v>5.9</v>
      </c>
      <c r="W2046">
        <v>5.2</v>
      </c>
      <c r="X2046" t="s">
        <v>66</v>
      </c>
    </row>
    <row r="2047" spans="2:24" x14ac:dyDescent="0.3">
      <c r="B2047" t="s">
        <v>2140</v>
      </c>
      <c r="C2047" t="s">
        <v>53</v>
      </c>
      <c r="D2047" t="s">
        <v>7</v>
      </c>
      <c r="E2047" t="s">
        <v>14</v>
      </c>
      <c r="F2047" t="s">
        <v>9</v>
      </c>
      <c r="G2047" t="s">
        <v>74</v>
      </c>
      <c r="H2047">
        <v>2025</v>
      </c>
      <c r="I2047">
        <v>10432</v>
      </c>
      <c r="J2047">
        <v>20.9</v>
      </c>
      <c r="K2047" t="s">
        <v>24</v>
      </c>
      <c r="L2047">
        <v>14.9</v>
      </c>
      <c r="M2047">
        <v>10</v>
      </c>
      <c r="N2047">
        <v>1867</v>
      </c>
      <c r="O2047" t="s">
        <v>55</v>
      </c>
      <c r="P2047">
        <v>43.6</v>
      </c>
      <c r="Q2047" t="s">
        <v>84</v>
      </c>
      <c r="R2047">
        <v>75.2</v>
      </c>
      <c r="S2047">
        <v>5</v>
      </c>
      <c r="T2047">
        <v>4.5</v>
      </c>
      <c r="U2047">
        <v>9.1999999999999993</v>
      </c>
      <c r="V2047">
        <v>5.8</v>
      </c>
      <c r="W2047">
        <v>4.5999999999999996</v>
      </c>
      <c r="X2047" t="s">
        <v>66</v>
      </c>
    </row>
    <row r="2048" spans="2:24" x14ac:dyDescent="0.3">
      <c r="B2048" t="s">
        <v>2141</v>
      </c>
      <c r="C2048" t="s">
        <v>59</v>
      </c>
      <c r="D2048" t="s">
        <v>4</v>
      </c>
      <c r="E2048" t="s">
        <v>18</v>
      </c>
      <c r="F2048" t="s">
        <v>11</v>
      </c>
      <c r="G2048" t="s">
        <v>131</v>
      </c>
      <c r="H2048">
        <v>2025</v>
      </c>
      <c r="I2048">
        <v>5505</v>
      </c>
      <c r="J2048">
        <v>14.2</v>
      </c>
      <c r="K2048" t="s">
        <v>25</v>
      </c>
      <c r="L2048">
        <v>7.3</v>
      </c>
      <c r="M2048">
        <v>10</v>
      </c>
      <c r="N2048">
        <v>1544</v>
      </c>
      <c r="O2048" t="s">
        <v>64</v>
      </c>
      <c r="P2048">
        <v>44.3</v>
      </c>
      <c r="Q2048" t="s">
        <v>65</v>
      </c>
      <c r="R2048">
        <v>25.9</v>
      </c>
      <c r="S2048">
        <v>13.8</v>
      </c>
      <c r="T2048">
        <v>-2.7</v>
      </c>
      <c r="U2048">
        <v>8.1</v>
      </c>
      <c r="V2048">
        <v>6</v>
      </c>
      <c r="W2048">
        <v>6</v>
      </c>
      <c r="X2048" t="s">
        <v>66</v>
      </c>
    </row>
    <row r="2049" spans="2:24" x14ac:dyDescent="0.3">
      <c r="B2049" t="s">
        <v>2142</v>
      </c>
      <c r="C2049" t="s">
        <v>90</v>
      </c>
      <c r="D2049" t="s">
        <v>6</v>
      </c>
      <c r="E2049" t="s">
        <v>15</v>
      </c>
      <c r="F2049" t="s">
        <v>12</v>
      </c>
      <c r="G2049" t="s">
        <v>54</v>
      </c>
      <c r="H2049">
        <v>2026</v>
      </c>
      <c r="I2049">
        <v>2353</v>
      </c>
      <c r="J2049">
        <v>8.8000000000000007</v>
      </c>
      <c r="K2049" t="s">
        <v>24</v>
      </c>
      <c r="L2049">
        <v>5.4</v>
      </c>
      <c r="M2049">
        <v>4.8</v>
      </c>
      <c r="N2049">
        <v>2943</v>
      </c>
      <c r="O2049" t="s">
        <v>64</v>
      </c>
      <c r="P2049">
        <v>53</v>
      </c>
      <c r="Q2049" t="s">
        <v>88</v>
      </c>
      <c r="R2049">
        <v>-28.7</v>
      </c>
      <c r="S2049">
        <v>17.5</v>
      </c>
      <c r="T2049">
        <v>3.9</v>
      </c>
      <c r="U2049">
        <v>4.8</v>
      </c>
      <c r="V2049">
        <v>6.5</v>
      </c>
      <c r="W2049">
        <v>6.5</v>
      </c>
      <c r="X2049" t="s">
        <v>57</v>
      </c>
    </row>
    <row r="2050" spans="2:24" x14ac:dyDescent="0.3">
      <c r="B2050" t="s">
        <v>2143</v>
      </c>
      <c r="C2050" t="s">
        <v>71</v>
      </c>
      <c r="D2050" t="s">
        <v>5</v>
      </c>
      <c r="E2050" t="s">
        <v>14</v>
      </c>
      <c r="F2050" t="s">
        <v>12</v>
      </c>
      <c r="G2050" t="s">
        <v>101</v>
      </c>
      <c r="H2050">
        <v>2025</v>
      </c>
      <c r="I2050">
        <v>932</v>
      </c>
      <c r="J2050">
        <v>7.6</v>
      </c>
      <c r="K2050" t="s">
        <v>23</v>
      </c>
      <c r="L2050">
        <v>14.8</v>
      </c>
      <c r="M2050">
        <v>10</v>
      </c>
      <c r="N2050">
        <v>622</v>
      </c>
      <c r="O2050" t="s">
        <v>64</v>
      </c>
      <c r="P2050">
        <v>46.5</v>
      </c>
      <c r="Q2050" t="s">
        <v>88</v>
      </c>
      <c r="R2050">
        <v>-26.1</v>
      </c>
      <c r="S2050">
        <v>3.5</v>
      </c>
      <c r="T2050">
        <v>11.1</v>
      </c>
      <c r="U2050">
        <v>8.8000000000000007</v>
      </c>
      <c r="V2050">
        <v>4.5999999999999996</v>
      </c>
      <c r="W2050">
        <v>5.4</v>
      </c>
      <c r="X2050" t="s">
        <v>57</v>
      </c>
    </row>
    <row r="2051" spans="2:24" x14ac:dyDescent="0.3">
      <c r="B2051" t="s">
        <v>2144</v>
      </c>
      <c r="C2051" t="s">
        <v>137</v>
      </c>
      <c r="D2051" t="s">
        <v>4</v>
      </c>
      <c r="E2051" t="s">
        <v>19</v>
      </c>
      <c r="F2051" t="s">
        <v>10</v>
      </c>
      <c r="G2051" t="s">
        <v>101</v>
      </c>
      <c r="H2051">
        <v>2024</v>
      </c>
      <c r="I2051">
        <v>11708</v>
      </c>
      <c r="J2051">
        <v>28.5</v>
      </c>
      <c r="K2051" t="s">
        <v>24</v>
      </c>
      <c r="L2051">
        <v>2</v>
      </c>
      <c r="M2051">
        <v>8.8000000000000007</v>
      </c>
      <c r="N2051">
        <v>1579</v>
      </c>
      <c r="O2051" t="s">
        <v>75</v>
      </c>
      <c r="P2051">
        <v>68.400000000000006</v>
      </c>
      <c r="Q2051" t="s">
        <v>86</v>
      </c>
      <c r="R2051">
        <v>39.799999999999997</v>
      </c>
      <c r="S2051">
        <v>-22</v>
      </c>
      <c r="T2051">
        <v>-10.6</v>
      </c>
      <c r="U2051">
        <v>1.2</v>
      </c>
      <c r="V2051">
        <v>3.1</v>
      </c>
      <c r="W2051">
        <v>2.8</v>
      </c>
      <c r="X2051" t="s">
        <v>66</v>
      </c>
    </row>
    <row r="2052" spans="2:24" x14ac:dyDescent="0.3">
      <c r="B2052" t="s">
        <v>2145</v>
      </c>
      <c r="C2052" t="s">
        <v>100</v>
      </c>
      <c r="D2052" t="s">
        <v>3</v>
      </c>
      <c r="E2052" t="s">
        <v>19</v>
      </c>
      <c r="F2052" t="s">
        <v>12</v>
      </c>
      <c r="G2052" t="s">
        <v>69</v>
      </c>
      <c r="H2052">
        <v>2025</v>
      </c>
      <c r="I2052">
        <v>998</v>
      </c>
      <c r="J2052">
        <v>12.7</v>
      </c>
      <c r="K2052" t="s">
        <v>22</v>
      </c>
      <c r="L2052">
        <v>5.8</v>
      </c>
      <c r="M2052">
        <v>9.1</v>
      </c>
      <c r="N2052">
        <v>4505</v>
      </c>
      <c r="O2052" t="s">
        <v>55</v>
      </c>
      <c r="P2052">
        <v>42.1</v>
      </c>
      <c r="Q2052" t="s">
        <v>125</v>
      </c>
      <c r="R2052">
        <v>56.6</v>
      </c>
      <c r="S2052">
        <v>55.1</v>
      </c>
      <c r="T2052">
        <v>12.1</v>
      </c>
      <c r="U2052">
        <v>7.1</v>
      </c>
      <c r="V2052">
        <v>6.3</v>
      </c>
      <c r="W2052">
        <v>6.9</v>
      </c>
      <c r="X2052" t="s">
        <v>116</v>
      </c>
    </row>
    <row r="2053" spans="2:24" x14ac:dyDescent="0.3">
      <c r="B2053" t="s">
        <v>2146</v>
      </c>
      <c r="C2053" t="s">
        <v>106</v>
      </c>
      <c r="D2053" t="s">
        <v>7</v>
      </c>
      <c r="E2053" t="s">
        <v>15</v>
      </c>
      <c r="F2053" t="s">
        <v>10</v>
      </c>
      <c r="G2053" t="s">
        <v>98</v>
      </c>
      <c r="H2053">
        <v>2025</v>
      </c>
      <c r="I2053">
        <v>8954</v>
      </c>
      <c r="J2053">
        <v>18.600000000000001</v>
      </c>
      <c r="K2053" t="s">
        <v>25</v>
      </c>
      <c r="L2053">
        <v>6.8</v>
      </c>
      <c r="M2053">
        <v>5.2</v>
      </c>
      <c r="N2053">
        <v>1058</v>
      </c>
      <c r="O2053" t="s">
        <v>75</v>
      </c>
      <c r="P2053">
        <v>68.5</v>
      </c>
      <c r="Q2053" t="s">
        <v>86</v>
      </c>
      <c r="R2053">
        <v>62.1</v>
      </c>
      <c r="S2053">
        <v>43.2</v>
      </c>
      <c r="T2053">
        <v>18.8</v>
      </c>
      <c r="U2053">
        <v>4.3</v>
      </c>
      <c r="V2053">
        <v>7.2</v>
      </c>
      <c r="W2053">
        <v>5.6</v>
      </c>
      <c r="X2053" t="s">
        <v>66</v>
      </c>
    </row>
    <row r="2054" spans="2:24" x14ac:dyDescent="0.3">
      <c r="B2054" t="s">
        <v>2147</v>
      </c>
      <c r="C2054" t="s">
        <v>71</v>
      </c>
      <c r="D2054" t="s">
        <v>6</v>
      </c>
      <c r="E2054" t="s">
        <v>16</v>
      </c>
      <c r="F2054" t="s">
        <v>12</v>
      </c>
      <c r="G2054" t="s">
        <v>78</v>
      </c>
      <c r="H2054">
        <v>2026</v>
      </c>
      <c r="I2054">
        <v>3991</v>
      </c>
      <c r="J2054">
        <v>9.8000000000000007</v>
      </c>
      <c r="K2054" t="s">
        <v>23</v>
      </c>
      <c r="L2054">
        <v>4.8</v>
      </c>
      <c r="M2054">
        <v>10</v>
      </c>
      <c r="N2054">
        <v>1281</v>
      </c>
      <c r="O2054" t="s">
        <v>64</v>
      </c>
      <c r="P2054">
        <v>80.8</v>
      </c>
      <c r="Q2054" t="s">
        <v>65</v>
      </c>
      <c r="R2054">
        <v>75.3</v>
      </c>
      <c r="S2054">
        <v>-7.7</v>
      </c>
      <c r="T2054">
        <v>-9.1999999999999993</v>
      </c>
      <c r="U2054">
        <v>7.3</v>
      </c>
      <c r="V2054">
        <v>6.4</v>
      </c>
      <c r="W2054">
        <v>5.6</v>
      </c>
      <c r="X2054" t="s">
        <v>66</v>
      </c>
    </row>
    <row r="2055" spans="2:24" x14ac:dyDescent="0.3">
      <c r="B2055" t="s">
        <v>2148</v>
      </c>
      <c r="C2055" t="s">
        <v>106</v>
      </c>
      <c r="D2055" t="s">
        <v>8</v>
      </c>
      <c r="E2055" t="s">
        <v>17</v>
      </c>
      <c r="F2055" t="s">
        <v>12</v>
      </c>
      <c r="G2055" t="s">
        <v>54</v>
      </c>
      <c r="H2055">
        <v>2024</v>
      </c>
      <c r="I2055">
        <v>3442</v>
      </c>
      <c r="J2055">
        <v>4.7</v>
      </c>
      <c r="K2055" t="s">
        <v>21</v>
      </c>
      <c r="L2055">
        <v>14.9</v>
      </c>
      <c r="M2055">
        <v>9.6999999999999993</v>
      </c>
      <c r="N2055">
        <v>2404</v>
      </c>
      <c r="O2055" t="s">
        <v>55</v>
      </c>
      <c r="P2055">
        <v>74.400000000000006</v>
      </c>
      <c r="Q2055" t="s">
        <v>65</v>
      </c>
      <c r="R2055">
        <v>57</v>
      </c>
      <c r="S2055">
        <v>14</v>
      </c>
      <c r="T2055">
        <v>7.6</v>
      </c>
      <c r="U2055">
        <v>10</v>
      </c>
      <c r="V2055">
        <v>6.9</v>
      </c>
      <c r="W2055">
        <v>6.5</v>
      </c>
      <c r="X2055" t="s">
        <v>116</v>
      </c>
    </row>
    <row r="2056" spans="2:24" x14ac:dyDescent="0.3">
      <c r="B2056" t="s">
        <v>2149</v>
      </c>
      <c r="C2056" t="s">
        <v>27</v>
      </c>
      <c r="D2056" t="s">
        <v>2</v>
      </c>
      <c r="E2056" t="s">
        <v>17</v>
      </c>
      <c r="F2056" t="s">
        <v>9</v>
      </c>
      <c r="G2056" t="s">
        <v>63</v>
      </c>
      <c r="H2056">
        <v>2025</v>
      </c>
      <c r="I2056">
        <v>14865</v>
      </c>
      <c r="J2056">
        <v>28.5</v>
      </c>
      <c r="K2056" t="s">
        <v>25</v>
      </c>
      <c r="L2056">
        <v>4.5999999999999996</v>
      </c>
      <c r="M2056">
        <v>10</v>
      </c>
      <c r="N2056">
        <v>3287</v>
      </c>
      <c r="O2056" t="s">
        <v>64</v>
      </c>
      <c r="P2056">
        <v>61.2</v>
      </c>
      <c r="Q2056" t="s">
        <v>76</v>
      </c>
      <c r="R2056">
        <v>56</v>
      </c>
      <c r="S2056">
        <v>43.3</v>
      </c>
      <c r="T2056">
        <v>20</v>
      </c>
      <c r="U2056">
        <v>5.5</v>
      </c>
      <c r="V2056">
        <v>4.9000000000000004</v>
      </c>
      <c r="W2056">
        <v>3.5</v>
      </c>
      <c r="X2056" t="s">
        <v>66</v>
      </c>
    </row>
    <row r="2057" spans="2:24" x14ac:dyDescent="0.3">
      <c r="B2057" t="s">
        <v>2150</v>
      </c>
      <c r="C2057" t="s">
        <v>73</v>
      </c>
      <c r="D2057" t="s">
        <v>3</v>
      </c>
      <c r="E2057" t="s">
        <v>14</v>
      </c>
      <c r="F2057" t="s">
        <v>11</v>
      </c>
      <c r="G2057" t="s">
        <v>104</v>
      </c>
      <c r="H2057">
        <v>2024</v>
      </c>
      <c r="I2057">
        <v>5673</v>
      </c>
      <c r="J2057">
        <v>22.5</v>
      </c>
      <c r="K2057" t="s">
        <v>25</v>
      </c>
      <c r="L2057">
        <v>10.4</v>
      </c>
      <c r="M2057">
        <v>8.6999999999999993</v>
      </c>
      <c r="N2057">
        <v>669</v>
      </c>
      <c r="O2057" t="s">
        <v>64</v>
      </c>
      <c r="P2057">
        <v>67.599999999999994</v>
      </c>
      <c r="Q2057" t="s">
        <v>88</v>
      </c>
      <c r="R2057">
        <v>82.9</v>
      </c>
      <c r="S2057">
        <v>55.5</v>
      </c>
      <c r="T2057">
        <v>15.3</v>
      </c>
      <c r="U2057">
        <v>8.5</v>
      </c>
      <c r="V2057">
        <v>5.8</v>
      </c>
      <c r="W2057">
        <v>5.5</v>
      </c>
      <c r="X2057" t="s">
        <v>66</v>
      </c>
    </row>
    <row r="2058" spans="2:24" x14ac:dyDescent="0.3">
      <c r="B2058" t="s">
        <v>2151</v>
      </c>
      <c r="C2058" t="s">
        <v>73</v>
      </c>
      <c r="D2058" t="s">
        <v>3</v>
      </c>
      <c r="E2058" t="s">
        <v>19</v>
      </c>
      <c r="F2058" t="s">
        <v>10</v>
      </c>
      <c r="G2058" t="s">
        <v>60</v>
      </c>
      <c r="H2058">
        <v>2026</v>
      </c>
      <c r="I2058">
        <v>2434</v>
      </c>
      <c r="J2058">
        <v>3.8</v>
      </c>
      <c r="K2058" t="s">
        <v>25</v>
      </c>
      <c r="L2058">
        <v>7.7</v>
      </c>
      <c r="M2058">
        <v>2</v>
      </c>
      <c r="N2058">
        <v>1340</v>
      </c>
      <c r="O2058" t="s">
        <v>55</v>
      </c>
      <c r="P2058">
        <v>89.6</v>
      </c>
      <c r="Q2058" t="s">
        <v>88</v>
      </c>
      <c r="R2058">
        <v>-4.7</v>
      </c>
      <c r="S2058">
        <v>-8.1</v>
      </c>
      <c r="T2058">
        <v>-11.2</v>
      </c>
      <c r="U2058">
        <v>5</v>
      </c>
      <c r="V2058">
        <v>6.1</v>
      </c>
      <c r="W2058">
        <v>6.9</v>
      </c>
      <c r="X2058" t="s">
        <v>57</v>
      </c>
    </row>
    <row r="2059" spans="2:24" x14ac:dyDescent="0.3">
      <c r="B2059" t="s">
        <v>2152</v>
      </c>
      <c r="C2059" t="s">
        <v>27</v>
      </c>
      <c r="D2059" t="s">
        <v>2</v>
      </c>
      <c r="E2059" t="s">
        <v>19</v>
      </c>
      <c r="F2059" t="s">
        <v>12</v>
      </c>
      <c r="G2059" t="s">
        <v>104</v>
      </c>
      <c r="H2059">
        <v>2026</v>
      </c>
      <c r="I2059">
        <v>4429</v>
      </c>
      <c r="J2059">
        <v>27.3</v>
      </c>
      <c r="K2059" t="s">
        <v>24</v>
      </c>
      <c r="L2059">
        <v>5.8</v>
      </c>
      <c r="M2059">
        <v>8.6999999999999993</v>
      </c>
      <c r="N2059">
        <v>1277</v>
      </c>
      <c r="O2059" t="s">
        <v>75</v>
      </c>
      <c r="P2059">
        <v>25.4</v>
      </c>
      <c r="Q2059" t="s">
        <v>76</v>
      </c>
      <c r="R2059">
        <v>-25.8</v>
      </c>
      <c r="S2059">
        <v>27.6</v>
      </c>
      <c r="T2059">
        <v>-3.5</v>
      </c>
      <c r="U2059">
        <v>4.5</v>
      </c>
      <c r="V2059">
        <v>5.0999999999999996</v>
      </c>
      <c r="W2059">
        <v>4.7</v>
      </c>
      <c r="X2059" t="s">
        <v>66</v>
      </c>
    </row>
    <row r="2060" spans="2:24" x14ac:dyDescent="0.3">
      <c r="B2060" t="s">
        <v>2153</v>
      </c>
      <c r="C2060" t="s">
        <v>27</v>
      </c>
      <c r="D2060" t="s">
        <v>3</v>
      </c>
      <c r="E2060" t="s">
        <v>16</v>
      </c>
      <c r="F2060" t="s">
        <v>12</v>
      </c>
      <c r="G2060" t="s">
        <v>54</v>
      </c>
      <c r="H2060">
        <v>2025</v>
      </c>
      <c r="I2060">
        <v>91</v>
      </c>
      <c r="J2060">
        <v>4.7</v>
      </c>
      <c r="K2060" t="s">
        <v>25</v>
      </c>
      <c r="L2060">
        <v>2.9</v>
      </c>
      <c r="M2060">
        <v>4.7</v>
      </c>
      <c r="N2060">
        <v>1979</v>
      </c>
      <c r="O2060" t="s">
        <v>64</v>
      </c>
      <c r="P2060">
        <v>81</v>
      </c>
      <c r="Q2060" t="s">
        <v>86</v>
      </c>
      <c r="R2060">
        <v>-16.2</v>
      </c>
      <c r="S2060">
        <v>-2.5</v>
      </c>
      <c r="T2060">
        <v>0.3</v>
      </c>
      <c r="U2060">
        <v>3.5</v>
      </c>
      <c r="V2060">
        <v>4.5999999999999996</v>
      </c>
      <c r="W2060">
        <v>7.1</v>
      </c>
      <c r="X2060" t="s">
        <v>57</v>
      </c>
    </row>
    <row r="2061" spans="2:24" x14ac:dyDescent="0.3">
      <c r="B2061" t="s">
        <v>2154</v>
      </c>
      <c r="C2061" t="s">
        <v>71</v>
      </c>
      <c r="D2061" t="s">
        <v>6</v>
      </c>
      <c r="E2061" t="s">
        <v>16</v>
      </c>
      <c r="F2061" t="s">
        <v>10</v>
      </c>
      <c r="G2061" t="s">
        <v>54</v>
      </c>
      <c r="H2061">
        <v>2025</v>
      </c>
      <c r="I2061">
        <v>3567</v>
      </c>
      <c r="J2061">
        <v>2.5</v>
      </c>
      <c r="K2061" t="s">
        <v>24</v>
      </c>
      <c r="L2061">
        <v>15.1</v>
      </c>
      <c r="M2061">
        <v>6.7</v>
      </c>
      <c r="N2061">
        <v>1552</v>
      </c>
      <c r="O2061" t="s">
        <v>64</v>
      </c>
      <c r="P2061">
        <v>85.3</v>
      </c>
      <c r="Q2061" t="s">
        <v>79</v>
      </c>
      <c r="R2061">
        <v>70.3</v>
      </c>
      <c r="S2061">
        <v>-9.6</v>
      </c>
      <c r="T2061">
        <v>-7</v>
      </c>
      <c r="U2061">
        <v>9</v>
      </c>
      <c r="V2061">
        <v>8.1</v>
      </c>
      <c r="W2061">
        <v>7</v>
      </c>
      <c r="X2061" t="s">
        <v>116</v>
      </c>
    </row>
    <row r="2062" spans="2:24" x14ac:dyDescent="0.3">
      <c r="B2062" t="s">
        <v>2155</v>
      </c>
      <c r="C2062" t="s">
        <v>142</v>
      </c>
      <c r="D2062" t="s">
        <v>8</v>
      </c>
      <c r="E2062" t="s">
        <v>18</v>
      </c>
      <c r="F2062" t="s">
        <v>9</v>
      </c>
      <c r="G2062" t="s">
        <v>74</v>
      </c>
      <c r="H2062">
        <v>2025</v>
      </c>
      <c r="I2062">
        <v>2477</v>
      </c>
      <c r="J2062">
        <v>8.5</v>
      </c>
      <c r="K2062" t="s">
        <v>22</v>
      </c>
      <c r="L2062">
        <v>3.8</v>
      </c>
      <c r="M2062">
        <v>9.6999999999999993</v>
      </c>
      <c r="N2062">
        <v>1788</v>
      </c>
      <c r="O2062" t="s">
        <v>64</v>
      </c>
      <c r="P2062">
        <v>50.3</v>
      </c>
      <c r="Q2062" t="s">
        <v>79</v>
      </c>
      <c r="R2062">
        <v>72.3</v>
      </c>
      <c r="S2062">
        <v>24.5</v>
      </c>
      <c r="T2062">
        <v>11.3</v>
      </c>
      <c r="U2062">
        <v>4.5999999999999996</v>
      </c>
      <c r="V2062">
        <v>7.1</v>
      </c>
      <c r="W2062">
        <v>6.8</v>
      </c>
      <c r="X2062" t="s">
        <v>57</v>
      </c>
    </row>
    <row r="2063" spans="2:24" x14ac:dyDescent="0.3">
      <c r="B2063" t="s">
        <v>2156</v>
      </c>
      <c r="C2063" t="s">
        <v>83</v>
      </c>
      <c r="D2063" t="s">
        <v>4</v>
      </c>
      <c r="E2063" t="s">
        <v>16</v>
      </c>
      <c r="F2063" t="s">
        <v>10</v>
      </c>
      <c r="G2063" t="s">
        <v>115</v>
      </c>
      <c r="H2063">
        <v>2026</v>
      </c>
      <c r="I2063">
        <v>2356</v>
      </c>
      <c r="J2063">
        <v>8.6999999999999993</v>
      </c>
      <c r="K2063" t="s">
        <v>24</v>
      </c>
      <c r="L2063">
        <v>12.2</v>
      </c>
      <c r="M2063">
        <v>7.3</v>
      </c>
      <c r="N2063">
        <v>1602</v>
      </c>
      <c r="O2063" t="s">
        <v>55</v>
      </c>
      <c r="P2063">
        <v>89.9</v>
      </c>
      <c r="Q2063" t="s">
        <v>88</v>
      </c>
      <c r="R2063">
        <v>55.7</v>
      </c>
      <c r="S2063">
        <v>53.6</v>
      </c>
      <c r="T2063">
        <v>27.8</v>
      </c>
      <c r="U2063">
        <v>8.6999999999999993</v>
      </c>
      <c r="V2063">
        <v>9.1</v>
      </c>
      <c r="W2063">
        <v>6.9</v>
      </c>
      <c r="X2063" t="s">
        <v>116</v>
      </c>
    </row>
    <row r="2064" spans="2:24" x14ac:dyDescent="0.3">
      <c r="B2064" t="s">
        <v>2157</v>
      </c>
      <c r="C2064" t="s">
        <v>122</v>
      </c>
      <c r="D2064" t="s">
        <v>2</v>
      </c>
      <c r="E2064" t="s">
        <v>16</v>
      </c>
      <c r="F2064" t="s">
        <v>9</v>
      </c>
      <c r="G2064" t="s">
        <v>74</v>
      </c>
      <c r="H2064">
        <v>2025</v>
      </c>
      <c r="I2064">
        <v>18609</v>
      </c>
      <c r="J2064">
        <v>13.4</v>
      </c>
      <c r="K2064" t="s">
        <v>21</v>
      </c>
      <c r="L2064">
        <v>3.7</v>
      </c>
      <c r="M2064">
        <v>6.7</v>
      </c>
      <c r="N2064">
        <v>5385</v>
      </c>
      <c r="O2064" t="s">
        <v>55</v>
      </c>
      <c r="P2064">
        <v>24.5</v>
      </c>
      <c r="Q2064" t="s">
        <v>56</v>
      </c>
      <c r="R2064">
        <v>50.5</v>
      </c>
      <c r="S2064">
        <v>-11.8</v>
      </c>
      <c r="T2064">
        <v>-0.3</v>
      </c>
      <c r="U2064">
        <v>4.5999999999999996</v>
      </c>
      <c r="V2064">
        <v>7.4</v>
      </c>
      <c r="W2064">
        <v>4.2</v>
      </c>
      <c r="X2064" t="s">
        <v>66</v>
      </c>
    </row>
    <row r="2065" spans="2:24" x14ac:dyDescent="0.3">
      <c r="B2065" t="s">
        <v>2158</v>
      </c>
      <c r="C2065" t="s">
        <v>90</v>
      </c>
      <c r="D2065" t="s">
        <v>2</v>
      </c>
      <c r="E2065" t="s">
        <v>16</v>
      </c>
      <c r="F2065" t="s">
        <v>9</v>
      </c>
      <c r="G2065" t="s">
        <v>101</v>
      </c>
      <c r="H2065">
        <v>2026</v>
      </c>
      <c r="I2065">
        <v>866</v>
      </c>
      <c r="J2065">
        <v>7.2</v>
      </c>
      <c r="K2065" t="s">
        <v>24</v>
      </c>
      <c r="L2065">
        <v>3.1</v>
      </c>
      <c r="M2065">
        <v>3.4</v>
      </c>
      <c r="N2065">
        <v>6640</v>
      </c>
      <c r="O2065" t="s">
        <v>55</v>
      </c>
      <c r="P2065">
        <v>33.4</v>
      </c>
      <c r="Q2065" t="s">
        <v>56</v>
      </c>
      <c r="R2065">
        <v>-10</v>
      </c>
      <c r="S2065">
        <v>-16.100000000000001</v>
      </c>
      <c r="T2065">
        <v>-16.3</v>
      </c>
      <c r="U2065">
        <v>3.4</v>
      </c>
      <c r="V2065">
        <v>4.7</v>
      </c>
      <c r="W2065">
        <v>6.7</v>
      </c>
      <c r="X2065" t="s">
        <v>57</v>
      </c>
    </row>
    <row r="2066" spans="2:24" x14ac:dyDescent="0.3">
      <c r="B2066" t="s">
        <v>2159</v>
      </c>
      <c r="C2066" t="s">
        <v>106</v>
      </c>
      <c r="D2066" t="s">
        <v>4</v>
      </c>
      <c r="E2066" t="s">
        <v>16</v>
      </c>
      <c r="F2066" t="s">
        <v>11</v>
      </c>
      <c r="G2066" t="s">
        <v>112</v>
      </c>
      <c r="H2066">
        <v>2026</v>
      </c>
      <c r="I2066">
        <v>440</v>
      </c>
      <c r="J2066">
        <v>8.1</v>
      </c>
      <c r="K2066" t="s">
        <v>24</v>
      </c>
      <c r="L2066">
        <v>8.6</v>
      </c>
      <c r="M2066">
        <v>10</v>
      </c>
      <c r="N2066">
        <v>1420</v>
      </c>
      <c r="O2066" t="s">
        <v>55</v>
      </c>
      <c r="P2066">
        <v>45.8</v>
      </c>
      <c r="Q2066" t="s">
        <v>76</v>
      </c>
      <c r="R2066">
        <v>52.7</v>
      </c>
      <c r="S2066">
        <v>59.4</v>
      </c>
      <c r="T2066">
        <v>32.200000000000003</v>
      </c>
      <c r="U2066">
        <v>9.8000000000000007</v>
      </c>
      <c r="V2066">
        <v>9.4</v>
      </c>
      <c r="W2066">
        <v>7.9</v>
      </c>
      <c r="X2066" t="s">
        <v>57</v>
      </c>
    </row>
    <row r="2067" spans="2:24" x14ac:dyDescent="0.3">
      <c r="B2067" t="s">
        <v>2160</v>
      </c>
      <c r="C2067" t="s">
        <v>53</v>
      </c>
      <c r="D2067" t="s">
        <v>7</v>
      </c>
      <c r="E2067" t="s">
        <v>14</v>
      </c>
      <c r="F2067" t="s">
        <v>11</v>
      </c>
      <c r="G2067" t="s">
        <v>60</v>
      </c>
      <c r="H2067">
        <v>2025</v>
      </c>
      <c r="I2067">
        <v>2091</v>
      </c>
      <c r="J2067">
        <v>22.5</v>
      </c>
      <c r="K2067" t="s">
        <v>24</v>
      </c>
      <c r="L2067">
        <v>7.5</v>
      </c>
      <c r="M2067">
        <v>10</v>
      </c>
      <c r="N2067">
        <v>1715</v>
      </c>
      <c r="O2067" t="s">
        <v>64</v>
      </c>
      <c r="P2067">
        <v>88</v>
      </c>
      <c r="Q2067" t="s">
        <v>84</v>
      </c>
      <c r="R2067">
        <v>7.2</v>
      </c>
      <c r="S2067">
        <v>23.6</v>
      </c>
      <c r="T2067">
        <v>12.3</v>
      </c>
      <c r="U2067">
        <v>5.2</v>
      </c>
      <c r="V2067">
        <v>5.2</v>
      </c>
      <c r="W2067">
        <v>3.9</v>
      </c>
      <c r="X2067" t="s">
        <v>66</v>
      </c>
    </row>
    <row r="2068" spans="2:24" x14ac:dyDescent="0.3">
      <c r="B2068" t="s">
        <v>2161</v>
      </c>
      <c r="C2068" t="s">
        <v>90</v>
      </c>
      <c r="D2068" t="s">
        <v>3</v>
      </c>
      <c r="E2068" t="s">
        <v>14</v>
      </c>
      <c r="F2068" t="s">
        <v>10</v>
      </c>
      <c r="G2068" t="s">
        <v>63</v>
      </c>
      <c r="H2068">
        <v>2024</v>
      </c>
      <c r="I2068">
        <v>5116</v>
      </c>
      <c r="J2068">
        <v>8.9</v>
      </c>
      <c r="K2068" t="s">
        <v>23</v>
      </c>
      <c r="L2068">
        <v>2.7</v>
      </c>
      <c r="M2068">
        <v>5.2</v>
      </c>
      <c r="N2068">
        <v>3795</v>
      </c>
      <c r="O2068" t="s">
        <v>55</v>
      </c>
      <c r="P2068">
        <v>33.200000000000003</v>
      </c>
      <c r="Q2068" t="s">
        <v>76</v>
      </c>
      <c r="R2068">
        <v>-41.3</v>
      </c>
      <c r="S2068">
        <v>-24.8</v>
      </c>
      <c r="T2068">
        <v>-13.1</v>
      </c>
      <c r="U2068">
        <v>3.2</v>
      </c>
      <c r="V2068">
        <v>7.3</v>
      </c>
      <c r="W2068">
        <v>4.4000000000000004</v>
      </c>
      <c r="X2068" t="s">
        <v>116</v>
      </c>
    </row>
    <row r="2069" spans="2:24" x14ac:dyDescent="0.3">
      <c r="B2069" t="s">
        <v>2162</v>
      </c>
      <c r="C2069" t="s">
        <v>73</v>
      </c>
      <c r="D2069" t="s">
        <v>3</v>
      </c>
      <c r="E2069" t="s">
        <v>17</v>
      </c>
      <c r="F2069" t="s">
        <v>12</v>
      </c>
      <c r="G2069" t="s">
        <v>101</v>
      </c>
      <c r="H2069">
        <v>2026</v>
      </c>
      <c r="I2069">
        <v>3021</v>
      </c>
      <c r="J2069">
        <v>16.899999999999999</v>
      </c>
      <c r="K2069" t="s">
        <v>23</v>
      </c>
      <c r="L2069">
        <v>3</v>
      </c>
      <c r="M2069">
        <v>4.7</v>
      </c>
      <c r="N2069">
        <v>1025</v>
      </c>
      <c r="O2069" t="s">
        <v>75</v>
      </c>
      <c r="P2069">
        <v>12.7</v>
      </c>
      <c r="Q2069" t="s">
        <v>76</v>
      </c>
      <c r="R2069">
        <v>36.5</v>
      </c>
      <c r="S2069">
        <v>37.700000000000003</v>
      </c>
      <c r="T2069">
        <v>3.6</v>
      </c>
      <c r="U2069">
        <v>2.4</v>
      </c>
      <c r="V2069">
        <v>6.8</v>
      </c>
      <c r="W2069">
        <v>6.6</v>
      </c>
      <c r="X2069" t="s">
        <v>116</v>
      </c>
    </row>
    <row r="2070" spans="2:24" x14ac:dyDescent="0.3">
      <c r="B2070" t="s">
        <v>2163</v>
      </c>
      <c r="C2070" t="s">
        <v>92</v>
      </c>
      <c r="D2070" t="s">
        <v>7</v>
      </c>
      <c r="E2070" t="s">
        <v>18</v>
      </c>
      <c r="F2070" t="s">
        <v>10</v>
      </c>
      <c r="G2070" t="s">
        <v>115</v>
      </c>
      <c r="H2070">
        <v>2025</v>
      </c>
      <c r="I2070">
        <v>2547</v>
      </c>
      <c r="J2070">
        <v>3.1</v>
      </c>
      <c r="K2070" t="s">
        <v>24</v>
      </c>
      <c r="L2070">
        <v>3.7</v>
      </c>
      <c r="M2070">
        <v>3.5</v>
      </c>
      <c r="N2070">
        <v>5945</v>
      </c>
      <c r="O2070" t="s">
        <v>55</v>
      </c>
      <c r="P2070">
        <v>81.5</v>
      </c>
      <c r="Q2070" t="s">
        <v>86</v>
      </c>
      <c r="R2070">
        <v>-0.1</v>
      </c>
      <c r="S2070">
        <v>7.8</v>
      </c>
      <c r="T2070">
        <v>-4.5</v>
      </c>
      <c r="U2070">
        <v>4.2</v>
      </c>
      <c r="V2070">
        <v>8.6999999999999993</v>
      </c>
      <c r="W2070">
        <v>6.8</v>
      </c>
      <c r="X2070" t="s">
        <v>116</v>
      </c>
    </row>
    <row r="2071" spans="2:24" x14ac:dyDescent="0.3">
      <c r="B2071" t="s">
        <v>2164</v>
      </c>
      <c r="C2071" t="s">
        <v>53</v>
      </c>
      <c r="D2071" t="s">
        <v>7</v>
      </c>
      <c r="E2071" t="s">
        <v>15</v>
      </c>
      <c r="F2071" t="s">
        <v>11</v>
      </c>
      <c r="G2071" t="s">
        <v>112</v>
      </c>
      <c r="H2071">
        <v>2025</v>
      </c>
      <c r="I2071">
        <v>2345</v>
      </c>
      <c r="J2071">
        <v>5.7</v>
      </c>
      <c r="K2071" t="s">
        <v>23</v>
      </c>
      <c r="L2071">
        <v>8.6999999999999993</v>
      </c>
      <c r="M2071">
        <v>9.6999999999999993</v>
      </c>
      <c r="N2071">
        <v>1212</v>
      </c>
      <c r="O2071" t="s">
        <v>55</v>
      </c>
      <c r="P2071">
        <v>50.2</v>
      </c>
      <c r="Q2071" t="s">
        <v>86</v>
      </c>
      <c r="R2071">
        <v>11.5</v>
      </c>
      <c r="S2071">
        <v>6.9</v>
      </c>
      <c r="T2071">
        <v>7</v>
      </c>
      <c r="U2071">
        <v>8.6999999999999993</v>
      </c>
      <c r="V2071">
        <v>6.2</v>
      </c>
      <c r="W2071">
        <v>5.9</v>
      </c>
      <c r="X2071" t="s">
        <v>57</v>
      </c>
    </row>
    <row r="2072" spans="2:24" x14ac:dyDescent="0.3">
      <c r="B2072" t="s">
        <v>2165</v>
      </c>
      <c r="C2072" t="s">
        <v>53</v>
      </c>
      <c r="D2072" t="s">
        <v>4</v>
      </c>
      <c r="E2072" t="s">
        <v>16</v>
      </c>
      <c r="F2072" t="s">
        <v>12</v>
      </c>
      <c r="G2072" t="s">
        <v>115</v>
      </c>
      <c r="H2072">
        <v>2024</v>
      </c>
      <c r="I2072">
        <v>252</v>
      </c>
      <c r="J2072">
        <v>14.8</v>
      </c>
      <c r="K2072" t="s">
        <v>22</v>
      </c>
      <c r="L2072">
        <v>5.2</v>
      </c>
      <c r="M2072">
        <v>10</v>
      </c>
      <c r="N2072">
        <v>5061</v>
      </c>
      <c r="O2072" t="s">
        <v>64</v>
      </c>
      <c r="P2072">
        <v>84.7</v>
      </c>
      <c r="Q2072" t="s">
        <v>84</v>
      </c>
      <c r="R2072">
        <v>88.7</v>
      </c>
      <c r="S2072">
        <v>53.1</v>
      </c>
      <c r="T2072">
        <v>27.4</v>
      </c>
      <c r="U2072">
        <v>7</v>
      </c>
      <c r="V2072">
        <v>7.5</v>
      </c>
      <c r="W2072">
        <v>5.5</v>
      </c>
      <c r="X2072" t="s">
        <v>116</v>
      </c>
    </row>
    <row r="2073" spans="2:24" x14ac:dyDescent="0.3">
      <c r="B2073" t="s">
        <v>2166</v>
      </c>
      <c r="C2073" t="s">
        <v>106</v>
      </c>
      <c r="D2073" t="s">
        <v>7</v>
      </c>
      <c r="E2073" t="s">
        <v>14</v>
      </c>
      <c r="F2073" t="s">
        <v>9</v>
      </c>
      <c r="G2073" t="s">
        <v>69</v>
      </c>
      <c r="H2073">
        <v>2026</v>
      </c>
      <c r="I2073">
        <v>2934</v>
      </c>
      <c r="J2073">
        <v>5.6</v>
      </c>
      <c r="K2073" t="s">
        <v>22</v>
      </c>
      <c r="L2073">
        <v>3</v>
      </c>
      <c r="M2073">
        <v>4.9000000000000004</v>
      </c>
      <c r="N2073">
        <v>5231</v>
      </c>
      <c r="O2073" t="s">
        <v>55</v>
      </c>
      <c r="P2073">
        <v>52.3</v>
      </c>
      <c r="Q2073" t="s">
        <v>79</v>
      </c>
      <c r="R2073">
        <v>-28</v>
      </c>
      <c r="S2073">
        <v>42.8</v>
      </c>
      <c r="T2073">
        <v>21.8</v>
      </c>
      <c r="U2073">
        <v>1.8</v>
      </c>
      <c r="V2073">
        <v>8.6</v>
      </c>
      <c r="W2073">
        <v>7.2</v>
      </c>
      <c r="X2073" t="s">
        <v>116</v>
      </c>
    </row>
    <row r="2074" spans="2:24" x14ac:dyDescent="0.3">
      <c r="B2074" t="s">
        <v>2167</v>
      </c>
      <c r="C2074" t="s">
        <v>53</v>
      </c>
      <c r="D2074" t="s">
        <v>3</v>
      </c>
      <c r="E2074" t="s">
        <v>16</v>
      </c>
      <c r="F2074" t="s">
        <v>11</v>
      </c>
      <c r="G2074" t="s">
        <v>78</v>
      </c>
      <c r="H2074">
        <v>2026</v>
      </c>
      <c r="I2074">
        <v>436</v>
      </c>
      <c r="J2074">
        <v>5.5</v>
      </c>
      <c r="K2074" t="s">
        <v>25</v>
      </c>
      <c r="L2074">
        <v>2</v>
      </c>
      <c r="M2074">
        <v>2.9</v>
      </c>
      <c r="N2074">
        <v>3157</v>
      </c>
      <c r="O2074" t="s">
        <v>55</v>
      </c>
      <c r="P2074">
        <v>24.2</v>
      </c>
      <c r="Q2074" t="s">
        <v>65</v>
      </c>
      <c r="R2074">
        <v>21.9</v>
      </c>
      <c r="S2074">
        <v>-22.3</v>
      </c>
      <c r="T2074">
        <v>-0.9</v>
      </c>
      <c r="U2074">
        <v>1.9</v>
      </c>
      <c r="V2074">
        <v>6.7</v>
      </c>
      <c r="W2074">
        <v>5.3</v>
      </c>
      <c r="X2074" t="s">
        <v>57</v>
      </c>
    </row>
    <row r="2075" spans="2:24" x14ac:dyDescent="0.3">
      <c r="B2075" t="s">
        <v>2168</v>
      </c>
      <c r="C2075" t="s">
        <v>71</v>
      </c>
      <c r="D2075" t="s">
        <v>5</v>
      </c>
      <c r="E2075" t="s">
        <v>14</v>
      </c>
      <c r="F2075" t="s">
        <v>11</v>
      </c>
      <c r="G2075" t="s">
        <v>60</v>
      </c>
      <c r="H2075">
        <v>2024</v>
      </c>
      <c r="I2075">
        <v>1892</v>
      </c>
      <c r="J2075">
        <v>0.1</v>
      </c>
      <c r="K2075" t="s">
        <v>22</v>
      </c>
      <c r="L2075">
        <v>5.4</v>
      </c>
      <c r="M2075">
        <v>1.7</v>
      </c>
      <c r="N2075">
        <v>2948</v>
      </c>
      <c r="O2075" t="s">
        <v>55</v>
      </c>
      <c r="P2075">
        <v>68.099999999999994</v>
      </c>
      <c r="Q2075" t="s">
        <v>88</v>
      </c>
      <c r="R2075">
        <v>-23.9</v>
      </c>
      <c r="S2075">
        <v>-9.3000000000000007</v>
      </c>
      <c r="T2075">
        <v>2.5</v>
      </c>
      <c r="U2075">
        <v>3.2</v>
      </c>
      <c r="V2075">
        <v>8.6999999999999993</v>
      </c>
      <c r="W2075">
        <v>7.3</v>
      </c>
      <c r="X2075" t="s">
        <v>57</v>
      </c>
    </row>
    <row r="2076" spans="2:24" x14ac:dyDescent="0.3">
      <c r="B2076" t="s">
        <v>2169</v>
      </c>
      <c r="C2076" t="s">
        <v>142</v>
      </c>
      <c r="D2076" t="s">
        <v>8</v>
      </c>
      <c r="E2076" t="s">
        <v>19</v>
      </c>
      <c r="F2076" t="s">
        <v>10</v>
      </c>
      <c r="G2076" t="s">
        <v>115</v>
      </c>
      <c r="H2076">
        <v>2024</v>
      </c>
      <c r="I2076">
        <v>3692</v>
      </c>
      <c r="J2076">
        <v>15.7</v>
      </c>
      <c r="K2076" t="s">
        <v>24</v>
      </c>
      <c r="L2076">
        <v>9.6999999999999993</v>
      </c>
      <c r="M2076">
        <v>10</v>
      </c>
      <c r="N2076">
        <v>3183</v>
      </c>
      <c r="O2076" t="s">
        <v>64</v>
      </c>
      <c r="P2076">
        <v>87.7</v>
      </c>
      <c r="Q2076" t="s">
        <v>125</v>
      </c>
      <c r="R2076">
        <v>67</v>
      </c>
      <c r="S2076">
        <v>42.9</v>
      </c>
      <c r="T2076">
        <v>14.8</v>
      </c>
      <c r="U2076">
        <v>7.6</v>
      </c>
      <c r="V2076">
        <v>8.4</v>
      </c>
      <c r="W2076">
        <v>5.2</v>
      </c>
      <c r="X2076" t="s">
        <v>116</v>
      </c>
    </row>
    <row r="2077" spans="2:24" x14ac:dyDescent="0.3">
      <c r="B2077" t="s">
        <v>2170</v>
      </c>
      <c r="C2077" t="s">
        <v>137</v>
      </c>
      <c r="D2077" t="s">
        <v>4</v>
      </c>
      <c r="E2077" t="s">
        <v>18</v>
      </c>
      <c r="F2077" t="s">
        <v>12</v>
      </c>
      <c r="G2077" t="s">
        <v>131</v>
      </c>
      <c r="H2077">
        <v>2025</v>
      </c>
      <c r="I2077">
        <v>3468</v>
      </c>
      <c r="J2077">
        <v>12.1</v>
      </c>
      <c r="K2077" t="s">
        <v>21</v>
      </c>
      <c r="L2077">
        <v>8.1</v>
      </c>
      <c r="M2077">
        <v>7.4</v>
      </c>
      <c r="N2077">
        <v>2630</v>
      </c>
      <c r="O2077" t="s">
        <v>64</v>
      </c>
      <c r="P2077">
        <v>79.099999999999994</v>
      </c>
      <c r="Q2077" t="s">
        <v>76</v>
      </c>
      <c r="R2077">
        <v>21</v>
      </c>
      <c r="S2077">
        <v>14.1</v>
      </c>
      <c r="T2077">
        <v>0.8</v>
      </c>
      <c r="U2077">
        <v>5.8</v>
      </c>
      <c r="V2077">
        <v>8</v>
      </c>
      <c r="W2077">
        <v>6.5</v>
      </c>
      <c r="X2077" t="s">
        <v>116</v>
      </c>
    </row>
    <row r="2078" spans="2:24" x14ac:dyDescent="0.3">
      <c r="B2078" t="s">
        <v>2171</v>
      </c>
      <c r="C2078" t="s">
        <v>94</v>
      </c>
      <c r="D2078" t="s">
        <v>6</v>
      </c>
      <c r="E2078" t="s">
        <v>15</v>
      </c>
      <c r="F2078" t="s">
        <v>9</v>
      </c>
      <c r="G2078" t="s">
        <v>78</v>
      </c>
      <c r="H2078">
        <v>2025</v>
      </c>
      <c r="I2078">
        <v>2773</v>
      </c>
      <c r="J2078">
        <v>3.3</v>
      </c>
      <c r="K2078" t="s">
        <v>24</v>
      </c>
      <c r="L2078">
        <v>1.5</v>
      </c>
      <c r="M2078">
        <v>3</v>
      </c>
      <c r="N2078">
        <v>772</v>
      </c>
      <c r="O2078" t="s">
        <v>64</v>
      </c>
      <c r="P2078">
        <v>86.1</v>
      </c>
      <c r="Q2078" t="s">
        <v>125</v>
      </c>
      <c r="R2078">
        <v>54.1</v>
      </c>
      <c r="S2078">
        <v>11.6</v>
      </c>
      <c r="T2078">
        <v>10.6</v>
      </c>
      <c r="U2078">
        <v>2.2000000000000002</v>
      </c>
      <c r="V2078">
        <v>5.8</v>
      </c>
      <c r="W2078">
        <v>8</v>
      </c>
      <c r="X2078" t="s">
        <v>116</v>
      </c>
    </row>
    <row r="2079" spans="2:24" x14ac:dyDescent="0.3">
      <c r="B2079" t="s">
        <v>2172</v>
      </c>
      <c r="C2079" t="s">
        <v>53</v>
      </c>
      <c r="D2079" t="s">
        <v>3</v>
      </c>
      <c r="E2079" t="s">
        <v>17</v>
      </c>
      <c r="F2079" t="s">
        <v>12</v>
      </c>
      <c r="G2079" t="s">
        <v>101</v>
      </c>
      <c r="H2079">
        <v>2024</v>
      </c>
      <c r="I2079">
        <v>14476</v>
      </c>
      <c r="J2079">
        <v>19.5</v>
      </c>
      <c r="K2079" t="s">
        <v>21</v>
      </c>
      <c r="L2079">
        <v>2.1</v>
      </c>
      <c r="M2079">
        <v>5.3</v>
      </c>
      <c r="N2079">
        <v>1480</v>
      </c>
      <c r="O2079" t="s">
        <v>75</v>
      </c>
      <c r="P2079">
        <v>55.8</v>
      </c>
      <c r="Q2079" t="s">
        <v>84</v>
      </c>
      <c r="R2079">
        <v>49.2</v>
      </c>
      <c r="S2079">
        <v>55.5</v>
      </c>
      <c r="T2079">
        <v>26.4</v>
      </c>
      <c r="U2079">
        <v>1.6</v>
      </c>
      <c r="V2079">
        <v>7.7</v>
      </c>
      <c r="W2079">
        <v>5.8</v>
      </c>
      <c r="X2079" t="s">
        <v>66</v>
      </c>
    </row>
    <row r="2080" spans="2:24" x14ac:dyDescent="0.3">
      <c r="B2080" t="s">
        <v>2173</v>
      </c>
      <c r="C2080" t="s">
        <v>90</v>
      </c>
      <c r="D2080" t="s">
        <v>3</v>
      </c>
      <c r="E2080" t="s">
        <v>14</v>
      </c>
      <c r="F2080" t="s">
        <v>10</v>
      </c>
      <c r="G2080" t="s">
        <v>115</v>
      </c>
      <c r="H2080">
        <v>2026</v>
      </c>
      <c r="I2080">
        <v>1149</v>
      </c>
      <c r="J2080">
        <v>1.3</v>
      </c>
      <c r="K2080" t="s">
        <v>22</v>
      </c>
      <c r="L2080">
        <v>13.2</v>
      </c>
      <c r="M2080">
        <v>5.8</v>
      </c>
      <c r="N2080">
        <v>5176</v>
      </c>
      <c r="O2080" t="s">
        <v>118</v>
      </c>
      <c r="P2080">
        <v>30.3</v>
      </c>
      <c r="Q2080" t="s">
        <v>88</v>
      </c>
      <c r="R2080">
        <v>64.2</v>
      </c>
      <c r="S2080">
        <v>50.6</v>
      </c>
      <c r="T2080">
        <v>16.899999999999999</v>
      </c>
      <c r="U2080">
        <v>8.6999999999999993</v>
      </c>
      <c r="V2080">
        <v>7.9</v>
      </c>
      <c r="W2080">
        <v>7.7</v>
      </c>
      <c r="X2080" t="s">
        <v>57</v>
      </c>
    </row>
    <row r="2081" spans="2:24" x14ac:dyDescent="0.3">
      <c r="B2081" t="s">
        <v>2174</v>
      </c>
      <c r="C2081" t="s">
        <v>53</v>
      </c>
      <c r="D2081" t="s">
        <v>4</v>
      </c>
      <c r="E2081" t="s">
        <v>15</v>
      </c>
      <c r="F2081" t="s">
        <v>10</v>
      </c>
      <c r="G2081" t="s">
        <v>74</v>
      </c>
      <c r="H2081">
        <v>2025</v>
      </c>
      <c r="I2081">
        <v>1015</v>
      </c>
      <c r="J2081">
        <v>0.5</v>
      </c>
      <c r="K2081" t="s">
        <v>23</v>
      </c>
      <c r="L2081">
        <v>4.4000000000000004</v>
      </c>
      <c r="M2081">
        <v>5.8</v>
      </c>
      <c r="N2081">
        <v>5547</v>
      </c>
      <c r="O2081" t="s">
        <v>55</v>
      </c>
      <c r="P2081">
        <v>55.7</v>
      </c>
      <c r="Q2081" t="s">
        <v>84</v>
      </c>
      <c r="R2081">
        <v>34.6</v>
      </c>
      <c r="S2081">
        <v>-16.7</v>
      </c>
      <c r="T2081">
        <v>-7.7</v>
      </c>
      <c r="U2081">
        <v>2.9</v>
      </c>
      <c r="V2081">
        <v>5.8</v>
      </c>
      <c r="W2081">
        <v>6</v>
      </c>
      <c r="X2081" t="s">
        <v>57</v>
      </c>
    </row>
    <row r="2082" spans="2:24" x14ac:dyDescent="0.3">
      <c r="B2082" t="s">
        <v>2175</v>
      </c>
      <c r="C2082" t="s">
        <v>53</v>
      </c>
      <c r="D2082" t="s">
        <v>4</v>
      </c>
      <c r="E2082" t="s">
        <v>16</v>
      </c>
      <c r="F2082" t="s">
        <v>10</v>
      </c>
      <c r="G2082" t="s">
        <v>69</v>
      </c>
      <c r="H2082">
        <v>2024</v>
      </c>
      <c r="I2082">
        <v>9494</v>
      </c>
      <c r="J2082">
        <v>18.8</v>
      </c>
      <c r="K2082" t="s">
        <v>25</v>
      </c>
      <c r="L2082">
        <v>9.8000000000000007</v>
      </c>
      <c r="M2082">
        <v>10</v>
      </c>
      <c r="N2082">
        <v>1074</v>
      </c>
      <c r="O2082" t="s">
        <v>64</v>
      </c>
      <c r="P2082">
        <v>57.1</v>
      </c>
      <c r="Q2082" t="s">
        <v>76</v>
      </c>
      <c r="R2082">
        <v>84.4</v>
      </c>
      <c r="S2082">
        <v>25.8</v>
      </c>
      <c r="T2082">
        <v>7</v>
      </c>
      <c r="U2082">
        <v>7.3</v>
      </c>
      <c r="V2082">
        <v>7.4</v>
      </c>
      <c r="W2082">
        <v>5.4</v>
      </c>
      <c r="X2082" t="s">
        <v>66</v>
      </c>
    </row>
    <row r="2083" spans="2:24" x14ac:dyDescent="0.3">
      <c r="B2083" t="s">
        <v>2176</v>
      </c>
      <c r="C2083" t="s">
        <v>53</v>
      </c>
      <c r="D2083" t="s">
        <v>4</v>
      </c>
      <c r="E2083" t="s">
        <v>18</v>
      </c>
      <c r="F2083" t="s">
        <v>10</v>
      </c>
      <c r="G2083" t="s">
        <v>112</v>
      </c>
      <c r="H2083">
        <v>2026</v>
      </c>
      <c r="I2083">
        <v>1052</v>
      </c>
      <c r="J2083">
        <v>1</v>
      </c>
      <c r="K2083" t="s">
        <v>22</v>
      </c>
      <c r="L2083">
        <v>9.6999999999999993</v>
      </c>
      <c r="M2083">
        <v>8.6999999999999993</v>
      </c>
      <c r="N2083">
        <v>2319</v>
      </c>
      <c r="O2083" t="s">
        <v>55</v>
      </c>
      <c r="P2083">
        <v>55.6</v>
      </c>
      <c r="Q2083" t="s">
        <v>88</v>
      </c>
      <c r="R2083">
        <v>8.6999999999999993</v>
      </c>
      <c r="S2083">
        <v>50.7</v>
      </c>
      <c r="T2083">
        <v>30.7</v>
      </c>
      <c r="U2083">
        <v>9.5</v>
      </c>
      <c r="V2083">
        <v>8.6999999999999993</v>
      </c>
      <c r="W2083">
        <v>8</v>
      </c>
      <c r="X2083" t="s">
        <v>57</v>
      </c>
    </row>
    <row r="2084" spans="2:24" x14ac:dyDescent="0.3">
      <c r="B2084" t="s">
        <v>2177</v>
      </c>
      <c r="C2084" t="s">
        <v>68</v>
      </c>
      <c r="D2084" t="s">
        <v>8</v>
      </c>
      <c r="E2084" t="s">
        <v>18</v>
      </c>
      <c r="F2084" t="s">
        <v>10</v>
      </c>
      <c r="G2084" t="s">
        <v>115</v>
      </c>
      <c r="H2084">
        <v>2025</v>
      </c>
      <c r="I2084">
        <v>1435</v>
      </c>
      <c r="J2084">
        <v>9.6</v>
      </c>
      <c r="K2084" t="s">
        <v>25</v>
      </c>
      <c r="L2084">
        <v>4.3</v>
      </c>
      <c r="M2084">
        <v>5.8</v>
      </c>
      <c r="N2084">
        <v>4690</v>
      </c>
      <c r="O2084" t="s">
        <v>64</v>
      </c>
      <c r="P2084">
        <v>30.7</v>
      </c>
      <c r="Q2084" t="s">
        <v>86</v>
      </c>
      <c r="R2084">
        <v>75.900000000000006</v>
      </c>
      <c r="S2084">
        <v>55.7</v>
      </c>
      <c r="T2084">
        <v>16.3</v>
      </c>
      <c r="U2084">
        <v>4</v>
      </c>
      <c r="V2084">
        <v>9.8000000000000007</v>
      </c>
      <c r="W2084">
        <v>7.7</v>
      </c>
      <c r="X2084" t="s">
        <v>116</v>
      </c>
    </row>
    <row r="2085" spans="2:24" x14ac:dyDescent="0.3">
      <c r="B2085" t="s">
        <v>2178</v>
      </c>
      <c r="C2085" t="s">
        <v>100</v>
      </c>
      <c r="D2085" t="s">
        <v>3</v>
      </c>
      <c r="E2085" t="s">
        <v>16</v>
      </c>
      <c r="F2085" t="s">
        <v>12</v>
      </c>
      <c r="G2085" t="s">
        <v>98</v>
      </c>
      <c r="H2085">
        <v>2024</v>
      </c>
      <c r="I2085">
        <v>4393</v>
      </c>
      <c r="J2085">
        <v>17</v>
      </c>
      <c r="K2085" t="s">
        <v>25</v>
      </c>
      <c r="L2085">
        <v>2.4</v>
      </c>
      <c r="M2085">
        <v>6.6</v>
      </c>
      <c r="N2085">
        <v>719</v>
      </c>
      <c r="O2085" t="s">
        <v>64</v>
      </c>
      <c r="P2085">
        <v>83</v>
      </c>
      <c r="Q2085" t="s">
        <v>88</v>
      </c>
      <c r="R2085">
        <v>-36.6</v>
      </c>
      <c r="S2085">
        <v>13.2</v>
      </c>
      <c r="T2085">
        <v>-0.9</v>
      </c>
      <c r="U2085">
        <v>2.7</v>
      </c>
      <c r="V2085">
        <v>4.2</v>
      </c>
      <c r="W2085">
        <v>6.2</v>
      </c>
      <c r="X2085" t="s">
        <v>116</v>
      </c>
    </row>
    <row r="2086" spans="2:24" x14ac:dyDescent="0.3">
      <c r="B2086" t="s">
        <v>2179</v>
      </c>
      <c r="C2086" t="s">
        <v>81</v>
      </c>
      <c r="D2086" t="s">
        <v>5</v>
      </c>
      <c r="E2086" t="s">
        <v>16</v>
      </c>
      <c r="F2086" t="s">
        <v>11</v>
      </c>
      <c r="G2086" t="s">
        <v>63</v>
      </c>
      <c r="H2086">
        <v>2025</v>
      </c>
      <c r="I2086">
        <v>555</v>
      </c>
      <c r="J2086">
        <v>6.4</v>
      </c>
      <c r="K2086" t="s">
        <v>23</v>
      </c>
      <c r="L2086">
        <v>3.8</v>
      </c>
      <c r="M2086">
        <v>4.8</v>
      </c>
      <c r="N2086">
        <v>3985</v>
      </c>
      <c r="O2086" t="s">
        <v>55</v>
      </c>
      <c r="P2086">
        <v>66.599999999999994</v>
      </c>
      <c r="Q2086" t="s">
        <v>86</v>
      </c>
      <c r="R2086">
        <v>43.3</v>
      </c>
      <c r="S2086">
        <v>25.1</v>
      </c>
      <c r="T2086">
        <v>13.5</v>
      </c>
      <c r="U2086">
        <v>5.2</v>
      </c>
      <c r="V2086">
        <v>8.3000000000000007</v>
      </c>
      <c r="W2086">
        <v>6.3</v>
      </c>
      <c r="X2086" t="s">
        <v>57</v>
      </c>
    </row>
    <row r="2087" spans="2:24" x14ac:dyDescent="0.3">
      <c r="B2087" t="s">
        <v>2180</v>
      </c>
      <c r="C2087" t="s">
        <v>81</v>
      </c>
      <c r="D2087" t="s">
        <v>5</v>
      </c>
      <c r="E2087" t="s">
        <v>19</v>
      </c>
      <c r="F2087" t="s">
        <v>10</v>
      </c>
      <c r="G2087" t="s">
        <v>78</v>
      </c>
      <c r="H2087">
        <v>2026</v>
      </c>
      <c r="I2087">
        <v>228</v>
      </c>
      <c r="J2087">
        <v>11.4</v>
      </c>
      <c r="K2087" t="s">
        <v>21</v>
      </c>
      <c r="L2087">
        <v>8.1</v>
      </c>
      <c r="M2087">
        <v>10</v>
      </c>
      <c r="N2087">
        <v>1475</v>
      </c>
      <c r="O2087" t="s">
        <v>64</v>
      </c>
      <c r="P2087">
        <v>60.1</v>
      </c>
      <c r="Q2087" t="s">
        <v>65</v>
      </c>
      <c r="R2087">
        <v>29.8</v>
      </c>
      <c r="S2087">
        <v>-24.7</v>
      </c>
      <c r="T2087">
        <v>-10.9</v>
      </c>
      <c r="U2087">
        <v>7.6</v>
      </c>
      <c r="V2087">
        <v>4</v>
      </c>
      <c r="W2087">
        <v>5.0999999999999996</v>
      </c>
      <c r="X2087" t="s">
        <v>116</v>
      </c>
    </row>
    <row r="2088" spans="2:24" x14ac:dyDescent="0.3">
      <c r="B2088" t="s">
        <v>2181</v>
      </c>
      <c r="C2088" t="s">
        <v>53</v>
      </c>
      <c r="D2088" t="s">
        <v>7</v>
      </c>
      <c r="E2088" t="s">
        <v>14</v>
      </c>
      <c r="F2088" t="s">
        <v>11</v>
      </c>
      <c r="G2088" t="s">
        <v>101</v>
      </c>
      <c r="H2088">
        <v>2024</v>
      </c>
      <c r="I2088">
        <v>6870</v>
      </c>
      <c r="J2088">
        <v>8.9</v>
      </c>
      <c r="K2088" t="s">
        <v>23</v>
      </c>
      <c r="L2088">
        <v>6.6</v>
      </c>
      <c r="M2088">
        <v>10</v>
      </c>
      <c r="N2088">
        <v>3670</v>
      </c>
      <c r="O2088" t="s">
        <v>55</v>
      </c>
      <c r="P2088">
        <v>28.2</v>
      </c>
      <c r="Q2088" t="s">
        <v>84</v>
      </c>
      <c r="R2088">
        <v>5.6</v>
      </c>
      <c r="S2088">
        <v>-24.7</v>
      </c>
      <c r="T2088">
        <v>-11.5</v>
      </c>
      <c r="U2088">
        <v>6.8</v>
      </c>
      <c r="V2088">
        <v>5.8</v>
      </c>
      <c r="W2088">
        <v>3.5</v>
      </c>
      <c r="X2088" t="s">
        <v>116</v>
      </c>
    </row>
    <row r="2089" spans="2:24" x14ac:dyDescent="0.3">
      <c r="B2089" t="s">
        <v>2182</v>
      </c>
      <c r="C2089" t="s">
        <v>94</v>
      </c>
      <c r="D2089" t="s">
        <v>6</v>
      </c>
      <c r="E2089" t="s">
        <v>19</v>
      </c>
      <c r="F2089" t="s">
        <v>11</v>
      </c>
      <c r="G2089" t="s">
        <v>74</v>
      </c>
      <c r="H2089">
        <v>2026</v>
      </c>
      <c r="I2089">
        <v>8465</v>
      </c>
      <c r="J2089">
        <v>18.8</v>
      </c>
      <c r="K2089" t="s">
        <v>24</v>
      </c>
      <c r="L2089">
        <v>0.8</v>
      </c>
      <c r="M2089">
        <v>4.3</v>
      </c>
      <c r="N2089">
        <v>1064</v>
      </c>
      <c r="O2089" t="s">
        <v>64</v>
      </c>
      <c r="P2089">
        <v>36.1</v>
      </c>
      <c r="Q2089" t="s">
        <v>79</v>
      </c>
      <c r="R2089">
        <v>40.4</v>
      </c>
      <c r="S2089">
        <v>39.5</v>
      </c>
      <c r="T2089">
        <v>19.899999999999999</v>
      </c>
      <c r="U2089">
        <v>1.2</v>
      </c>
      <c r="V2089">
        <v>8.3000000000000007</v>
      </c>
      <c r="W2089">
        <v>6</v>
      </c>
      <c r="X2089" t="s">
        <v>66</v>
      </c>
    </row>
    <row r="2090" spans="2:24" x14ac:dyDescent="0.3">
      <c r="B2090" t="s">
        <v>2183</v>
      </c>
      <c r="C2090" t="s">
        <v>71</v>
      </c>
      <c r="D2090" t="s">
        <v>5</v>
      </c>
      <c r="E2090" t="s">
        <v>16</v>
      </c>
      <c r="F2090" t="s">
        <v>11</v>
      </c>
      <c r="G2090" t="s">
        <v>104</v>
      </c>
      <c r="H2090">
        <v>2026</v>
      </c>
      <c r="I2090">
        <v>1893</v>
      </c>
      <c r="J2090">
        <v>8.6</v>
      </c>
      <c r="K2090" t="s">
        <v>24</v>
      </c>
      <c r="L2090">
        <v>5</v>
      </c>
      <c r="M2090">
        <v>5.3</v>
      </c>
      <c r="N2090">
        <v>4672</v>
      </c>
      <c r="O2090" t="s">
        <v>55</v>
      </c>
      <c r="P2090">
        <v>70</v>
      </c>
      <c r="Q2090" t="s">
        <v>76</v>
      </c>
      <c r="R2090">
        <v>58.7</v>
      </c>
      <c r="S2090">
        <v>39.799999999999997</v>
      </c>
      <c r="T2090">
        <v>15</v>
      </c>
      <c r="U2090">
        <v>5.6</v>
      </c>
      <c r="V2090">
        <v>8.9</v>
      </c>
      <c r="W2090">
        <v>7.2</v>
      </c>
      <c r="X2090" t="s">
        <v>57</v>
      </c>
    </row>
    <row r="2091" spans="2:24" x14ac:dyDescent="0.3">
      <c r="B2091" t="s">
        <v>2184</v>
      </c>
      <c r="C2091" t="s">
        <v>73</v>
      </c>
      <c r="D2091" t="s">
        <v>3</v>
      </c>
      <c r="E2091" t="s">
        <v>18</v>
      </c>
      <c r="F2091" t="s">
        <v>9</v>
      </c>
      <c r="G2091" t="s">
        <v>115</v>
      </c>
      <c r="H2091">
        <v>2026</v>
      </c>
      <c r="I2091">
        <v>13101</v>
      </c>
      <c r="J2091">
        <v>13.5</v>
      </c>
      <c r="K2091" t="s">
        <v>24</v>
      </c>
      <c r="L2091">
        <v>9.5</v>
      </c>
      <c r="M2091">
        <v>8</v>
      </c>
      <c r="N2091">
        <v>1235</v>
      </c>
      <c r="O2091" t="s">
        <v>64</v>
      </c>
      <c r="P2091">
        <v>18.8</v>
      </c>
      <c r="Q2091" t="s">
        <v>84</v>
      </c>
      <c r="R2091">
        <v>-6.7</v>
      </c>
      <c r="S2091">
        <v>-24.1</v>
      </c>
      <c r="T2091">
        <v>-12.4</v>
      </c>
      <c r="U2091">
        <v>6.3</v>
      </c>
      <c r="V2091">
        <v>5.4</v>
      </c>
      <c r="W2091">
        <v>4.9000000000000004</v>
      </c>
      <c r="X2091" t="s">
        <v>66</v>
      </c>
    </row>
    <row r="2092" spans="2:24" x14ac:dyDescent="0.3">
      <c r="B2092" t="s">
        <v>2185</v>
      </c>
      <c r="C2092" t="s">
        <v>106</v>
      </c>
      <c r="D2092" t="s">
        <v>2</v>
      </c>
      <c r="E2092" t="s">
        <v>18</v>
      </c>
      <c r="F2092" t="s">
        <v>11</v>
      </c>
      <c r="G2092" t="s">
        <v>131</v>
      </c>
      <c r="H2092">
        <v>2025</v>
      </c>
      <c r="I2092">
        <v>1385</v>
      </c>
      <c r="J2092">
        <v>22.6</v>
      </c>
      <c r="K2092" t="s">
        <v>22</v>
      </c>
      <c r="L2092">
        <v>5.4</v>
      </c>
      <c r="M2092">
        <v>10</v>
      </c>
      <c r="N2092">
        <v>8599</v>
      </c>
      <c r="O2092" t="s">
        <v>55</v>
      </c>
      <c r="P2092">
        <v>17.2</v>
      </c>
      <c r="Q2092" t="s">
        <v>76</v>
      </c>
      <c r="R2092">
        <v>53.6</v>
      </c>
      <c r="S2092">
        <v>32.299999999999997</v>
      </c>
      <c r="T2092">
        <v>7.9</v>
      </c>
      <c r="U2092">
        <v>6.4</v>
      </c>
      <c r="V2092">
        <v>4.9000000000000004</v>
      </c>
      <c r="W2092">
        <v>4.3</v>
      </c>
      <c r="X2092" t="s">
        <v>66</v>
      </c>
    </row>
    <row r="2093" spans="2:24" x14ac:dyDescent="0.3">
      <c r="B2093" t="s">
        <v>2186</v>
      </c>
      <c r="C2093" t="s">
        <v>137</v>
      </c>
      <c r="D2093" t="s">
        <v>3</v>
      </c>
      <c r="E2093" t="s">
        <v>19</v>
      </c>
      <c r="F2093" t="s">
        <v>12</v>
      </c>
      <c r="G2093" t="s">
        <v>63</v>
      </c>
      <c r="H2093">
        <v>2024</v>
      </c>
      <c r="I2093">
        <v>1503</v>
      </c>
      <c r="J2093">
        <v>7.2</v>
      </c>
      <c r="K2093" t="s">
        <v>24</v>
      </c>
      <c r="L2093">
        <v>4.5</v>
      </c>
      <c r="M2093">
        <v>7.6</v>
      </c>
      <c r="N2093">
        <v>1731</v>
      </c>
      <c r="O2093" t="s">
        <v>55</v>
      </c>
      <c r="P2093">
        <v>62.8</v>
      </c>
      <c r="Q2093" t="s">
        <v>56</v>
      </c>
      <c r="R2093">
        <v>85.4</v>
      </c>
      <c r="S2093">
        <v>33.1</v>
      </c>
      <c r="T2093">
        <v>7.5</v>
      </c>
      <c r="U2093">
        <v>5.4</v>
      </c>
      <c r="V2093">
        <v>9.3000000000000007</v>
      </c>
      <c r="W2093">
        <v>5.9</v>
      </c>
      <c r="X2093" t="s">
        <v>57</v>
      </c>
    </row>
    <row r="2094" spans="2:24" x14ac:dyDescent="0.3">
      <c r="B2094" t="s">
        <v>2187</v>
      </c>
      <c r="C2094" t="s">
        <v>106</v>
      </c>
      <c r="D2094" t="s">
        <v>2</v>
      </c>
      <c r="E2094" t="s">
        <v>17</v>
      </c>
      <c r="F2094" t="s">
        <v>11</v>
      </c>
      <c r="G2094" t="s">
        <v>101</v>
      </c>
      <c r="H2094">
        <v>2024</v>
      </c>
      <c r="I2094">
        <v>3218</v>
      </c>
      <c r="J2094">
        <v>16.100000000000001</v>
      </c>
      <c r="K2094" t="s">
        <v>23</v>
      </c>
      <c r="L2094">
        <v>9.1999999999999993</v>
      </c>
      <c r="M2094">
        <v>10</v>
      </c>
      <c r="N2094">
        <v>5062</v>
      </c>
      <c r="O2094" t="s">
        <v>55</v>
      </c>
      <c r="P2094">
        <v>80.099999999999994</v>
      </c>
      <c r="Q2094" t="s">
        <v>76</v>
      </c>
      <c r="R2094">
        <v>5.2</v>
      </c>
      <c r="S2094">
        <v>-1.6</v>
      </c>
      <c r="T2094">
        <v>-9.1</v>
      </c>
      <c r="U2094">
        <v>9.3000000000000007</v>
      </c>
      <c r="V2094">
        <v>4</v>
      </c>
      <c r="W2094">
        <v>4.9000000000000004</v>
      </c>
      <c r="X2094" t="s">
        <v>116</v>
      </c>
    </row>
    <row r="2095" spans="2:24" x14ac:dyDescent="0.3">
      <c r="B2095" t="s">
        <v>2188</v>
      </c>
      <c r="C2095" t="s">
        <v>27</v>
      </c>
      <c r="D2095" t="s">
        <v>3</v>
      </c>
      <c r="E2095" t="s">
        <v>15</v>
      </c>
      <c r="F2095" t="s">
        <v>9</v>
      </c>
      <c r="G2095" t="s">
        <v>112</v>
      </c>
      <c r="H2095">
        <v>2024</v>
      </c>
      <c r="I2095">
        <v>727</v>
      </c>
      <c r="J2095">
        <v>0.1</v>
      </c>
      <c r="K2095" t="s">
        <v>23</v>
      </c>
      <c r="L2095">
        <v>12.7</v>
      </c>
      <c r="M2095">
        <v>3.5</v>
      </c>
      <c r="N2095">
        <v>1961</v>
      </c>
      <c r="O2095" t="s">
        <v>55</v>
      </c>
      <c r="P2095">
        <v>27.2</v>
      </c>
      <c r="Q2095" t="s">
        <v>84</v>
      </c>
      <c r="R2095">
        <v>89.3</v>
      </c>
      <c r="S2095">
        <v>24.6</v>
      </c>
      <c r="T2095">
        <v>18.399999999999999</v>
      </c>
      <c r="U2095">
        <v>8.1999999999999993</v>
      </c>
      <c r="V2095">
        <v>6.4</v>
      </c>
      <c r="W2095">
        <v>8.5</v>
      </c>
      <c r="X2095" t="s">
        <v>57</v>
      </c>
    </row>
    <row r="2096" spans="2:24" x14ac:dyDescent="0.3">
      <c r="B2096" t="s">
        <v>2189</v>
      </c>
      <c r="C2096" t="s">
        <v>142</v>
      </c>
      <c r="D2096" t="s">
        <v>2</v>
      </c>
      <c r="E2096" t="s">
        <v>17</v>
      </c>
      <c r="F2096" t="s">
        <v>11</v>
      </c>
      <c r="G2096" t="s">
        <v>112</v>
      </c>
      <c r="H2096">
        <v>2026</v>
      </c>
      <c r="I2096">
        <v>18975</v>
      </c>
      <c r="J2096">
        <v>25</v>
      </c>
      <c r="K2096" t="s">
        <v>21</v>
      </c>
      <c r="L2096">
        <v>10</v>
      </c>
      <c r="M2096">
        <v>10</v>
      </c>
      <c r="N2096">
        <v>5197</v>
      </c>
      <c r="O2096" t="s">
        <v>64</v>
      </c>
      <c r="P2096">
        <v>85.3</v>
      </c>
      <c r="Q2096" t="s">
        <v>76</v>
      </c>
      <c r="R2096">
        <v>38.6</v>
      </c>
      <c r="S2096">
        <v>-5</v>
      </c>
      <c r="T2096">
        <v>-1.2</v>
      </c>
      <c r="U2096">
        <v>6.2</v>
      </c>
      <c r="V2096">
        <v>6.5</v>
      </c>
      <c r="W2096">
        <v>3.3</v>
      </c>
      <c r="X2096" t="s">
        <v>66</v>
      </c>
    </row>
    <row r="2097" spans="2:24" x14ac:dyDescent="0.3">
      <c r="B2097" t="s">
        <v>2190</v>
      </c>
      <c r="C2097" t="s">
        <v>71</v>
      </c>
      <c r="D2097" t="s">
        <v>6</v>
      </c>
      <c r="E2097" t="s">
        <v>17</v>
      </c>
      <c r="F2097" t="s">
        <v>9</v>
      </c>
      <c r="G2097" t="s">
        <v>74</v>
      </c>
      <c r="H2097">
        <v>2025</v>
      </c>
      <c r="I2097">
        <v>1126</v>
      </c>
      <c r="J2097">
        <v>16.100000000000001</v>
      </c>
      <c r="K2097" t="s">
        <v>24</v>
      </c>
      <c r="L2097">
        <v>11.5</v>
      </c>
      <c r="M2097">
        <v>10</v>
      </c>
      <c r="N2097">
        <v>2465</v>
      </c>
      <c r="O2097" t="s">
        <v>64</v>
      </c>
      <c r="P2097">
        <v>75.2</v>
      </c>
      <c r="Q2097" t="s">
        <v>125</v>
      </c>
      <c r="R2097">
        <v>-10.9</v>
      </c>
      <c r="S2097">
        <v>-22.3</v>
      </c>
      <c r="T2097">
        <v>-3.8</v>
      </c>
      <c r="U2097">
        <v>8.9</v>
      </c>
      <c r="V2097">
        <v>3.8</v>
      </c>
      <c r="W2097">
        <v>2.9</v>
      </c>
      <c r="X2097" t="s">
        <v>116</v>
      </c>
    </row>
    <row r="2098" spans="2:24" x14ac:dyDescent="0.3">
      <c r="B2098" t="s">
        <v>2191</v>
      </c>
      <c r="C2098" t="s">
        <v>59</v>
      </c>
      <c r="D2098" t="s">
        <v>4</v>
      </c>
      <c r="E2098" t="s">
        <v>14</v>
      </c>
      <c r="F2098" t="s">
        <v>12</v>
      </c>
      <c r="G2098" t="s">
        <v>101</v>
      </c>
      <c r="H2098">
        <v>2024</v>
      </c>
      <c r="I2098">
        <v>5397</v>
      </c>
      <c r="J2098">
        <v>12.9</v>
      </c>
      <c r="K2098" t="s">
        <v>21</v>
      </c>
      <c r="L2098">
        <v>2.6</v>
      </c>
      <c r="M2098">
        <v>5.3</v>
      </c>
      <c r="N2098">
        <v>869</v>
      </c>
      <c r="O2098" t="s">
        <v>75</v>
      </c>
      <c r="P2098">
        <v>12.3</v>
      </c>
      <c r="Q2098" t="s">
        <v>88</v>
      </c>
      <c r="R2098">
        <v>53.8</v>
      </c>
      <c r="S2098">
        <v>21.3</v>
      </c>
      <c r="T2098">
        <v>-1.8</v>
      </c>
      <c r="U2098">
        <v>2.2999999999999998</v>
      </c>
      <c r="V2098">
        <v>8.1</v>
      </c>
      <c r="W2098">
        <v>6.3</v>
      </c>
      <c r="X2098" t="s">
        <v>66</v>
      </c>
    </row>
    <row r="2099" spans="2:24" x14ac:dyDescent="0.3">
      <c r="B2099" t="s">
        <v>2192</v>
      </c>
      <c r="C2099" t="s">
        <v>90</v>
      </c>
      <c r="D2099" t="s">
        <v>5</v>
      </c>
      <c r="E2099" t="s">
        <v>17</v>
      </c>
      <c r="F2099" t="s">
        <v>11</v>
      </c>
      <c r="G2099" t="s">
        <v>98</v>
      </c>
      <c r="H2099">
        <v>2024</v>
      </c>
      <c r="I2099">
        <v>6939</v>
      </c>
      <c r="J2099">
        <v>12.6</v>
      </c>
      <c r="K2099" t="s">
        <v>21</v>
      </c>
      <c r="L2099">
        <v>5.6</v>
      </c>
      <c r="M2099">
        <v>5.5</v>
      </c>
      <c r="N2099">
        <v>280</v>
      </c>
      <c r="O2099" t="s">
        <v>64</v>
      </c>
      <c r="P2099">
        <v>34.9</v>
      </c>
      <c r="Q2099" t="s">
        <v>84</v>
      </c>
      <c r="R2099">
        <v>-34.299999999999997</v>
      </c>
      <c r="S2099">
        <v>25.1</v>
      </c>
      <c r="T2099">
        <v>11</v>
      </c>
      <c r="U2099">
        <v>4.2</v>
      </c>
      <c r="V2099">
        <v>5.8</v>
      </c>
      <c r="W2099">
        <v>6.5</v>
      </c>
      <c r="X2099" t="s">
        <v>116</v>
      </c>
    </row>
    <row r="2100" spans="2:24" x14ac:dyDescent="0.3">
      <c r="B2100" t="s">
        <v>2193</v>
      </c>
      <c r="C2100" t="s">
        <v>106</v>
      </c>
      <c r="D2100" t="s">
        <v>4</v>
      </c>
      <c r="E2100" t="s">
        <v>15</v>
      </c>
      <c r="F2100" t="s">
        <v>11</v>
      </c>
      <c r="G2100" t="s">
        <v>101</v>
      </c>
      <c r="H2100">
        <v>2026</v>
      </c>
      <c r="I2100">
        <v>273</v>
      </c>
      <c r="J2100">
        <v>4.9000000000000004</v>
      </c>
      <c r="K2100" t="s">
        <v>22</v>
      </c>
      <c r="L2100">
        <v>1.2</v>
      </c>
      <c r="M2100">
        <v>1</v>
      </c>
      <c r="N2100">
        <v>1884</v>
      </c>
      <c r="O2100" t="s">
        <v>64</v>
      </c>
      <c r="P2100">
        <v>18.3</v>
      </c>
      <c r="Q2100" t="s">
        <v>79</v>
      </c>
      <c r="R2100">
        <v>64.599999999999994</v>
      </c>
      <c r="S2100">
        <v>-12.5</v>
      </c>
      <c r="T2100">
        <v>-9.6999999999999993</v>
      </c>
      <c r="U2100">
        <v>1.6</v>
      </c>
      <c r="V2100">
        <v>6</v>
      </c>
      <c r="W2100">
        <v>7.2</v>
      </c>
      <c r="X2100" t="s">
        <v>57</v>
      </c>
    </row>
    <row r="2101" spans="2:24" x14ac:dyDescent="0.3">
      <c r="B2101" t="s">
        <v>2194</v>
      </c>
      <c r="C2101" t="s">
        <v>122</v>
      </c>
      <c r="D2101" t="s">
        <v>2</v>
      </c>
      <c r="E2101" t="s">
        <v>16</v>
      </c>
      <c r="F2101" t="s">
        <v>11</v>
      </c>
      <c r="G2101" t="s">
        <v>54</v>
      </c>
      <c r="H2101">
        <v>2026</v>
      </c>
      <c r="I2101">
        <v>15505</v>
      </c>
      <c r="J2101">
        <v>12.6</v>
      </c>
      <c r="K2101" t="s">
        <v>22</v>
      </c>
      <c r="L2101">
        <v>5.0999999999999996</v>
      </c>
      <c r="M2101">
        <v>6</v>
      </c>
      <c r="N2101">
        <v>5767</v>
      </c>
      <c r="O2101" t="s">
        <v>55</v>
      </c>
      <c r="P2101">
        <v>67</v>
      </c>
      <c r="Q2101" t="s">
        <v>76</v>
      </c>
      <c r="R2101">
        <v>-9.3000000000000007</v>
      </c>
      <c r="S2101">
        <v>54.8</v>
      </c>
      <c r="T2101">
        <v>18.8</v>
      </c>
      <c r="U2101">
        <v>3.1</v>
      </c>
      <c r="V2101">
        <v>6.2</v>
      </c>
      <c r="W2101">
        <v>7.7</v>
      </c>
      <c r="X2101" t="s">
        <v>66</v>
      </c>
    </row>
    <row r="2102" spans="2:24" x14ac:dyDescent="0.3">
      <c r="B2102" t="s">
        <v>2195</v>
      </c>
      <c r="C2102" t="s">
        <v>106</v>
      </c>
      <c r="D2102" t="s">
        <v>2</v>
      </c>
      <c r="E2102" t="s">
        <v>18</v>
      </c>
      <c r="F2102" t="s">
        <v>11</v>
      </c>
      <c r="G2102" t="s">
        <v>98</v>
      </c>
      <c r="H2102">
        <v>2026</v>
      </c>
      <c r="I2102">
        <v>726</v>
      </c>
      <c r="J2102">
        <v>4.7</v>
      </c>
      <c r="K2102" t="s">
        <v>21</v>
      </c>
      <c r="L2102">
        <v>4.9000000000000004</v>
      </c>
      <c r="M2102">
        <v>3.8</v>
      </c>
      <c r="N2102">
        <v>6417</v>
      </c>
      <c r="O2102" t="s">
        <v>55</v>
      </c>
      <c r="P2102">
        <v>14.3</v>
      </c>
      <c r="Q2102" t="s">
        <v>56</v>
      </c>
      <c r="R2102">
        <v>-1.5</v>
      </c>
      <c r="S2102">
        <v>30.4</v>
      </c>
      <c r="T2102">
        <v>9.9</v>
      </c>
      <c r="U2102">
        <v>3</v>
      </c>
      <c r="V2102">
        <v>6.1</v>
      </c>
      <c r="W2102">
        <v>6.7</v>
      </c>
      <c r="X2102" t="s">
        <v>57</v>
      </c>
    </row>
    <row r="2103" spans="2:24" x14ac:dyDescent="0.3">
      <c r="B2103" t="s">
        <v>2196</v>
      </c>
      <c r="C2103" t="s">
        <v>59</v>
      </c>
      <c r="D2103" t="s">
        <v>4</v>
      </c>
      <c r="E2103" t="s">
        <v>15</v>
      </c>
      <c r="F2103" t="s">
        <v>9</v>
      </c>
      <c r="G2103" t="s">
        <v>63</v>
      </c>
      <c r="H2103">
        <v>2024</v>
      </c>
      <c r="I2103">
        <v>848</v>
      </c>
      <c r="J2103">
        <v>0.5</v>
      </c>
      <c r="K2103" t="s">
        <v>24</v>
      </c>
      <c r="L2103">
        <v>3.8</v>
      </c>
      <c r="M2103">
        <v>4.8</v>
      </c>
      <c r="N2103">
        <v>2543</v>
      </c>
      <c r="O2103" t="s">
        <v>55</v>
      </c>
      <c r="P2103">
        <v>58.7</v>
      </c>
      <c r="Q2103" t="s">
        <v>56</v>
      </c>
      <c r="R2103">
        <v>52.2</v>
      </c>
      <c r="S2103">
        <v>-14.8</v>
      </c>
      <c r="T2103">
        <v>-6.7</v>
      </c>
      <c r="U2103">
        <v>5.0999999999999996</v>
      </c>
      <c r="V2103">
        <v>6.2</v>
      </c>
      <c r="W2103">
        <v>6.5</v>
      </c>
      <c r="X2103" t="s">
        <v>57</v>
      </c>
    </row>
    <row r="2104" spans="2:24" x14ac:dyDescent="0.3">
      <c r="B2104" t="s">
        <v>2197</v>
      </c>
      <c r="C2104" t="s">
        <v>90</v>
      </c>
      <c r="D2104" t="s">
        <v>6</v>
      </c>
      <c r="E2104" t="s">
        <v>16</v>
      </c>
      <c r="F2104" t="s">
        <v>11</v>
      </c>
      <c r="G2104" t="s">
        <v>115</v>
      </c>
      <c r="H2104">
        <v>2025</v>
      </c>
      <c r="I2104">
        <v>4317</v>
      </c>
      <c r="J2104">
        <v>17.600000000000001</v>
      </c>
      <c r="K2104" t="s">
        <v>25</v>
      </c>
      <c r="L2104">
        <v>6.9</v>
      </c>
      <c r="M2104">
        <v>10</v>
      </c>
      <c r="N2104">
        <v>767</v>
      </c>
      <c r="O2104" t="s">
        <v>64</v>
      </c>
      <c r="P2104">
        <v>39.200000000000003</v>
      </c>
      <c r="Q2104" t="s">
        <v>125</v>
      </c>
      <c r="R2104">
        <v>40.299999999999997</v>
      </c>
      <c r="S2104">
        <v>-17.100000000000001</v>
      </c>
      <c r="T2104">
        <v>-11.2</v>
      </c>
      <c r="U2104">
        <v>9.4</v>
      </c>
      <c r="V2104">
        <v>5.8</v>
      </c>
      <c r="W2104">
        <v>2.8</v>
      </c>
      <c r="X2104" t="s">
        <v>116</v>
      </c>
    </row>
    <row r="2105" spans="2:24" x14ac:dyDescent="0.3">
      <c r="B2105" t="s">
        <v>2198</v>
      </c>
      <c r="C2105" t="s">
        <v>90</v>
      </c>
      <c r="D2105" t="s">
        <v>5</v>
      </c>
      <c r="E2105" t="s">
        <v>18</v>
      </c>
      <c r="F2105" t="s">
        <v>10</v>
      </c>
      <c r="G2105" t="s">
        <v>74</v>
      </c>
      <c r="H2105">
        <v>2025</v>
      </c>
      <c r="I2105">
        <v>12137</v>
      </c>
      <c r="J2105">
        <v>31.6</v>
      </c>
      <c r="K2105" t="s">
        <v>23</v>
      </c>
      <c r="L2105">
        <v>1.2</v>
      </c>
      <c r="M2105">
        <v>7.6</v>
      </c>
      <c r="N2105">
        <v>240</v>
      </c>
      <c r="O2105" t="s">
        <v>75</v>
      </c>
      <c r="P2105">
        <v>72.099999999999994</v>
      </c>
      <c r="Q2105" t="s">
        <v>86</v>
      </c>
      <c r="R2105">
        <v>82.3</v>
      </c>
      <c r="S2105">
        <v>-18.7</v>
      </c>
      <c r="T2105">
        <v>-7.1</v>
      </c>
      <c r="U2105">
        <v>1.2</v>
      </c>
      <c r="V2105">
        <v>4.3</v>
      </c>
      <c r="W2105">
        <v>3.6</v>
      </c>
      <c r="X2105" t="s">
        <v>66</v>
      </c>
    </row>
    <row r="2106" spans="2:24" x14ac:dyDescent="0.3">
      <c r="B2106" t="s">
        <v>2199</v>
      </c>
      <c r="C2106" t="s">
        <v>62</v>
      </c>
      <c r="D2106" t="s">
        <v>2</v>
      </c>
      <c r="E2106" t="s">
        <v>18</v>
      </c>
      <c r="F2106" t="s">
        <v>12</v>
      </c>
      <c r="G2106" t="s">
        <v>69</v>
      </c>
      <c r="H2106">
        <v>2025</v>
      </c>
      <c r="I2106">
        <v>4083</v>
      </c>
      <c r="J2106">
        <v>6.5</v>
      </c>
      <c r="K2106" t="s">
        <v>21</v>
      </c>
      <c r="L2106">
        <v>11.7</v>
      </c>
      <c r="M2106">
        <v>9.6999999999999993</v>
      </c>
      <c r="N2106">
        <v>3551</v>
      </c>
      <c r="O2106" t="s">
        <v>55</v>
      </c>
      <c r="P2106">
        <v>72.400000000000006</v>
      </c>
      <c r="Q2106" t="s">
        <v>76</v>
      </c>
      <c r="R2106">
        <v>5.6</v>
      </c>
      <c r="S2106">
        <v>12.7</v>
      </c>
      <c r="T2106">
        <v>13.7</v>
      </c>
      <c r="U2106">
        <v>7.9</v>
      </c>
      <c r="V2106">
        <v>7.1</v>
      </c>
      <c r="W2106">
        <v>5.7</v>
      </c>
      <c r="X2106" t="s">
        <v>116</v>
      </c>
    </row>
    <row r="2107" spans="2:24" x14ac:dyDescent="0.3">
      <c r="B2107" t="s">
        <v>2200</v>
      </c>
      <c r="C2107" t="s">
        <v>97</v>
      </c>
      <c r="D2107" t="s">
        <v>3</v>
      </c>
      <c r="E2107" t="s">
        <v>14</v>
      </c>
      <c r="F2107" t="s">
        <v>9</v>
      </c>
      <c r="G2107" t="s">
        <v>60</v>
      </c>
      <c r="H2107">
        <v>2024</v>
      </c>
      <c r="I2107">
        <v>3616</v>
      </c>
      <c r="J2107">
        <v>5.5</v>
      </c>
      <c r="K2107" t="s">
        <v>23</v>
      </c>
      <c r="L2107">
        <v>3.4</v>
      </c>
      <c r="M2107">
        <v>4.4000000000000004</v>
      </c>
      <c r="N2107">
        <v>2429</v>
      </c>
      <c r="O2107" t="s">
        <v>64</v>
      </c>
      <c r="P2107">
        <v>11.7</v>
      </c>
      <c r="Q2107" t="s">
        <v>56</v>
      </c>
      <c r="R2107">
        <v>83.3</v>
      </c>
      <c r="S2107">
        <v>12.9</v>
      </c>
      <c r="T2107">
        <v>-2.5</v>
      </c>
      <c r="U2107">
        <v>3.5</v>
      </c>
      <c r="V2107">
        <v>5</v>
      </c>
      <c r="W2107">
        <v>6.8</v>
      </c>
      <c r="X2107" t="s">
        <v>116</v>
      </c>
    </row>
    <row r="2108" spans="2:24" x14ac:dyDescent="0.3">
      <c r="B2108" t="s">
        <v>2201</v>
      </c>
      <c r="C2108" t="s">
        <v>142</v>
      </c>
      <c r="D2108" t="s">
        <v>2</v>
      </c>
      <c r="E2108" t="s">
        <v>15</v>
      </c>
      <c r="F2108" t="s">
        <v>12</v>
      </c>
      <c r="G2108" t="s">
        <v>54</v>
      </c>
      <c r="H2108">
        <v>2024</v>
      </c>
      <c r="I2108">
        <v>3049</v>
      </c>
      <c r="J2108">
        <v>17.899999999999999</v>
      </c>
      <c r="K2108" t="s">
        <v>24</v>
      </c>
      <c r="L2108">
        <v>12.1</v>
      </c>
      <c r="M2108">
        <v>10</v>
      </c>
      <c r="N2108">
        <v>5377</v>
      </c>
      <c r="O2108" t="s">
        <v>55</v>
      </c>
      <c r="P2108">
        <v>73.400000000000006</v>
      </c>
      <c r="Q2108" t="s">
        <v>76</v>
      </c>
      <c r="R2108">
        <v>-32.6</v>
      </c>
      <c r="S2108">
        <v>24.9</v>
      </c>
      <c r="T2108">
        <v>12.4</v>
      </c>
      <c r="U2108">
        <v>8.9</v>
      </c>
      <c r="V2108">
        <v>5.2</v>
      </c>
      <c r="W2108">
        <v>4</v>
      </c>
      <c r="X2108" t="s">
        <v>116</v>
      </c>
    </row>
    <row r="2109" spans="2:24" x14ac:dyDescent="0.3">
      <c r="B2109" t="s">
        <v>2202</v>
      </c>
      <c r="C2109" t="s">
        <v>106</v>
      </c>
      <c r="D2109" t="s">
        <v>8</v>
      </c>
      <c r="E2109" t="s">
        <v>17</v>
      </c>
      <c r="F2109" t="s">
        <v>10</v>
      </c>
      <c r="G2109" t="s">
        <v>115</v>
      </c>
      <c r="H2109">
        <v>2026</v>
      </c>
      <c r="I2109">
        <v>507</v>
      </c>
      <c r="J2109">
        <v>8.4</v>
      </c>
      <c r="K2109" t="s">
        <v>23</v>
      </c>
      <c r="L2109">
        <v>5.5</v>
      </c>
      <c r="M2109">
        <v>10</v>
      </c>
      <c r="N2109">
        <v>3058</v>
      </c>
      <c r="O2109" t="s">
        <v>55</v>
      </c>
      <c r="P2109">
        <v>87.7</v>
      </c>
      <c r="Q2109" t="s">
        <v>88</v>
      </c>
      <c r="R2109">
        <v>64.099999999999994</v>
      </c>
      <c r="S2109">
        <v>-13.9</v>
      </c>
      <c r="T2109">
        <v>0.1</v>
      </c>
      <c r="U2109">
        <v>7.2</v>
      </c>
      <c r="V2109">
        <v>5.4</v>
      </c>
      <c r="W2109">
        <v>4.0999999999999996</v>
      </c>
      <c r="X2109" t="s">
        <v>57</v>
      </c>
    </row>
    <row r="2110" spans="2:24" x14ac:dyDescent="0.3">
      <c r="B2110" t="s">
        <v>2203</v>
      </c>
      <c r="C2110" t="s">
        <v>106</v>
      </c>
      <c r="D2110" t="s">
        <v>7</v>
      </c>
      <c r="E2110" t="s">
        <v>17</v>
      </c>
      <c r="F2110" t="s">
        <v>9</v>
      </c>
      <c r="G2110" t="s">
        <v>69</v>
      </c>
      <c r="H2110">
        <v>2025</v>
      </c>
      <c r="I2110">
        <v>10042</v>
      </c>
      <c r="J2110">
        <v>37.5</v>
      </c>
      <c r="K2110" t="s">
        <v>25</v>
      </c>
      <c r="L2110">
        <v>12.5</v>
      </c>
      <c r="M2110">
        <v>10</v>
      </c>
      <c r="N2110">
        <v>300</v>
      </c>
      <c r="O2110" t="s">
        <v>75</v>
      </c>
      <c r="P2110">
        <v>37.200000000000003</v>
      </c>
      <c r="Q2110" t="s">
        <v>76</v>
      </c>
      <c r="R2110">
        <v>47.2</v>
      </c>
      <c r="S2110">
        <v>53.2</v>
      </c>
      <c r="T2110">
        <v>6.7</v>
      </c>
      <c r="U2110">
        <v>7.4</v>
      </c>
      <c r="V2110">
        <v>4.5</v>
      </c>
      <c r="W2110">
        <v>4</v>
      </c>
      <c r="X2110" t="s">
        <v>66</v>
      </c>
    </row>
    <row r="2111" spans="2:24" x14ac:dyDescent="0.3">
      <c r="B2111" t="s">
        <v>2204</v>
      </c>
      <c r="C2111" t="s">
        <v>122</v>
      </c>
      <c r="D2111" t="s">
        <v>2</v>
      </c>
      <c r="E2111" t="s">
        <v>17</v>
      </c>
      <c r="F2111" t="s">
        <v>9</v>
      </c>
      <c r="G2111" t="s">
        <v>131</v>
      </c>
      <c r="H2111">
        <v>2026</v>
      </c>
      <c r="I2111">
        <v>6208</v>
      </c>
      <c r="J2111">
        <v>6.5</v>
      </c>
      <c r="K2111" t="s">
        <v>25</v>
      </c>
      <c r="L2111">
        <v>4.4000000000000004</v>
      </c>
      <c r="M2111">
        <v>6.1</v>
      </c>
      <c r="N2111">
        <v>2415</v>
      </c>
      <c r="O2111" t="s">
        <v>55</v>
      </c>
      <c r="P2111">
        <v>54.8</v>
      </c>
      <c r="Q2111" t="s">
        <v>76</v>
      </c>
      <c r="R2111">
        <v>27.7</v>
      </c>
      <c r="S2111">
        <v>12.2</v>
      </c>
      <c r="T2111">
        <v>5.7</v>
      </c>
      <c r="U2111">
        <v>6</v>
      </c>
      <c r="V2111">
        <v>8.1999999999999993</v>
      </c>
      <c r="W2111">
        <v>6.6</v>
      </c>
      <c r="X2111" t="s">
        <v>116</v>
      </c>
    </row>
    <row r="2112" spans="2:24" x14ac:dyDescent="0.3">
      <c r="B2112" t="s">
        <v>2205</v>
      </c>
      <c r="C2112" t="s">
        <v>90</v>
      </c>
      <c r="D2112" t="s">
        <v>5</v>
      </c>
      <c r="E2112" t="s">
        <v>17</v>
      </c>
      <c r="F2112" t="s">
        <v>9</v>
      </c>
      <c r="G2112" t="s">
        <v>63</v>
      </c>
      <c r="H2112">
        <v>2025</v>
      </c>
      <c r="I2112">
        <v>14779</v>
      </c>
      <c r="J2112">
        <v>15.7</v>
      </c>
      <c r="K2112" t="s">
        <v>22</v>
      </c>
      <c r="L2112">
        <v>3.6</v>
      </c>
      <c r="M2112">
        <v>7.6</v>
      </c>
      <c r="N2112">
        <v>1432</v>
      </c>
      <c r="O2112" t="s">
        <v>64</v>
      </c>
      <c r="P2112">
        <v>23.5</v>
      </c>
      <c r="Q2112" t="s">
        <v>86</v>
      </c>
      <c r="R2112">
        <v>-0.7</v>
      </c>
      <c r="S2112">
        <v>32</v>
      </c>
      <c r="T2112">
        <v>18.3</v>
      </c>
      <c r="U2112">
        <v>3.4</v>
      </c>
      <c r="V2112">
        <v>6.5</v>
      </c>
      <c r="W2112">
        <v>5.9</v>
      </c>
      <c r="X2112" t="s">
        <v>66</v>
      </c>
    </row>
    <row r="2113" spans="2:24" x14ac:dyDescent="0.3">
      <c r="B2113" t="s">
        <v>2206</v>
      </c>
      <c r="C2113" t="s">
        <v>106</v>
      </c>
      <c r="D2113" t="s">
        <v>3</v>
      </c>
      <c r="E2113" t="s">
        <v>16</v>
      </c>
      <c r="F2113" t="s">
        <v>12</v>
      </c>
      <c r="G2113" t="s">
        <v>54</v>
      </c>
      <c r="H2113">
        <v>2026</v>
      </c>
      <c r="I2113">
        <v>746</v>
      </c>
      <c r="J2113">
        <v>0.1</v>
      </c>
      <c r="K2113" t="s">
        <v>23</v>
      </c>
      <c r="L2113">
        <v>3.3</v>
      </c>
      <c r="M2113">
        <v>3.2</v>
      </c>
      <c r="N2113">
        <v>5068</v>
      </c>
      <c r="O2113" t="s">
        <v>55</v>
      </c>
      <c r="P2113">
        <v>68.5</v>
      </c>
      <c r="Q2113" t="s">
        <v>84</v>
      </c>
      <c r="R2113">
        <v>-3.5</v>
      </c>
      <c r="S2113">
        <v>8.4</v>
      </c>
      <c r="T2113">
        <v>6.5</v>
      </c>
      <c r="U2113">
        <v>3.4</v>
      </c>
      <c r="V2113">
        <v>6</v>
      </c>
      <c r="W2113">
        <v>7.2</v>
      </c>
      <c r="X2113" t="s">
        <v>57</v>
      </c>
    </row>
    <row r="2114" spans="2:24" x14ac:dyDescent="0.3">
      <c r="B2114" t="s">
        <v>2207</v>
      </c>
      <c r="C2114" t="s">
        <v>142</v>
      </c>
      <c r="D2114" t="s">
        <v>2</v>
      </c>
      <c r="E2114" t="s">
        <v>14</v>
      </c>
      <c r="F2114" t="s">
        <v>11</v>
      </c>
      <c r="G2114" t="s">
        <v>98</v>
      </c>
      <c r="H2114">
        <v>2026</v>
      </c>
      <c r="I2114">
        <v>14154</v>
      </c>
      <c r="J2114">
        <v>27.9</v>
      </c>
      <c r="K2114" t="s">
        <v>25</v>
      </c>
      <c r="L2114">
        <v>2.9</v>
      </c>
      <c r="M2114">
        <v>9.5</v>
      </c>
      <c r="N2114">
        <v>3352</v>
      </c>
      <c r="O2114" t="s">
        <v>64</v>
      </c>
      <c r="P2114">
        <v>15.5</v>
      </c>
      <c r="Q2114" t="s">
        <v>76</v>
      </c>
      <c r="R2114">
        <v>36.299999999999997</v>
      </c>
      <c r="S2114">
        <v>48.7</v>
      </c>
      <c r="T2114">
        <v>5</v>
      </c>
      <c r="U2114">
        <v>3.1</v>
      </c>
      <c r="V2114">
        <v>8.1</v>
      </c>
      <c r="W2114">
        <v>5.6</v>
      </c>
      <c r="X2114" t="s">
        <v>66</v>
      </c>
    </row>
    <row r="2115" spans="2:24" x14ac:dyDescent="0.3">
      <c r="B2115" t="s">
        <v>2208</v>
      </c>
      <c r="C2115" t="s">
        <v>27</v>
      </c>
      <c r="D2115" t="s">
        <v>2</v>
      </c>
      <c r="E2115" t="s">
        <v>19</v>
      </c>
      <c r="F2115" t="s">
        <v>11</v>
      </c>
      <c r="G2115" t="s">
        <v>63</v>
      </c>
      <c r="H2115">
        <v>2024</v>
      </c>
      <c r="I2115">
        <v>3099</v>
      </c>
      <c r="J2115">
        <v>4.4000000000000004</v>
      </c>
      <c r="K2115" t="s">
        <v>22</v>
      </c>
      <c r="L2115">
        <v>2.2000000000000002</v>
      </c>
      <c r="M2115">
        <v>4.9000000000000004</v>
      </c>
      <c r="N2115">
        <v>9271</v>
      </c>
      <c r="O2115" t="s">
        <v>118</v>
      </c>
      <c r="P2115">
        <v>88.5</v>
      </c>
      <c r="Q2115" t="s">
        <v>76</v>
      </c>
      <c r="R2115">
        <v>-2.2999999999999998</v>
      </c>
      <c r="S2115">
        <v>-0.3</v>
      </c>
      <c r="T2115">
        <v>0</v>
      </c>
      <c r="U2115">
        <v>2.8</v>
      </c>
      <c r="V2115">
        <v>6.8</v>
      </c>
      <c r="W2115">
        <v>6.7</v>
      </c>
      <c r="X2115" t="s">
        <v>116</v>
      </c>
    </row>
    <row r="2116" spans="2:24" x14ac:dyDescent="0.3">
      <c r="B2116" t="s">
        <v>2209</v>
      </c>
      <c r="C2116" t="s">
        <v>27</v>
      </c>
      <c r="D2116" t="s">
        <v>3</v>
      </c>
      <c r="E2116" t="s">
        <v>14</v>
      </c>
      <c r="F2116" t="s">
        <v>9</v>
      </c>
      <c r="G2116" t="s">
        <v>78</v>
      </c>
      <c r="H2116">
        <v>2025</v>
      </c>
      <c r="I2116">
        <v>14545</v>
      </c>
      <c r="J2116">
        <v>12.5</v>
      </c>
      <c r="K2116" t="s">
        <v>24</v>
      </c>
      <c r="L2116">
        <v>5.4</v>
      </c>
      <c r="M2116">
        <v>7.5</v>
      </c>
      <c r="N2116">
        <v>1409</v>
      </c>
      <c r="O2116" t="s">
        <v>64</v>
      </c>
      <c r="P2116">
        <v>49.9</v>
      </c>
      <c r="Q2116" t="s">
        <v>76</v>
      </c>
      <c r="R2116">
        <v>-0.5</v>
      </c>
      <c r="S2116">
        <v>58.9</v>
      </c>
      <c r="T2116">
        <v>31.3</v>
      </c>
      <c r="U2116">
        <v>6.7</v>
      </c>
      <c r="V2116">
        <v>7.1</v>
      </c>
      <c r="W2116">
        <v>7.2</v>
      </c>
      <c r="X2116" t="s">
        <v>66</v>
      </c>
    </row>
    <row r="2117" spans="2:24" x14ac:dyDescent="0.3">
      <c r="B2117" t="s">
        <v>2210</v>
      </c>
      <c r="C2117" t="s">
        <v>106</v>
      </c>
      <c r="D2117" t="s">
        <v>3</v>
      </c>
      <c r="E2117" t="s">
        <v>15</v>
      </c>
      <c r="F2117" t="s">
        <v>10</v>
      </c>
      <c r="G2117" t="s">
        <v>115</v>
      </c>
      <c r="H2117">
        <v>2024</v>
      </c>
      <c r="I2117">
        <v>1597</v>
      </c>
      <c r="J2117">
        <v>2.1</v>
      </c>
      <c r="K2117" t="s">
        <v>22</v>
      </c>
      <c r="L2117">
        <v>8</v>
      </c>
      <c r="M2117">
        <v>8</v>
      </c>
      <c r="N2117">
        <v>3010</v>
      </c>
      <c r="O2117" t="s">
        <v>55</v>
      </c>
      <c r="P2117">
        <v>32.9</v>
      </c>
      <c r="Q2117" t="s">
        <v>125</v>
      </c>
      <c r="R2117">
        <v>20.3</v>
      </c>
      <c r="S2117">
        <v>20.100000000000001</v>
      </c>
      <c r="T2117">
        <v>5.4</v>
      </c>
      <c r="U2117">
        <v>6.3</v>
      </c>
      <c r="V2117">
        <v>9</v>
      </c>
      <c r="W2117">
        <v>7.7</v>
      </c>
      <c r="X2117" t="s">
        <v>116</v>
      </c>
    </row>
    <row r="2118" spans="2:24" x14ac:dyDescent="0.3">
      <c r="B2118" t="s">
        <v>2211</v>
      </c>
      <c r="C2118" t="s">
        <v>73</v>
      </c>
      <c r="D2118" t="s">
        <v>2</v>
      </c>
      <c r="E2118" t="s">
        <v>17</v>
      </c>
      <c r="F2118" t="s">
        <v>9</v>
      </c>
      <c r="G2118" t="s">
        <v>63</v>
      </c>
      <c r="H2118">
        <v>2025</v>
      </c>
      <c r="I2118">
        <v>16581</v>
      </c>
      <c r="J2118">
        <v>16.2</v>
      </c>
      <c r="K2118" t="s">
        <v>24</v>
      </c>
      <c r="L2118">
        <v>11.2</v>
      </c>
      <c r="M2118">
        <v>10</v>
      </c>
      <c r="N2118">
        <v>5519</v>
      </c>
      <c r="O2118" t="s">
        <v>55</v>
      </c>
      <c r="P2118">
        <v>54.2</v>
      </c>
      <c r="Q2118" t="s">
        <v>76</v>
      </c>
      <c r="R2118">
        <v>87.8</v>
      </c>
      <c r="S2118">
        <v>56.7</v>
      </c>
      <c r="T2118">
        <v>27.4</v>
      </c>
      <c r="U2118">
        <v>6.9</v>
      </c>
      <c r="V2118">
        <v>5.9</v>
      </c>
      <c r="W2118">
        <v>6.8</v>
      </c>
      <c r="X2118" t="s">
        <v>66</v>
      </c>
    </row>
    <row r="2119" spans="2:24" x14ac:dyDescent="0.3">
      <c r="B2119" t="s">
        <v>2212</v>
      </c>
      <c r="C2119" t="s">
        <v>90</v>
      </c>
      <c r="D2119" t="s">
        <v>6</v>
      </c>
      <c r="E2119" t="s">
        <v>16</v>
      </c>
      <c r="F2119" t="s">
        <v>12</v>
      </c>
      <c r="G2119" t="s">
        <v>101</v>
      </c>
      <c r="H2119">
        <v>2025</v>
      </c>
      <c r="I2119">
        <v>2133</v>
      </c>
      <c r="J2119">
        <v>9.9</v>
      </c>
      <c r="K2119" t="s">
        <v>22</v>
      </c>
      <c r="L2119">
        <v>4.8</v>
      </c>
      <c r="M2119">
        <v>10</v>
      </c>
      <c r="N2119">
        <v>5374</v>
      </c>
      <c r="O2119" t="s">
        <v>55</v>
      </c>
      <c r="P2119">
        <v>51.9</v>
      </c>
      <c r="Q2119" t="s">
        <v>84</v>
      </c>
      <c r="R2119">
        <v>79.5</v>
      </c>
      <c r="S2119">
        <v>-6.7</v>
      </c>
      <c r="T2119">
        <v>2.2000000000000002</v>
      </c>
      <c r="U2119">
        <v>6.3</v>
      </c>
      <c r="V2119">
        <v>4.9000000000000004</v>
      </c>
      <c r="W2119">
        <v>5.5</v>
      </c>
      <c r="X2119" t="s">
        <v>57</v>
      </c>
    </row>
    <row r="2120" spans="2:24" x14ac:dyDescent="0.3">
      <c r="B2120" t="s">
        <v>2213</v>
      </c>
      <c r="C2120" t="s">
        <v>53</v>
      </c>
      <c r="D2120" t="s">
        <v>7</v>
      </c>
      <c r="E2120" t="s">
        <v>14</v>
      </c>
      <c r="F2120" t="s">
        <v>11</v>
      </c>
      <c r="G2120" t="s">
        <v>60</v>
      </c>
      <c r="H2120">
        <v>2025</v>
      </c>
      <c r="I2120">
        <v>1213</v>
      </c>
      <c r="J2120">
        <v>17.3</v>
      </c>
      <c r="K2120" t="s">
        <v>23</v>
      </c>
      <c r="L2120">
        <v>1.2</v>
      </c>
      <c r="M2120">
        <v>3.5</v>
      </c>
      <c r="N2120">
        <v>1137</v>
      </c>
      <c r="O2120" t="s">
        <v>64</v>
      </c>
      <c r="P2120">
        <v>78.5</v>
      </c>
      <c r="Q2120" t="s">
        <v>125</v>
      </c>
      <c r="R2120">
        <v>71.900000000000006</v>
      </c>
      <c r="S2120">
        <v>1.5</v>
      </c>
      <c r="T2120">
        <v>-3.5</v>
      </c>
      <c r="U2120">
        <v>1</v>
      </c>
      <c r="V2120">
        <v>4.9000000000000004</v>
      </c>
      <c r="W2120">
        <v>6.4</v>
      </c>
      <c r="X2120" t="s">
        <v>116</v>
      </c>
    </row>
    <row r="2121" spans="2:24" x14ac:dyDescent="0.3">
      <c r="B2121" t="s">
        <v>2214</v>
      </c>
      <c r="C2121" t="s">
        <v>142</v>
      </c>
      <c r="D2121" t="s">
        <v>8</v>
      </c>
      <c r="E2121" t="s">
        <v>16</v>
      </c>
      <c r="F2121" t="s">
        <v>10</v>
      </c>
      <c r="G2121" t="s">
        <v>60</v>
      </c>
      <c r="H2121">
        <v>2024</v>
      </c>
      <c r="I2121">
        <v>6124</v>
      </c>
      <c r="J2121">
        <v>3.5</v>
      </c>
      <c r="K2121" t="s">
        <v>23</v>
      </c>
      <c r="L2121">
        <v>2.5</v>
      </c>
      <c r="M2121">
        <v>4.8</v>
      </c>
      <c r="N2121">
        <v>4727</v>
      </c>
      <c r="O2121" t="s">
        <v>55</v>
      </c>
      <c r="P2121">
        <v>66.099999999999994</v>
      </c>
      <c r="Q2121" t="s">
        <v>125</v>
      </c>
      <c r="R2121">
        <v>-7.5</v>
      </c>
      <c r="S2121">
        <v>-6.3</v>
      </c>
      <c r="T2121">
        <v>-10.4</v>
      </c>
      <c r="U2121">
        <v>3.4</v>
      </c>
      <c r="V2121">
        <v>8.3000000000000007</v>
      </c>
      <c r="W2121">
        <v>7.4</v>
      </c>
      <c r="X2121" t="s">
        <v>116</v>
      </c>
    </row>
    <row r="2122" spans="2:24" x14ac:dyDescent="0.3">
      <c r="B2122" t="s">
        <v>2215</v>
      </c>
      <c r="C2122" t="s">
        <v>71</v>
      </c>
      <c r="D2122" t="s">
        <v>5</v>
      </c>
      <c r="E2122" t="s">
        <v>19</v>
      </c>
      <c r="F2122" t="s">
        <v>12</v>
      </c>
      <c r="G2122" t="s">
        <v>60</v>
      </c>
      <c r="H2122">
        <v>2026</v>
      </c>
      <c r="I2122">
        <v>15481</v>
      </c>
      <c r="J2122">
        <v>13.2</v>
      </c>
      <c r="K2122" t="s">
        <v>23</v>
      </c>
      <c r="L2122">
        <v>6.4</v>
      </c>
      <c r="M2122">
        <v>5.6</v>
      </c>
      <c r="N2122">
        <v>966</v>
      </c>
      <c r="O2122" t="s">
        <v>64</v>
      </c>
      <c r="P2122">
        <v>35</v>
      </c>
      <c r="Q2122" t="s">
        <v>76</v>
      </c>
      <c r="R2122">
        <v>-6</v>
      </c>
      <c r="S2122">
        <v>12.4</v>
      </c>
      <c r="T2122">
        <v>-2.1</v>
      </c>
      <c r="U2122">
        <v>3.9</v>
      </c>
      <c r="V2122">
        <v>6.2</v>
      </c>
      <c r="W2122">
        <v>5.3</v>
      </c>
      <c r="X2122" t="s">
        <v>66</v>
      </c>
    </row>
    <row r="2123" spans="2:24" x14ac:dyDescent="0.3">
      <c r="B2123" t="s">
        <v>2216</v>
      </c>
      <c r="C2123" t="s">
        <v>106</v>
      </c>
      <c r="D2123" t="s">
        <v>3</v>
      </c>
      <c r="E2123" t="s">
        <v>16</v>
      </c>
      <c r="F2123" t="s">
        <v>12</v>
      </c>
      <c r="G2123" t="s">
        <v>54</v>
      </c>
      <c r="H2123">
        <v>2026</v>
      </c>
      <c r="I2123">
        <v>18168</v>
      </c>
      <c r="J2123">
        <v>28.4</v>
      </c>
      <c r="K2123" t="s">
        <v>25</v>
      </c>
      <c r="L2123">
        <v>4.0999999999999996</v>
      </c>
      <c r="M2123">
        <v>9.6999999999999993</v>
      </c>
      <c r="N2123">
        <v>1702</v>
      </c>
      <c r="O2123" t="s">
        <v>64</v>
      </c>
      <c r="P2123">
        <v>55.8</v>
      </c>
      <c r="Q2123" t="s">
        <v>79</v>
      </c>
      <c r="R2123">
        <v>-4.9000000000000004</v>
      </c>
      <c r="S2123">
        <v>43.6</v>
      </c>
      <c r="T2123">
        <v>5.7</v>
      </c>
      <c r="U2123">
        <v>3.5</v>
      </c>
      <c r="V2123">
        <v>7.4</v>
      </c>
      <c r="W2123">
        <v>5.2</v>
      </c>
      <c r="X2123" t="s">
        <v>66</v>
      </c>
    </row>
    <row r="2124" spans="2:24" x14ac:dyDescent="0.3">
      <c r="B2124" t="s">
        <v>2217</v>
      </c>
      <c r="C2124" t="s">
        <v>159</v>
      </c>
      <c r="D2124" t="s">
        <v>2</v>
      </c>
      <c r="E2124" t="s">
        <v>19</v>
      </c>
      <c r="F2124" t="s">
        <v>9</v>
      </c>
      <c r="G2124" t="s">
        <v>101</v>
      </c>
      <c r="H2124">
        <v>2024</v>
      </c>
      <c r="I2124">
        <v>1247</v>
      </c>
      <c r="J2124">
        <v>4.8</v>
      </c>
      <c r="K2124" t="s">
        <v>21</v>
      </c>
      <c r="L2124">
        <v>9.3000000000000007</v>
      </c>
      <c r="M2124">
        <v>6.4</v>
      </c>
      <c r="N2124">
        <v>5342</v>
      </c>
      <c r="O2124" t="s">
        <v>55</v>
      </c>
      <c r="P2124">
        <v>76.7</v>
      </c>
      <c r="Q2124" t="s">
        <v>76</v>
      </c>
      <c r="R2124">
        <v>72.5</v>
      </c>
      <c r="S2124">
        <v>-7</v>
      </c>
      <c r="T2124">
        <v>3.2</v>
      </c>
      <c r="U2124">
        <v>6.6</v>
      </c>
      <c r="V2124">
        <v>5.0999999999999996</v>
      </c>
      <c r="W2124">
        <v>7</v>
      </c>
      <c r="X2124" t="s">
        <v>57</v>
      </c>
    </row>
    <row r="2125" spans="2:24" x14ac:dyDescent="0.3">
      <c r="B2125" t="s">
        <v>2218</v>
      </c>
      <c r="C2125" t="s">
        <v>106</v>
      </c>
      <c r="D2125" t="s">
        <v>2</v>
      </c>
      <c r="E2125" t="s">
        <v>18</v>
      </c>
      <c r="F2125" t="s">
        <v>9</v>
      </c>
      <c r="G2125" t="s">
        <v>78</v>
      </c>
      <c r="H2125">
        <v>2024</v>
      </c>
      <c r="I2125">
        <v>15156</v>
      </c>
      <c r="J2125">
        <v>14.3</v>
      </c>
      <c r="K2125" t="s">
        <v>21</v>
      </c>
      <c r="L2125">
        <v>8.8000000000000007</v>
      </c>
      <c r="M2125">
        <v>9.8000000000000007</v>
      </c>
      <c r="N2125">
        <v>9061</v>
      </c>
      <c r="O2125" t="s">
        <v>55</v>
      </c>
      <c r="P2125">
        <v>34.799999999999997</v>
      </c>
      <c r="Q2125" t="s">
        <v>56</v>
      </c>
      <c r="R2125">
        <v>-12.1</v>
      </c>
      <c r="S2125">
        <v>17.899999999999999</v>
      </c>
      <c r="T2125">
        <v>7.9</v>
      </c>
      <c r="U2125">
        <v>8.8000000000000007</v>
      </c>
      <c r="V2125">
        <v>8.4</v>
      </c>
      <c r="W2125">
        <v>5.4</v>
      </c>
      <c r="X2125" t="s">
        <v>66</v>
      </c>
    </row>
    <row r="2126" spans="2:24" x14ac:dyDescent="0.3">
      <c r="B2126" t="s">
        <v>2219</v>
      </c>
      <c r="C2126" t="s">
        <v>53</v>
      </c>
      <c r="D2126" t="s">
        <v>3</v>
      </c>
      <c r="E2126" t="s">
        <v>17</v>
      </c>
      <c r="F2126" t="s">
        <v>11</v>
      </c>
      <c r="G2126" t="s">
        <v>63</v>
      </c>
      <c r="H2126">
        <v>2026</v>
      </c>
      <c r="I2126">
        <v>6361</v>
      </c>
      <c r="J2126">
        <v>4.7</v>
      </c>
      <c r="K2126" t="s">
        <v>24</v>
      </c>
      <c r="L2126">
        <v>2.2000000000000002</v>
      </c>
      <c r="M2126">
        <v>4.9000000000000004</v>
      </c>
      <c r="N2126">
        <v>2328</v>
      </c>
      <c r="O2126" t="s">
        <v>64</v>
      </c>
      <c r="P2126">
        <v>50.4</v>
      </c>
      <c r="Q2126" t="s">
        <v>79</v>
      </c>
      <c r="R2126">
        <v>3.6</v>
      </c>
      <c r="S2126">
        <v>-20.9</v>
      </c>
      <c r="T2126">
        <v>-11.5</v>
      </c>
      <c r="U2126">
        <v>2.6</v>
      </c>
      <c r="V2126">
        <v>5.6</v>
      </c>
      <c r="W2126">
        <v>5.3</v>
      </c>
      <c r="X2126" t="s">
        <v>116</v>
      </c>
    </row>
    <row r="2127" spans="2:24" x14ac:dyDescent="0.3">
      <c r="B2127" t="s">
        <v>2220</v>
      </c>
      <c r="C2127" t="s">
        <v>137</v>
      </c>
      <c r="D2127" t="s">
        <v>4</v>
      </c>
      <c r="E2127" t="s">
        <v>18</v>
      </c>
      <c r="F2127" t="s">
        <v>12</v>
      </c>
      <c r="G2127" t="s">
        <v>60</v>
      </c>
      <c r="H2127">
        <v>2026</v>
      </c>
      <c r="I2127">
        <v>6786</v>
      </c>
      <c r="J2127">
        <v>7.3</v>
      </c>
      <c r="K2127" t="s">
        <v>21</v>
      </c>
      <c r="L2127">
        <v>14.4</v>
      </c>
      <c r="M2127">
        <v>10</v>
      </c>
      <c r="N2127">
        <v>5972</v>
      </c>
      <c r="O2127" t="s">
        <v>55</v>
      </c>
      <c r="P2127">
        <v>80.599999999999994</v>
      </c>
      <c r="Q2127" t="s">
        <v>125</v>
      </c>
      <c r="R2127">
        <v>61.5</v>
      </c>
      <c r="S2127">
        <v>7</v>
      </c>
      <c r="T2127">
        <v>2.6</v>
      </c>
      <c r="U2127">
        <v>8.6999999999999993</v>
      </c>
      <c r="V2127">
        <v>7</v>
      </c>
      <c r="W2127">
        <v>5.7</v>
      </c>
      <c r="X2127" t="s">
        <v>116</v>
      </c>
    </row>
    <row r="2128" spans="2:24" x14ac:dyDescent="0.3">
      <c r="B2128" t="s">
        <v>2221</v>
      </c>
      <c r="C2128" t="s">
        <v>90</v>
      </c>
      <c r="D2128" t="s">
        <v>3</v>
      </c>
      <c r="E2128" t="s">
        <v>16</v>
      </c>
      <c r="F2128" t="s">
        <v>10</v>
      </c>
      <c r="G2128" t="s">
        <v>104</v>
      </c>
      <c r="H2128">
        <v>2024</v>
      </c>
      <c r="I2128">
        <v>9753</v>
      </c>
      <c r="J2128">
        <v>32.1</v>
      </c>
      <c r="K2128" t="s">
        <v>25</v>
      </c>
      <c r="L2128">
        <v>5.7</v>
      </c>
      <c r="M2128">
        <v>10</v>
      </c>
      <c r="N2128">
        <v>901</v>
      </c>
      <c r="O2128" t="s">
        <v>75</v>
      </c>
      <c r="P2128">
        <v>29.1</v>
      </c>
      <c r="Q2128" t="s">
        <v>86</v>
      </c>
      <c r="R2128">
        <v>38.9</v>
      </c>
      <c r="S2128">
        <v>31.5</v>
      </c>
      <c r="T2128">
        <v>9.1</v>
      </c>
      <c r="U2128">
        <v>7.9</v>
      </c>
      <c r="V2128">
        <v>3.7</v>
      </c>
      <c r="W2128">
        <v>4.3</v>
      </c>
      <c r="X2128" t="s">
        <v>66</v>
      </c>
    </row>
    <row r="2129" spans="2:24" x14ac:dyDescent="0.3">
      <c r="B2129" t="s">
        <v>2222</v>
      </c>
      <c r="C2129" t="s">
        <v>68</v>
      </c>
      <c r="D2129" t="s">
        <v>8</v>
      </c>
      <c r="E2129" t="s">
        <v>17</v>
      </c>
      <c r="F2129" t="s">
        <v>10</v>
      </c>
      <c r="G2129" t="s">
        <v>74</v>
      </c>
      <c r="H2129">
        <v>2025</v>
      </c>
      <c r="I2129">
        <v>6823</v>
      </c>
      <c r="J2129">
        <v>10.9</v>
      </c>
      <c r="K2129" t="s">
        <v>23</v>
      </c>
      <c r="L2129">
        <v>9.3000000000000007</v>
      </c>
      <c r="M2129">
        <v>10</v>
      </c>
      <c r="N2129">
        <v>977</v>
      </c>
      <c r="O2129" t="s">
        <v>64</v>
      </c>
      <c r="P2129">
        <v>74.2</v>
      </c>
      <c r="Q2129" t="s">
        <v>79</v>
      </c>
      <c r="R2129">
        <v>16.5</v>
      </c>
      <c r="S2129">
        <v>20.8</v>
      </c>
      <c r="T2129">
        <v>10.1</v>
      </c>
      <c r="U2129">
        <v>5.6</v>
      </c>
      <c r="V2129">
        <v>7.6</v>
      </c>
      <c r="W2129">
        <v>5.8</v>
      </c>
      <c r="X2129" t="s">
        <v>116</v>
      </c>
    </row>
    <row r="2130" spans="2:24" x14ac:dyDescent="0.3">
      <c r="B2130" t="s">
        <v>2223</v>
      </c>
      <c r="C2130" t="s">
        <v>97</v>
      </c>
      <c r="D2130" t="s">
        <v>3</v>
      </c>
      <c r="E2130" t="s">
        <v>19</v>
      </c>
      <c r="F2130" t="s">
        <v>11</v>
      </c>
      <c r="G2130" t="s">
        <v>78</v>
      </c>
      <c r="H2130">
        <v>2024</v>
      </c>
      <c r="I2130">
        <v>1423</v>
      </c>
      <c r="J2130">
        <v>35.299999999999997</v>
      </c>
      <c r="K2130" t="s">
        <v>22</v>
      </c>
      <c r="L2130">
        <v>12.3</v>
      </c>
      <c r="M2130">
        <v>10</v>
      </c>
      <c r="N2130">
        <v>1071</v>
      </c>
      <c r="O2130" t="s">
        <v>75</v>
      </c>
      <c r="P2130">
        <v>33.200000000000003</v>
      </c>
      <c r="Q2130" t="s">
        <v>65</v>
      </c>
      <c r="R2130">
        <v>-34.9</v>
      </c>
      <c r="S2130">
        <v>53.5</v>
      </c>
      <c r="T2130">
        <v>23.5</v>
      </c>
      <c r="U2130">
        <v>8.6</v>
      </c>
      <c r="V2130">
        <v>4.8</v>
      </c>
      <c r="W2130">
        <v>4.9000000000000004</v>
      </c>
      <c r="X2130" t="s">
        <v>66</v>
      </c>
    </row>
    <row r="2131" spans="2:24" x14ac:dyDescent="0.3">
      <c r="B2131" t="s">
        <v>2224</v>
      </c>
      <c r="C2131" t="s">
        <v>90</v>
      </c>
      <c r="D2131" t="s">
        <v>3</v>
      </c>
      <c r="E2131" t="s">
        <v>19</v>
      </c>
      <c r="F2131" t="s">
        <v>10</v>
      </c>
      <c r="G2131" t="s">
        <v>104</v>
      </c>
      <c r="H2131">
        <v>2026</v>
      </c>
      <c r="I2131">
        <v>1116</v>
      </c>
      <c r="J2131">
        <v>8.1</v>
      </c>
      <c r="K2131" t="s">
        <v>24</v>
      </c>
      <c r="L2131">
        <v>3.6</v>
      </c>
      <c r="M2131">
        <v>5.0999999999999996</v>
      </c>
      <c r="N2131">
        <v>4941</v>
      </c>
      <c r="O2131" t="s">
        <v>64</v>
      </c>
      <c r="P2131">
        <v>49.7</v>
      </c>
      <c r="Q2131" t="s">
        <v>125</v>
      </c>
      <c r="R2131">
        <v>45.9</v>
      </c>
      <c r="S2131">
        <v>46</v>
      </c>
      <c r="T2131">
        <v>21</v>
      </c>
      <c r="U2131">
        <v>2.2000000000000002</v>
      </c>
      <c r="V2131">
        <v>9.6</v>
      </c>
      <c r="W2131">
        <v>8.5</v>
      </c>
      <c r="X2131" t="s">
        <v>57</v>
      </c>
    </row>
    <row r="2132" spans="2:24" x14ac:dyDescent="0.3">
      <c r="B2132" t="s">
        <v>2225</v>
      </c>
      <c r="C2132" t="s">
        <v>73</v>
      </c>
      <c r="D2132" t="s">
        <v>3</v>
      </c>
      <c r="E2132" t="s">
        <v>14</v>
      </c>
      <c r="F2132" t="s">
        <v>10</v>
      </c>
      <c r="G2132" t="s">
        <v>54</v>
      </c>
      <c r="H2132">
        <v>2026</v>
      </c>
      <c r="I2132">
        <v>385</v>
      </c>
      <c r="J2132">
        <v>0.6</v>
      </c>
      <c r="K2132" t="s">
        <v>24</v>
      </c>
      <c r="L2132">
        <v>8.1</v>
      </c>
      <c r="M2132">
        <v>2.8</v>
      </c>
      <c r="N2132">
        <v>3585</v>
      </c>
      <c r="O2132" t="s">
        <v>55</v>
      </c>
      <c r="P2132">
        <v>71.2</v>
      </c>
      <c r="Q2132" t="s">
        <v>86</v>
      </c>
      <c r="R2132">
        <v>-27</v>
      </c>
      <c r="S2132">
        <v>1.5</v>
      </c>
      <c r="T2132">
        <v>8.3000000000000007</v>
      </c>
      <c r="U2132">
        <v>7.3</v>
      </c>
      <c r="V2132">
        <v>5.8</v>
      </c>
      <c r="W2132">
        <v>7.1</v>
      </c>
      <c r="X2132" t="s">
        <v>57</v>
      </c>
    </row>
    <row r="2133" spans="2:24" x14ac:dyDescent="0.3">
      <c r="B2133" t="s">
        <v>2226</v>
      </c>
      <c r="C2133" t="s">
        <v>59</v>
      </c>
      <c r="D2133" t="s">
        <v>4</v>
      </c>
      <c r="E2133" t="s">
        <v>19</v>
      </c>
      <c r="F2133" t="s">
        <v>10</v>
      </c>
      <c r="G2133" t="s">
        <v>78</v>
      </c>
      <c r="H2133">
        <v>2026</v>
      </c>
      <c r="I2133">
        <v>4372</v>
      </c>
      <c r="J2133">
        <v>10.7</v>
      </c>
      <c r="K2133" t="s">
        <v>23</v>
      </c>
      <c r="L2133">
        <v>3.9</v>
      </c>
      <c r="M2133">
        <v>8.6999999999999993</v>
      </c>
      <c r="N2133">
        <v>3952</v>
      </c>
      <c r="O2133" t="s">
        <v>64</v>
      </c>
      <c r="P2133">
        <v>23.2</v>
      </c>
      <c r="Q2133" t="s">
        <v>125</v>
      </c>
      <c r="R2133">
        <v>-30.3</v>
      </c>
      <c r="S2133">
        <v>37.200000000000003</v>
      </c>
      <c r="T2133">
        <v>7.8</v>
      </c>
      <c r="U2133">
        <v>4.3</v>
      </c>
      <c r="V2133">
        <v>8.1999999999999993</v>
      </c>
      <c r="W2133">
        <v>5.6</v>
      </c>
      <c r="X2133" t="s">
        <v>116</v>
      </c>
    </row>
    <row r="2134" spans="2:24" x14ac:dyDescent="0.3">
      <c r="B2134" t="s">
        <v>2227</v>
      </c>
      <c r="C2134" t="s">
        <v>159</v>
      </c>
      <c r="D2134" t="s">
        <v>2</v>
      </c>
      <c r="E2134" t="s">
        <v>15</v>
      </c>
      <c r="F2134" t="s">
        <v>11</v>
      </c>
      <c r="G2134" t="s">
        <v>131</v>
      </c>
      <c r="H2134">
        <v>2026</v>
      </c>
      <c r="I2134">
        <v>4850</v>
      </c>
      <c r="J2134">
        <v>15.6</v>
      </c>
      <c r="K2134" t="s">
        <v>24</v>
      </c>
      <c r="L2134">
        <v>1.9</v>
      </c>
      <c r="M2134">
        <v>5.2</v>
      </c>
      <c r="N2134">
        <v>5341</v>
      </c>
      <c r="O2134" t="s">
        <v>55</v>
      </c>
      <c r="P2134">
        <v>80.099999999999994</v>
      </c>
      <c r="Q2134" t="s">
        <v>56</v>
      </c>
      <c r="R2134">
        <v>45.2</v>
      </c>
      <c r="S2134">
        <v>28.9</v>
      </c>
      <c r="T2134">
        <v>13.4</v>
      </c>
      <c r="U2134">
        <v>1.7</v>
      </c>
      <c r="V2134">
        <v>4.9000000000000004</v>
      </c>
      <c r="W2134">
        <v>6</v>
      </c>
      <c r="X2134" t="s">
        <v>116</v>
      </c>
    </row>
    <row r="2135" spans="2:24" x14ac:dyDescent="0.3">
      <c r="B2135" t="s">
        <v>2228</v>
      </c>
      <c r="C2135" t="s">
        <v>94</v>
      </c>
      <c r="D2135" t="s">
        <v>6</v>
      </c>
      <c r="E2135" t="s">
        <v>19</v>
      </c>
      <c r="F2135" t="s">
        <v>11</v>
      </c>
      <c r="G2135" t="s">
        <v>112</v>
      </c>
      <c r="H2135">
        <v>2026</v>
      </c>
      <c r="I2135">
        <v>2814</v>
      </c>
      <c r="J2135">
        <v>3.9</v>
      </c>
      <c r="K2135" t="s">
        <v>23</v>
      </c>
      <c r="L2135">
        <v>4.2</v>
      </c>
      <c r="M2135">
        <v>6.3</v>
      </c>
      <c r="N2135">
        <v>967</v>
      </c>
      <c r="O2135" t="s">
        <v>64</v>
      </c>
      <c r="P2135">
        <v>79.8</v>
      </c>
      <c r="Q2135" t="s">
        <v>84</v>
      </c>
      <c r="R2135">
        <v>19.100000000000001</v>
      </c>
      <c r="S2135">
        <v>36.4</v>
      </c>
      <c r="T2135">
        <v>15.9</v>
      </c>
      <c r="U2135">
        <v>4.9000000000000004</v>
      </c>
      <c r="V2135">
        <v>8.1</v>
      </c>
      <c r="W2135">
        <v>7.3</v>
      </c>
      <c r="X2135" t="s">
        <v>116</v>
      </c>
    </row>
    <row r="2136" spans="2:24" x14ac:dyDescent="0.3">
      <c r="B2136" t="s">
        <v>2229</v>
      </c>
      <c r="C2136" t="s">
        <v>159</v>
      </c>
      <c r="D2136" t="s">
        <v>2</v>
      </c>
      <c r="E2136" t="s">
        <v>15</v>
      </c>
      <c r="F2136" t="s">
        <v>11</v>
      </c>
      <c r="G2136" t="s">
        <v>98</v>
      </c>
      <c r="H2136">
        <v>2026</v>
      </c>
      <c r="I2136">
        <v>1667</v>
      </c>
      <c r="J2136">
        <v>10.4</v>
      </c>
      <c r="K2136" t="s">
        <v>22</v>
      </c>
      <c r="L2136">
        <v>1.7</v>
      </c>
      <c r="M2136">
        <v>3.8</v>
      </c>
      <c r="N2136">
        <v>3629</v>
      </c>
      <c r="O2136" t="s">
        <v>55</v>
      </c>
      <c r="P2136">
        <v>78.5</v>
      </c>
      <c r="Q2136" t="s">
        <v>56</v>
      </c>
      <c r="R2136">
        <v>-10.6</v>
      </c>
      <c r="S2136">
        <v>3.3</v>
      </c>
      <c r="T2136">
        <v>-10.199999999999999</v>
      </c>
      <c r="U2136">
        <v>1.9</v>
      </c>
      <c r="V2136">
        <v>5.5</v>
      </c>
      <c r="W2136">
        <v>5.6</v>
      </c>
      <c r="X2136" t="s">
        <v>116</v>
      </c>
    </row>
    <row r="2137" spans="2:24" x14ac:dyDescent="0.3">
      <c r="B2137" t="s">
        <v>2230</v>
      </c>
      <c r="C2137" t="s">
        <v>68</v>
      </c>
      <c r="D2137" t="s">
        <v>8</v>
      </c>
      <c r="E2137" t="s">
        <v>18</v>
      </c>
      <c r="F2137" t="s">
        <v>11</v>
      </c>
      <c r="G2137" t="s">
        <v>98</v>
      </c>
      <c r="H2137">
        <v>2026</v>
      </c>
      <c r="I2137">
        <v>908</v>
      </c>
      <c r="J2137">
        <v>17</v>
      </c>
      <c r="K2137" t="s">
        <v>21</v>
      </c>
      <c r="L2137">
        <v>1.7</v>
      </c>
      <c r="M2137">
        <v>4.5</v>
      </c>
      <c r="N2137">
        <v>4288</v>
      </c>
      <c r="O2137" t="s">
        <v>64</v>
      </c>
      <c r="P2137">
        <v>48.3</v>
      </c>
      <c r="Q2137" t="s">
        <v>76</v>
      </c>
      <c r="R2137">
        <v>76.099999999999994</v>
      </c>
      <c r="S2137">
        <v>27.3</v>
      </c>
      <c r="T2137">
        <v>5.2</v>
      </c>
      <c r="U2137">
        <v>1.3</v>
      </c>
      <c r="V2137">
        <v>6.5</v>
      </c>
      <c r="W2137">
        <v>6.9</v>
      </c>
      <c r="X2137" t="s">
        <v>116</v>
      </c>
    </row>
    <row r="2138" spans="2:24" x14ac:dyDescent="0.3">
      <c r="B2138" t="s">
        <v>2231</v>
      </c>
      <c r="C2138" t="s">
        <v>139</v>
      </c>
      <c r="D2138" t="s">
        <v>8</v>
      </c>
      <c r="E2138" t="s">
        <v>18</v>
      </c>
      <c r="F2138" t="s">
        <v>10</v>
      </c>
      <c r="G2138" t="s">
        <v>101</v>
      </c>
      <c r="H2138">
        <v>2025</v>
      </c>
      <c r="I2138">
        <v>17</v>
      </c>
      <c r="J2138">
        <v>8.1</v>
      </c>
      <c r="K2138" t="s">
        <v>25</v>
      </c>
      <c r="L2138">
        <v>9.9</v>
      </c>
      <c r="M2138">
        <v>6</v>
      </c>
      <c r="N2138">
        <v>1485</v>
      </c>
      <c r="O2138" t="s">
        <v>64</v>
      </c>
      <c r="P2138">
        <v>36.5</v>
      </c>
      <c r="Q2138" t="s">
        <v>84</v>
      </c>
      <c r="R2138">
        <v>22</v>
      </c>
      <c r="S2138">
        <v>11.6</v>
      </c>
      <c r="T2138">
        <v>-1.3</v>
      </c>
      <c r="U2138">
        <v>8.3000000000000007</v>
      </c>
      <c r="V2138">
        <v>6.9</v>
      </c>
      <c r="W2138">
        <v>7.1</v>
      </c>
      <c r="X2138" t="s">
        <v>57</v>
      </c>
    </row>
    <row r="2139" spans="2:24" x14ac:dyDescent="0.3">
      <c r="B2139" t="s">
        <v>2232</v>
      </c>
      <c r="C2139" t="s">
        <v>106</v>
      </c>
      <c r="D2139" t="s">
        <v>8</v>
      </c>
      <c r="E2139" t="s">
        <v>19</v>
      </c>
      <c r="F2139" t="s">
        <v>9</v>
      </c>
      <c r="G2139" t="s">
        <v>69</v>
      </c>
      <c r="H2139">
        <v>2025</v>
      </c>
      <c r="I2139">
        <v>1241</v>
      </c>
      <c r="J2139">
        <v>2.5</v>
      </c>
      <c r="K2139" t="s">
        <v>23</v>
      </c>
      <c r="L2139">
        <v>7.2</v>
      </c>
      <c r="M2139">
        <v>2.9</v>
      </c>
      <c r="N2139">
        <v>3287</v>
      </c>
      <c r="O2139" t="s">
        <v>55</v>
      </c>
      <c r="P2139">
        <v>23.4</v>
      </c>
      <c r="Q2139" t="s">
        <v>125</v>
      </c>
      <c r="R2139">
        <v>76.7</v>
      </c>
      <c r="S2139">
        <v>20.7</v>
      </c>
      <c r="T2139">
        <v>7.3</v>
      </c>
      <c r="U2139">
        <v>4.9000000000000004</v>
      </c>
      <c r="V2139">
        <v>8.9</v>
      </c>
      <c r="W2139">
        <v>8.6999999999999993</v>
      </c>
      <c r="X2139" t="s">
        <v>57</v>
      </c>
    </row>
    <row r="2140" spans="2:24" x14ac:dyDescent="0.3">
      <c r="B2140" t="s">
        <v>2233</v>
      </c>
      <c r="C2140" t="s">
        <v>90</v>
      </c>
      <c r="D2140" t="s">
        <v>6</v>
      </c>
      <c r="E2140" t="s">
        <v>17</v>
      </c>
      <c r="F2140" t="s">
        <v>9</v>
      </c>
      <c r="G2140" t="s">
        <v>112</v>
      </c>
      <c r="H2140">
        <v>2026</v>
      </c>
      <c r="I2140">
        <v>19698</v>
      </c>
      <c r="J2140">
        <v>10</v>
      </c>
      <c r="K2140" t="s">
        <v>23</v>
      </c>
      <c r="L2140">
        <v>4.0999999999999996</v>
      </c>
      <c r="M2140">
        <v>4.5999999999999996</v>
      </c>
      <c r="N2140">
        <v>966</v>
      </c>
      <c r="O2140" t="s">
        <v>64</v>
      </c>
      <c r="P2140">
        <v>86</v>
      </c>
      <c r="Q2140" t="s">
        <v>86</v>
      </c>
      <c r="R2140">
        <v>85.3</v>
      </c>
      <c r="S2140">
        <v>49.5</v>
      </c>
      <c r="T2140">
        <v>23.3</v>
      </c>
      <c r="U2140">
        <v>2.4</v>
      </c>
      <c r="V2140">
        <v>5.8</v>
      </c>
      <c r="W2140">
        <v>8</v>
      </c>
      <c r="X2140" t="s">
        <v>66</v>
      </c>
    </row>
    <row r="2141" spans="2:24" x14ac:dyDescent="0.3">
      <c r="B2141" t="s">
        <v>2234</v>
      </c>
      <c r="C2141" t="s">
        <v>71</v>
      </c>
      <c r="D2141" t="s">
        <v>5</v>
      </c>
      <c r="E2141" t="s">
        <v>18</v>
      </c>
      <c r="F2141" t="s">
        <v>9</v>
      </c>
      <c r="G2141" t="s">
        <v>98</v>
      </c>
      <c r="H2141">
        <v>2024</v>
      </c>
      <c r="I2141">
        <v>1536</v>
      </c>
      <c r="J2141">
        <v>5.5</v>
      </c>
      <c r="K2141" t="s">
        <v>24</v>
      </c>
      <c r="L2141">
        <v>3.8</v>
      </c>
      <c r="M2141">
        <v>6.1</v>
      </c>
      <c r="N2141">
        <v>4865</v>
      </c>
      <c r="O2141" t="s">
        <v>55</v>
      </c>
      <c r="P2141">
        <v>40.700000000000003</v>
      </c>
      <c r="Q2141" t="s">
        <v>79</v>
      </c>
      <c r="R2141">
        <v>45.3</v>
      </c>
      <c r="S2141">
        <v>21.3</v>
      </c>
      <c r="T2141">
        <v>10.8</v>
      </c>
      <c r="U2141">
        <v>4.4000000000000004</v>
      </c>
      <c r="V2141">
        <v>6.2</v>
      </c>
      <c r="W2141">
        <v>7.8</v>
      </c>
      <c r="X2141" t="s">
        <v>57</v>
      </c>
    </row>
    <row r="2142" spans="2:24" x14ac:dyDescent="0.3">
      <c r="B2142" t="s">
        <v>2235</v>
      </c>
      <c r="C2142" t="s">
        <v>90</v>
      </c>
      <c r="D2142" t="s">
        <v>5</v>
      </c>
      <c r="E2142" t="s">
        <v>19</v>
      </c>
      <c r="F2142" t="s">
        <v>10</v>
      </c>
      <c r="G2142" t="s">
        <v>112</v>
      </c>
      <c r="H2142">
        <v>2025</v>
      </c>
      <c r="I2142">
        <v>8821</v>
      </c>
      <c r="J2142">
        <v>35.200000000000003</v>
      </c>
      <c r="K2142" t="s">
        <v>21</v>
      </c>
      <c r="L2142">
        <v>3.3</v>
      </c>
      <c r="M2142">
        <v>10</v>
      </c>
      <c r="N2142">
        <v>896</v>
      </c>
      <c r="O2142" t="s">
        <v>75</v>
      </c>
      <c r="P2142">
        <v>72.099999999999994</v>
      </c>
      <c r="Q2142" t="s">
        <v>86</v>
      </c>
      <c r="R2142">
        <v>67.599999999999994</v>
      </c>
      <c r="S2142">
        <v>32.799999999999997</v>
      </c>
      <c r="T2142">
        <v>8.1999999999999993</v>
      </c>
      <c r="U2142">
        <v>3.9</v>
      </c>
      <c r="V2142">
        <v>4.9000000000000004</v>
      </c>
      <c r="W2142">
        <v>3.6</v>
      </c>
      <c r="X2142" t="s">
        <v>66</v>
      </c>
    </row>
    <row r="2143" spans="2:24" x14ac:dyDescent="0.3">
      <c r="B2143" t="s">
        <v>2236</v>
      </c>
      <c r="C2143" t="s">
        <v>106</v>
      </c>
      <c r="D2143" t="s">
        <v>4</v>
      </c>
      <c r="E2143" t="s">
        <v>15</v>
      </c>
      <c r="F2143" t="s">
        <v>12</v>
      </c>
      <c r="G2143" t="s">
        <v>98</v>
      </c>
      <c r="H2143">
        <v>2025</v>
      </c>
      <c r="I2143">
        <v>4654</v>
      </c>
      <c r="J2143">
        <v>6.3</v>
      </c>
      <c r="K2143" t="s">
        <v>21</v>
      </c>
      <c r="L2143">
        <v>12.1</v>
      </c>
      <c r="M2143">
        <v>8.6999999999999993</v>
      </c>
      <c r="N2143">
        <v>2379</v>
      </c>
      <c r="O2143" t="s">
        <v>64</v>
      </c>
      <c r="P2143">
        <v>72.2</v>
      </c>
      <c r="Q2143" t="s">
        <v>84</v>
      </c>
      <c r="R2143">
        <v>-34.6</v>
      </c>
      <c r="S2143">
        <v>7.5</v>
      </c>
      <c r="T2143">
        <v>4.9000000000000004</v>
      </c>
      <c r="U2143">
        <v>7.1</v>
      </c>
      <c r="V2143">
        <v>5.8</v>
      </c>
      <c r="W2143">
        <v>6.2</v>
      </c>
      <c r="X2143" t="s">
        <v>116</v>
      </c>
    </row>
    <row r="2144" spans="2:24" x14ac:dyDescent="0.3">
      <c r="B2144" t="s">
        <v>2237</v>
      </c>
      <c r="C2144" t="s">
        <v>53</v>
      </c>
      <c r="D2144" t="s">
        <v>2</v>
      </c>
      <c r="E2144" t="s">
        <v>18</v>
      </c>
      <c r="F2144" t="s">
        <v>10</v>
      </c>
      <c r="G2144" t="s">
        <v>54</v>
      </c>
      <c r="H2144">
        <v>2025</v>
      </c>
      <c r="I2144">
        <v>17352</v>
      </c>
      <c r="J2144">
        <v>14.2</v>
      </c>
      <c r="K2144" t="s">
        <v>21</v>
      </c>
      <c r="L2144">
        <v>4.3</v>
      </c>
      <c r="M2144">
        <v>8.6</v>
      </c>
      <c r="N2144">
        <v>9087</v>
      </c>
      <c r="O2144" t="s">
        <v>55</v>
      </c>
      <c r="P2144">
        <v>31.8</v>
      </c>
      <c r="Q2144" t="s">
        <v>76</v>
      </c>
      <c r="R2144">
        <v>54.4</v>
      </c>
      <c r="S2144">
        <v>25.7</v>
      </c>
      <c r="T2144">
        <v>9.9</v>
      </c>
      <c r="U2144">
        <v>6.3</v>
      </c>
      <c r="V2144">
        <v>6.1</v>
      </c>
      <c r="W2144">
        <v>5.9</v>
      </c>
      <c r="X2144" t="s">
        <v>66</v>
      </c>
    </row>
    <row r="2145" spans="2:24" x14ac:dyDescent="0.3">
      <c r="B2145" t="s">
        <v>2238</v>
      </c>
      <c r="C2145" t="s">
        <v>53</v>
      </c>
      <c r="D2145" t="s">
        <v>3</v>
      </c>
      <c r="E2145" t="s">
        <v>19</v>
      </c>
      <c r="F2145" t="s">
        <v>11</v>
      </c>
      <c r="G2145" t="s">
        <v>63</v>
      </c>
      <c r="H2145">
        <v>2024</v>
      </c>
      <c r="I2145">
        <v>5466</v>
      </c>
      <c r="J2145">
        <v>18.5</v>
      </c>
      <c r="K2145" t="s">
        <v>21</v>
      </c>
      <c r="L2145">
        <v>7.6</v>
      </c>
      <c r="M2145">
        <v>10</v>
      </c>
      <c r="N2145">
        <v>1590</v>
      </c>
      <c r="O2145" t="s">
        <v>64</v>
      </c>
      <c r="P2145">
        <v>11.6</v>
      </c>
      <c r="Q2145" t="s">
        <v>125</v>
      </c>
      <c r="R2145">
        <v>65.099999999999994</v>
      </c>
      <c r="S2145">
        <v>20.3</v>
      </c>
      <c r="T2145">
        <v>2.9</v>
      </c>
      <c r="U2145">
        <v>7.8</v>
      </c>
      <c r="V2145">
        <v>6.7</v>
      </c>
      <c r="W2145">
        <v>4.5</v>
      </c>
      <c r="X2145" t="s">
        <v>66</v>
      </c>
    </row>
    <row r="2146" spans="2:24" x14ac:dyDescent="0.3">
      <c r="B2146" t="s">
        <v>2239</v>
      </c>
      <c r="C2146" t="s">
        <v>71</v>
      </c>
      <c r="D2146" t="s">
        <v>6</v>
      </c>
      <c r="E2146" t="s">
        <v>18</v>
      </c>
      <c r="F2146" t="s">
        <v>12</v>
      </c>
      <c r="G2146" t="s">
        <v>101</v>
      </c>
      <c r="H2146">
        <v>2026</v>
      </c>
      <c r="I2146">
        <v>17577</v>
      </c>
      <c r="J2146">
        <v>21.5</v>
      </c>
      <c r="K2146" t="s">
        <v>23</v>
      </c>
      <c r="L2146">
        <v>5.4</v>
      </c>
      <c r="M2146">
        <v>9.1999999999999993</v>
      </c>
      <c r="N2146">
        <v>547</v>
      </c>
      <c r="O2146" t="s">
        <v>64</v>
      </c>
      <c r="P2146">
        <v>14.8</v>
      </c>
      <c r="Q2146" t="s">
        <v>65</v>
      </c>
      <c r="R2146">
        <v>57.5</v>
      </c>
      <c r="S2146">
        <v>10.6</v>
      </c>
      <c r="T2146">
        <v>9.6999999999999993</v>
      </c>
      <c r="U2146">
        <v>5.9</v>
      </c>
      <c r="V2146">
        <v>4.0999999999999996</v>
      </c>
      <c r="W2146">
        <v>5.0999999999999996</v>
      </c>
      <c r="X2146" t="s">
        <v>66</v>
      </c>
    </row>
    <row r="2147" spans="2:24" x14ac:dyDescent="0.3">
      <c r="B2147" t="s">
        <v>2240</v>
      </c>
      <c r="C2147" t="s">
        <v>27</v>
      </c>
      <c r="D2147" t="s">
        <v>2</v>
      </c>
      <c r="E2147" t="s">
        <v>18</v>
      </c>
      <c r="F2147" t="s">
        <v>12</v>
      </c>
      <c r="G2147" t="s">
        <v>54</v>
      </c>
      <c r="H2147">
        <v>2026</v>
      </c>
      <c r="I2147">
        <v>1184</v>
      </c>
      <c r="J2147">
        <v>4.3</v>
      </c>
      <c r="K2147" t="s">
        <v>25</v>
      </c>
      <c r="L2147">
        <v>8.1</v>
      </c>
      <c r="M2147">
        <v>10</v>
      </c>
      <c r="N2147">
        <v>2180</v>
      </c>
      <c r="O2147" t="s">
        <v>55</v>
      </c>
      <c r="P2147">
        <v>54.7</v>
      </c>
      <c r="Q2147" t="s">
        <v>56</v>
      </c>
      <c r="R2147">
        <v>43.2</v>
      </c>
      <c r="S2147">
        <v>38.1</v>
      </c>
      <c r="T2147">
        <v>28.6</v>
      </c>
      <c r="U2147">
        <v>9.4</v>
      </c>
      <c r="V2147">
        <v>5.8</v>
      </c>
      <c r="W2147">
        <v>7.3</v>
      </c>
      <c r="X2147" t="s">
        <v>57</v>
      </c>
    </row>
    <row r="2148" spans="2:24" x14ac:dyDescent="0.3">
      <c r="B2148" t="s">
        <v>2241</v>
      </c>
      <c r="C2148" t="s">
        <v>106</v>
      </c>
      <c r="D2148" t="s">
        <v>7</v>
      </c>
      <c r="E2148" t="s">
        <v>17</v>
      </c>
      <c r="F2148" t="s">
        <v>12</v>
      </c>
      <c r="G2148" t="s">
        <v>78</v>
      </c>
      <c r="H2148">
        <v>2025</v>
      </c>
      <c r="I2148">
        <v>11740</v>
      </c>
      <c r="J2148">
        <v>35</v>
      </c>
      <c r="K2148" t="s">
        <v>21</v>
      </c>
      <c r="L2148">
        <v>9.5</v>
      </c>
      <c r="M2148">
        <v>10</v>
      </c>
      <c r="N2148">
        <v>1793</v>
      </c>
      <c r="O2148" t="s">
        <v>64</v>
      </c>
      <c r="P2148">
        <v>54.4</v>
      </c>
      <c r="Q2148" t="s">
        <v>84</v>
      </c>
      <c r="R2148">
        <v>86.5</v>
      </c>
      <c r="S2148">
        <v>12.5</v>
      </c>
      <c r="T2148">
        <v>-4.2</v>
      </c>
      <c r="U2148">
        <v>8.1999999999999993</v>
      </c>
      <c r="V2148">
        <v>5.8</v>
      </c>
      <c r="W2148">
        <v>2.4</v>
      </c>
      <c r="X2148" t="s">
        <v>66</v>
      </c>
    </row>
    <row r="2149" spans="2:24" x14ac:dyDescent="0.3">
      <c r="B2149" t="s">
        <v>2242</v>
      </c>
      <c r="C2149" t="s">
        <v>97</v>
      </c>
      <c r="D2149" t="s">
        <v>3</v>
      </c>
      <c r="E2149" t="s">
        <v>17</v>
      </c>
      <c r="F2149" t="s">
        <v>11</v>
      </c>
      <c r="G2149" t="s">
        <v>60</v>
      </c>
      <c r="H2149">
        <v>2025</v>
      </c>
      <c r="I2149">
        <v>6885</v>
      </c>
      <c r="J2149">
        <v>14.3</v>
      </c>
      <c r="K2149" t="s">
        <v>25</v>
      </c>
      <c r="L2149">
        <v>7.2</v>
      </c>
      <c r="M2149">
        <v>9.4</v>
      </c>
      <c r="N2149">
        <v>5544</v>
      </c>
      <c r="O2149" t="s">
        <v>55</v>
      </c>
      <c r="P2149">
        <v>80.900000000000006</v>
      </c>
      <c r="Q2149" t="s">
        <v>65</v>
      </c>
      <c r="R2149">
        <v>70.3</v>
      </c>
      <c r="S2149">
        <v>-9</v>
      </c>
      <c r="T2149">
        <v>-4.9000000000000004</v>
      </c>
      <c r="U2149">
        <v>8.1999999999999993</v>
      </c>
      <c r="V2149">
        <v>6.2</v>
      </c>
      <c r="W2149">
        <v>4</v>
      </c>
      <c r="X2149" t="s">
        <v>116</v>
      </c>
    </row>
    <row r="2150" spans="2:24" x14ac:dyDescent="0.3">
      <c r="B2150" t="s">
        <v>2243</v>
      </c>
      <c r="C2150" t="s">
        <v>122</v>
      </c>
      <c r="D2150" t="s">
        <v>2</v>
      </c>
      <c r="E2150" t="s">
        <v>18</v>
      </c>
      <c r="F2150" t="s">
        <v>9</v>
      </c>
      <c r="G2150" t="s">
        <v>98</v>
      </c>
      <c r="H2150">
        <v>2026</v>
      </c>
      <c r="I2150">
        <v>1740</v>
      </c>
      <c r="J2150">
        <v>9.8000000000000007</v>
      </c>
      <c r="K2150" t="s">
        <v>24</v>
      </c>
      <c r="L2150">
        <v>9</v>
      </c>
      <c r="M2150">
        <v>10</v>
      </c>
      <c r="N2150">
        <v>8205</v>
      </c>
      <c r="O2150" t="s">
        <v>55</v>
      </c>
      <c r="P2150">
        <v>16.8</v>
      </c>
      <c r="Q2150" t="s">
        <v>56</v>
      </c>
      <c r="R2150">
        <v>-17</v>
      </c>
      <c r="S2150">
        <v>-1.7</v>
      </c>
      <c r="T2150">
        <v>6.9</v>
      </c>
      <c r="U2150">
        <v>9</v>
      </c>
      <c r="V2150">
        <v>4.5</v>
      </c>
      <c r="W2150">
        <v>5.2</v>
      </c>
      <c r="X2150" t="s">
        <v>116</v>
      </c>
    </row>
    <row r="2151" spans="2:24" x14ac:dyDescent="0.3">
      <c r="B2151" t="s">
        <v>2244</v>
      </c>
      <c r="C2151" t="s">
        <v>90</v>
      </c>
      <c r="D2151" t="s">
        <v>2</v>
      </c>
      <c r="E2151" t="s">
        <v>14</v>
      </c>
      <c r="F2151" t="s">
        <v>12</v>
      </c>
      <c r="G2151" t="s">
        <v>78</v>
      </c>
      <c r="H2151">
        <v>2026</v>
      </c>
      <c r="I2151">
        <v>17023</v>
      </c>
      <c r="J2151">
        <v>26.1</v>
      </c>
      <c r="K2151" t="s">
        <v>24</v>
      </c>
      <c r="L2151">
        <v>11.9</v>
      </c>
      <c r="M2151">
        <v>10</v>
      </c>
      <c r="N2151">
        <v>8403</v>
      </c>
      <c r="O2151" t="s">
        <v>55</v>
      </c>
      <c r="P2151">
        <v>45.7</v>
      </c>
      <c r="Q2151" t="s">
        <v>56</v>
      </c>
      <c r="R2151">
        <v>-17.7</v>
      </c>
      <c r="S2151">
        <v>8.6</v>
      </c>
      <c r="T2151">
        <v>1.3</v>
      </c>
      <c r="U2151">
        <v>9.3000000000000007</v>
      </c>
      <c r="V2151">
        <v>6.1</v>
      </c>
      <c r="W2151">
        <v>4.2</v>
      </c>
      <c r="X2151" t="s">
        <v>66</v>
      </c>
    </row>
    <row r="2152" spans="2:24" x14ac:dyDescent="0.3">
      <c r="B2152" t="s">
        <v>2245</v>
      </c>
      <c r="C2152" t="s">
        <v>27</v>
      </c>
      <c r="D2152" t="s">
        <v>3</v>
      </c>
      <c r="E2152" t="s">
        <v>15</v>
      </c>
      <c r="F2152" t="s">
        <v>9</v>
      </c>
      <c r="G2152" t="s">
        <v>54</v>
      </c>
      <c r="H2152">
        <v>2026</v>
      </c>
      <c r="I2152">
        <v>1313</v>
      </c>
      <c r="J2152">
        <v>3.1</v>
      </c>
      <c r="K2152" t="s">
        <v>25</v>
      </c>
      <c r="L2152">
        <v>2</v>
      </c>
      <c r="M2152">
        <v>5.2</v>
      </c>
      <c r="N2152">
        <v>4721</v>
      </c>
      <c r="O2152" t="s">
        <v>64</v>
      </c>
      <c r="P2152">
        <v>12.4</v>
      </c>
      <c r="Q2152" t="s">
        <v>56</v>
      </c>
      <c r="R2152">
        <v>63.5</v>
      </c>
      <c r="S2152">
        <v>-1.5</v>
      </c>
      <c r="T2152">
        <v>-4.4000000000000004</v>
      </c>
      <c r="U2152">
        <v>2.9</v>
      </c>
      <c r="V2152">
        <v>6.8</v>
      </c>
      <c r="W2152">
        <v>6.3</v>
      </c>
      <c r="X2152" t="s">
        <v>57</v>
      </c>
    </row>
    <row r="2153" spans="2:24" x14ac:dyDescent="0.3">
      <c r="B2153" t="s">
        <v>2246</v>
      </c>
      <c r="C2153" t="s">
        <v>97</v>
      </c>
      <c r="D2153" t="s">
        <v>3</v>
      </c>
      <c r="E2153" t="s">
        <v>19</v>
      </c>
      <c r="F2153" t="s">
        <v>12</v>
      </c>
      <c r="G2153" t="s">
        <v>69</v>
      </c>
      <c r="H2153">
        <v>2026</v>
      </c>
      <c r="I2153">
        <v>1320</v>
      </c>
      <c r="J2153">
        <v>5.3</v>
      </c>
      <c r="K2153" t="s">
        <v>24</v>
      </c>
      <c r="L2153">
        <v>1.3</v>
      </c>
      <c r="M2153">
        <v>2.9</v>
      </c>
      <c r="N2153">
        <v>5383</v>
      </c>
      <c r="O2153" t="s">
        <v>55</v>
      </c>
      <c r="P2153">
        <v>42.1</v>
      </c>
      <c r="Q2153" t="s">
        <v>56</v>
      </c>
      <c r="R2153">
        <v>35.6</v>
      </c>
      <c r="S2153">
        <v>-13.1</v>
      </c>
      <c r="T2153">
        <v>-6.9</v>
      </c>
      <c r="U2153">
        <v>1</v>
      </c>
      <c r="V2153">
        <v>6.4</v>
      </c>
      <c r="W2153">
        <v>6.5</v>
      </c>
      <c r="X2153" t="s">
        <v>57</v>
      </c>
    </row>
    <row r="2154" spans="2:24" x14ac:dyDescent="0.3">
      <c r="B2154" t="s">
        <v>2247</v>
      </c>
      <c r="C2154" t="s">
        <v>159</v>
      </c>
      <c r="D2154" t="s">
        <v>2</v>
      </c>
      <c r="E2154" t="s">
        <v>15</v>
      </c>
      <c r="F2154" t="s">
        <v>12</v>
      </c>
      <c r="G2154" t="s">
        <v>63</v>
      </c>
      <c r="H2154">
        <v>2025</v>
      </c>
      <c r="I2154">
        <v>2306</v>
      </c>
      <c r="J2154">
        <v>4.4000000000000004</v>
      </c>
      <c r="K2154" t="s">
        <v>24</v>
      </c>
      <c r="L2154">
        <v>9.6999999999999993</v>
      </c>
      <c r="M2154">
        <v>6.2</v>
      </c>
      <c r="N2154">
        <v>2338</v>
      </c>
      <c r="O2154" t="s">
        <v>55</v>
      </c>
      <c r="P2154">
        <v>73.400000000000006</v>
      </c>
      <c r="Q2154" t="s">
        <v>76</v>
      </c>
      <c r="R2154">
        <v>-0.4</v>
      </c>
      <c r="S2154">
        <v>47.6</v>
      </c>
      <c r="T2154">
        <v>17.899999999999999</v>
      </c>
      <c r="U2154">
        <v>7.6</v>
      </c>
      <c r="V2154">
        <v>7.5</v>
      </c>
      <c r="W2154">
        <v>7.3</v>
      </c>
      <c r="X2154" t="s">
        <v>57</v>
      </c>
    </row>
    <row r="2155" spans="2:24" x14ac:dyDescent="0.3">
      <c r="B2155" t="s">
        <v>2248</v>
      </c>
      <c r="C2155" t="s">
        <v>137</v>
      </c>
      <c r="D2155" t="s">
        <v>3</v>
      </c>
      <c r="E2155" t="s">
        <v>14</v>
      </c>
      <c r="F2155" t="s">
        <v>9</v>
      </c>
      <c r="G2155" t="s">
        <v>131</v>
      </c>
      <c r="H2155">
        <v>2026</v>
      </c>
      <c r="I2155">
        <v>6472</v>
      </c>
      <c r="J2155">
        <v>19.7</v>
      </c>
      <c r="K2155" t="s">
        <v>24</v>
      </c>
      <c r="L2155">
        <v>5.6</v>
      </c>
      <c r="M2155">
        <v>8.6999999999999993</v>
      </c>
      <c r="N2155">
        <v>1736</v>
      </c>
      <c r="O2155" t="s">
        <v>64</v>
      </c>
      <c r="P2155">
        <v>62.6</v>
      </c>
      <c r="Q2155" t="s">
        <v>65</v>
      </c>
      <c r="R2155">
        <v>53.1</v>
      </c>
      <c r="S2155">
        <v>-16.5</v>
      </c>
      <c r="T2155">
        <v>-13.9</v>
      </c>
      <c r="U2155">
        <v>4.5999999999999996</v>
      </c>
      <c r="V2155">
        <v>6.5</v>
      </c>
      <c r="W2155">
        <v>2.9</v>
      </c>
      <c r="X2155" t="s">
        <v>66</v>
      </c>
    </row>
    <row r="2156" spans="2:24" x14ac:dyDescent="0.3">
      <c r="B2156" t="s">
        <v>2249</v>
      </c>
      <c r="C2156" t="s">
        <v>106</v>
      </c>
      <c r="D2156" t="s">
        <v>7</v>
      </c>
      <c r="E2156" t="s">
        <v>18</v>
      </c>
      <c r="F2156" t="s">
        <v>10</v>
      </c>
      <c r="G2156" t="s">
        <v>63</v>
      </c>
      <c r="H2156">
        <v>2024</v>
      </c>
      <c r="I2156">
        <v>581</v>
      </c>
      <c r="J2156">
        <v>3.4</v>
      </c>
      <c r="K2156" t="s">
        <v>23</v>
      </c>
      <c r="L2156">
        <v>8.1999999999999993</v>
      </c>
      <c r="M2156">
        <v>7.5</v>
      </c>
      <c r="N2156">
        <v>2030</v>
      </c>
      <c r="O2156" t="s">
        <v>55</v>
      </c>
      <c r="P2156">
        <v>17.5</v>
      </c>
      <c r="Q2156" t="s">
        <v>65</v>
      </c>
      <c r="R2156">
        <v>55.7</v>
      </c>
      <c r="S2156">
        <v>45.3</v>
      </c>
      <c r="T2156">
        <v>28.3</v>
      </c>
      <c r="U2156">
        <v>6.4</v>
      </c>
      <c r="V2156">
        <v>8</v>
      </c>
      <c r="W2156">
        <v>8.3000000000000007</v>
      </c>
      <c r="X2156" t="s">
        <v>57</v>
      </c>
    </row>
    <row r="2157" spans="2:24" x14ac:dyDescent="0.3">
      <c r="B2157" t="s">
        <v>2250</v>
      </c>
      <c r="C2157" t="s">
        <v>159</v>
      </c>
      <c r="D2157" t="s">
        <v>7</v>
      </c>
      <c r="E2157" t="s">
        <v>18</v>
      </c>
      <c r="F2157" t="s">
        <v>12</v>
      </c>
      <c r="G2157" t="s">
        <v>101</v>
      </c>
      <c r="H2157">
        <v>2024</v>
      </c>
      <c r="I2157">
        <v>3283</v>
      </c>
      <c r="J2157">
        <v>11.7</v>
      </c>
      <c r="K2157" t="s">
        <v>24</v>
      </c>
      <c r="L2157">
        <v>2.9</v>
      </c>
      <c r="M2157">
        <v>2.8</v>
      </c>
      <c r="N2157">
        <v>1188</v>
      </c>
      <c r="O2157" t="s">
        <v>64</v>
      </c>
      <c r="P2157">
        <v>47</v>
      </c>
      <c r="Q2157" t="s">
        <v>88</v>
      </c>
      <c r="R2157">
        <v>38.1</v>
      </c>
      <c r="S2157">
        <v>-7.1</v>
      </c>
      <c r="T2157">
        <v>3.3</v>
      </c>
      <c r="U2157">
        <v>2.2000000000000002</v>
      </c>
      <c r="V2157">
        <v>4.4000000000000004</v>
      </c>
      <c r="W2157">
        <v>5.0999999999999996</v>
      </c>
      <c r="X2157" t="s">
        <v>116</v>
      </c>
    </row>
    <row r="2158" spans="2:24" x14ac:dyDescent="0.3">
      <c r="B2158" t="s">
        <v>2251</v>
      </c>
      <c r="C2158" t="s">
        <v>81</v>
      </c>
      <c r="D2158" t="s">
        <v>5</v>
      </c>
      <c r="E2158" t="s">
        <v>14</v>
      </c>
      <c r="F2158" t="s">
        <v>12</v>
      </c>
      <c r="G2158" t="s">
        <v>112</v>
      </c>
      <c r="H2158">
        <v>2024</v>
      </c>
      <c r="I2158">
        <v>3985</v>
      </c>
      <c r="J2158">
        <v>13.8</v>
      </c>
      <c r="K2158" t="s">
        <v>21</v>
      </c>
      <c r="L2158">
        <v>5.0999999999999996</v>
      </c>
      <c r="M2158">
        <v>5.6</v>
      </c>
      <c r="N2158">
        <v>4808</v>
      </c>
      <c r="O2158" t="s">
        <v>55</v>
      </c>
      <c r="P2158">
        <v>66.8</v>
      </c>
      <c r="Q2158" t="s">
        <v>86</v>
      </c>
      <c r="R2158">
        <v>29</v>
      </c>
      <c r="S2158">
        <v>22</v>
      </c>
      <c r="T2158">
        <v>15.9</v>
      </c>
      <c r="U2158">
        <v>3.4</v>
      </c>
      <c r="V2158">
        <v>5</v>
      </c>
      <c r="W2158">
        <v>6.3</v>
      </c>
      <c r="X2158" t="s">
        <v>116</v>
      </c>
    </row>
    <row r="2159" spans="2:24" x14ac:dyDescent="0.3">
      <c r="B2159" t="s">
        <v>2252</v>
      </c>
      <c r="C2159" t="s">
        <v>106</v>
      </c>
      <c r="D2159" t="s">
        <v>8</v>
      </c>
      <c r="E2159" t="s">
        <v>14</v>
      </c>
      <c r="F2159" t="s">
        <v>10</v>
      </c>
      <c r="G2159" t="s">
        <v>54</v>
      </c>
      <c r="H2159">
        <v>2026</v>
      </c>
      <c r="I2159">
        <v>3473</v>
      </c>
      <c r="J2159">
        <v>9.3000000000000007</v>
      </c>
      <c r="K2159" t="s">
        <v>22</v>
      </c>
      <c r="L2159">
        <v>1.2</v>
      </c>
      <c r="M2159">
        <v>3.8</v>
      </c>
      <c r="N2159">
        <v>3176</v>
      </c>
      <c r="O2159" t="s">
        <v>64</v>
      </c>
      <c r="P2159">
        <v>76.099999999999994</v>
      </c>
      <c r="Q2159" t="s">
        <v>88</v>
      </c>
      <c r="R2159">
        <v>50.5</v>
      </c>
      <c r="S2159">
        <v>51.1</v>
      </c>
      <c r="T2159">
        <v>21.9</v>
      </c>
      <c r="U2159">
        <v>1.1000000000000001</v>
      </c>
      <c r="V2159">
        <v>8.5</v>
      </c>
      <c r="W2159">
        <v>7.1</v>
      </c>
      <c r="X2159" t="s">
        <v>116</v>
      </c>
    </row>
    <row r="2160" spans="2:24" x14ac:dyDescent="0.3">
      <c r="B2160" t="s">
        <v>2253</v>
      </c>
      <c r="C2160" t="s">
        <v>97</v>
      </c>
      <c r="D2160" t="s">
        <v>3</v>
      </c>
      <c r="E2160" t="s">
        <v>16</v>
      </c>
      <c r="F2160" t="s">
        <v>9</v>
      </c>
      <c r="G2160" t="s">
        <v>74</v>
      </c>
      <c r="H2160">
        <v>2025</v>
      </c>
      <c r="I2160">
        <v>8314</v>
      </c>
      <c r="J2160">
        <v>14.8</v>
      </c>
      <c r="K2160" t="s">
        <v>24</v>
      </c>
      <c r="L2160">
        <v>5.2</v>
      </c>
      <c r="M2160">
        <v>7.6</v>
      </c>
      <c r="N2160">
        <v>1707</v>
      </c>
      <c r="O2160" t="s">
        <v>64</v>
      </c>
      <c r="P2160">
        <v>87.6</v>
      </c>
      <c r="Q2160" t="s">
        <v>65</v>
      </c>
      <c r="R2160">
        <v>-16.8</v>
      </c>
      <c r="S2160">
        <v>2.2999999999999998</v>
      </c>
      <c r="T2160">
        <v>1.3</v>
      </c>
      <c r="U2160">
        <v>3.1</v>
      </c>
      <c r="V2160">
        <v>4.2</v>
      </c>
      <c r="W2160">
        <v>4.8</v>
      </c>
      <c r="X2160" t="s">
        <v>66</v>
      </c>
    </row>
    <row r="2161" spans="2:24" x14ac:dyDescent="0.3">
      <c r="B2161" t="s">
        <v>2254</v>
      </c>
      <c r="C2161" t="s">
        <v>71</v>
      </c>
      <c r="D2161" t="s">
        <v>6</v>
      </c>
      <c r="E2161" t="s">
        <v>14</v>
      </c>
      <c r="F2161" t="s">
        <v>12</v>
      </c>
      <c r="G2161" t="s">
        <v>101</v>
      </c>
      <c r="H2161">
        <v>2025</v>
      </c>
      <c r="I2161">
        <v>668</v>
      </c>
      <c r="J2161">
        <v>9.5</v>
      </c>
      <c r="K2161" t="s">
        <v>24</v>
      </c>
      <c r="L2161">
        <v>3.6</v>
      </c>
      <c r="M2161">
        <v>2.4</v>
      </c>
      <c r="N2161">
        <v>1576</v>
      </c>
      <c r="O2161" t="s">
        <v>64</v>
      </c>
      <c r="P2161">
        <v>46.9</v>
      </c>
      <c r="Q2161" t="s">
        <v>88</v>
      </c>
      <c r="R2161">
        <v>11.2</v>
      </c>
      <c r="S2161">
        <v>52.9</v>
      </c>
      <c r="T2161">
        <v>28.9</v>
      </c>
      <c r="U2161">
        <v>2.5</v>
      </c>
      <c r="V2161">
        <v>9.8000000000000007</v>
      </c>
      <c r="W2161">
        <v>7.2</v>
      </c>
      <c r="X2161" t="s">
        <v>57</v>
      </c>
    </row>
    <row r="2162" spans="2:24" x14ac:dyDescent="0.3">
      <c r="B2162" t="s">
        <v>2255</v>
      </c>
      <c r="C2162" t="s">
        <v>90</v>
      </c>
      <c r="D2162" t="s">
        <v>2</v>
      </c>
      <c r="E2162" t="s">
        <v>19</v>
      </c>
      <c r="F2162" t="s">
        <v>12</v>
      </c>
      <c r="G2162" t="s">
        <v>104</v>
      </c>
      <c r="H2162">
        <v>2025</v>
      </c>
      <c r="I2162">
        <v>2812</v>
      </c>
      <c r="J2162">
        <v>13.5</v>
      </c>
      <c r="K2162" t="s">
        <v>22</v>
      </c>
      <c r="L2162">
        <v>3.4</v>
      </c>
      <c r="M2162">
        <v>4.0999999999999996</v>
      </c>
      <c r="N2162">
        <v>4243</v>
      </c>
      <c r="O2162" t="s">
        <v>55</v>
      </c>
      <c r="P2162">
        <v>45.6</v>
      </c>
      <c r="Q2162" t="s">
        <v>56</v>
      </c>
      <c r="R2162">
        <v>24.5</v>
      </c>
      <c r="S2162">
        <v>36.799999999999997</v>
      </c>
      <c r="T2162">
        <v>6</v>
      </c>
      <c r="U2162">
        <v>5.5</v>
      </c>
      <c r="V2162">
        <v>7.4</v>
      </c>
      <c r="W2162">
        <v>6.9</v>
      </c>
      <c r="X2162" t="s">
        <v>116</v>
      </c>
    </row>
    <row r="2163" spans="2:24" x14ac:dyDescent="0.3">
      <c r="B2163" t="s">
        <v>2256</v>
      </c>
      <c r="C2163" t="s">
        <v>106</v>
      </c>
      <c r="D2163" t="s">
        <v>8</v>
      </c>
      <c r="E2163" t="s">
        <v>19</v>
      </c>
      <c r="F2163" t="s">
        <v>12</v>
      </c>
      <c r="G2163" t="s">
        <v>131</v>
      </c>
      <c r="H2163">
        <v>2025</v>
      </c>
      <c r="I2163">
        <v>9292</v>
      </c>
      <c r="J2163">
        <v>25.3</v>
      </c>
      <c r="K2163" t="s">
        <v>21</v>
      </c>
      <c r="L2163">
        <v>7.1</v>
      </c>
      <c r="M2163">
        <v>10</v>
      </c>
      <c r="N2163">
        <v>1247</v>
      </c>
      <c r="O2163" t="s">
        <v>64</v>
      </c>
      <c r="P2163">
        <v>78.7</v>
      </c>
      <c r="Q2163" t="s">
        <v>86</v>
      </c>
      <c r="R2163">
        <v>49.8</v>
      </c>
      <c r="S2163">
        <v>50.1</v>
      </c>
      <c r="T2163">
        <v>21.6</v>
      </c>
      <c r="U2163">
        <v>4.7</v>
      </c>
      <c r="V2163">
        <v>7.8</v>
      </c>
      <c r="W2163">
        <v>5.4</v>
      </c>
      <c r="X2163" t="s">
        <v>66</v>
      </c>
    </row>
    <row r="2164" spans="2:24" x14ac:dyDescent="0.3">
      <c r="B2164" t="s">
        <v>2257</v>
      </c>
      <c r="C2164" t="s">
        <v>90</v>
      </c>
      <c r="D2164" t="s">
        <v>3</v>
      </c>
      <c r="E2164" t="s">
        <v>18</v>
      </c>
      <c r="F2164" t="s">
        <v>12</v>
      </c>
      <c r="G2164" t="s">
        <v>60</v>
      </c>
      <c r="H2164">
        <v>2024</v>
      </c>
      <c r="I2164">
        <v>775</v>
      </c>
      <c r="J2164">
        <v>17.7</v>
      </c>
      <c r="K2164" t="s">
        <v>21</v>
      </c>
      <c r="L2164">
        <v>6.4</v>
      </c>
      <c r="M2164">
        <v>10</v>
      </c>
      <c r="N2164">
        <v>3324</v>
      </c>
      <c r="O2164" t="s">
        <v>55</v>
      </c>
      <c r="P2164">
        <v>11.1</v>
      </c>
      <c r="Q2164" t="s">
        <v>56</v>
      </c>
      <c r="R2164">
        <v>9.1</v>
      </c>
      <c r="S2164">
        <v>51.4</v>
      </c>
      <c r="T2164">
        <v>10.7</v>
      </c>
      <c r="U2164">
        <v>6.7</v>
      </c>
      <c r="V2164">
        <v>5.2</v>
      </c>
      <c r="W2164">
        <v>5.5</v>
      </c>
      <c r="X2164" t="s">
        <v>116</v>
      </c>
    </row>
    <row r="2165" spans="2:24" x14ac:dyDescent="0.3">
      <c r="B2165" t="s">
        <v>2258</v>
      </c>
      <c r="C2165" t="s">
        <v>73</v>
      </c>
      <c r="D2165" t="s">
        <v>3</v>
      </c>
      <c r="E2165" t="s">
        <v>16</v>
      </c>
      <c r="F2165" t="s">
        <v>9</v>
      </c>
      <c r="G2165" t="s">
        <v>101</v>
      </c>
      <c r="H2165">
        <v>2026</v>
      </c>
      <c r="I2165">
        <v>1367</v>
      </c>
      <c r="J2165">
        <v>5.8</v>
      </c>
      <c r="K2165" t="s">
        <v>23</v>
      </c>
      <c r="L2165">
        <v>8.4</v>
      </c>
      <c r="M2165">
        <v>10</v>
      </c>
      <c r="N2165">
        <v>3435</v>
      </c>
      <c r="O2165" t="s">
        <v>55</v>
      </c>
      <c r="P2165">
        <v>84.3</v>
      </c>
      <c r="Q2165" t="s">
        <v>88</v>
      </c>
      <c r="R2165">
        <v>-5.0999999999999996</v>
      </c>
      <c r="S2165">
        <v>22.8</v>
      </c>
      <c r="T2165">
        <v>7.6</v>
      </c>
      <c r="U2165">
        <v>9.8000000000000007</v>
      </c>
      <c r="V2165">
        <v>7.5</v>
      </c>
      <c r="W2165">
        <v>7</v>
      </c>
      <c r="X2165" t="s">
        <v>57</v>
      </c>
    </row>
    <row r="2166" spans="2:24" x14ac:dyDescent="0.3">
      <c r="B2166" t="s">
        <v>2259</v>
      </c>
      <c r="C2166" t="s">
        <v>97</v>
      </c>
      <c r="D2166" t="s">
        <v>3</v>
      </c>
      <c r="E2166" t="s">
        <v>15</v>
      </c>
      <c r="F2166" t="s">
        <v>9</v>
      </c>
      <c r="G2166" t="s">
        <v>78</v>
      </c>
      <c r="H2166">
        <v>2026</v>
      </c>
      <c r="I2166">
        <v>4493</v>
      </c>
      <c r="J2166">
        <v>5.6</v>
      </c>
      <c r="K2166" t="s">
        <v>25</v>
      </c>
      <c r="L2166">
        <v>6.5</v>
      </c>
      <c r="M2166">
        <v>8.6</v>
      </c>
      <c r="N2166">
        <v>4626</v>
      </c>
      <c r="O2166" t="s">
        <v>55</v>
      </c>
      <c r="P2166">
        <v>84.6</v>
      </c>
      <c r="Q2166" t="s">
        <v>65</v>
      </c>
      <c r="R2166">
        <v>24.7</v>
      </c>
      <c r="S2166">
        <v>12.5</v>
      </c>
      <c r="T2166">
        <v>12.2</v>
      </c>
      <c r="U2166">
        <v>3.9</v>
      </c>
      <c r="V2166">
        <v>5.4</v>
      </c>
      <c r="W2166">
        <v>5.7</v>
      </c>
      <c r="X2166" t="s">
        <v>116</v>
      </c>
    </row>
    <row r="2167" spans="2:24" x14ac:dyDescent="0.3">
      <c r="B2167" t="s">
        <v>2260</v>
      </c>
      <c r="C2167" t="s">
        <v>53</v>
      </c>
      <c r="D2167" t="s">
        <v>2</v>
      </c>
      <c r="E2167" t="s">
        <v>14</v>
      </c>
      <c r="F2167" t="s">
        <v>10</v>
      </c>
      <c r="G2167" t="s">
        <v>101</v>
      </c>
      <c r="H2167">
        <v>2025</v>
      </c>
      <c r="I2167">
        <v>6437</v>
      </c>
      <c r="J2167">
        <v>5.7</v>
      </c>
      <c r="K2167" t="s">
        <v>24</v>
      </c>
      <c r="L2167">
        <v>4.3</v>
      </c>
      <c r="M2167">
        <v>8.4</v>
      </c>
      <c r="N2167">
        <v>9442</v>
      </c>
      <c r="O2167" t="s">
        <v>118</v>
      </c>
      <c r="P2167">
        <v>63.4</v>
      </c>
      <c r="Q2167" t="s">
        <v>56</v>
      </c>
      <c r="R2167">
        <v>14.9</v>
      </c>
      <c r="S2167">
        <v>17.7</v>
      </c>
      <c r="T2167">
        <v>11.1</v>
      </c>
      <c r="U2167">
        <v>6.1</v>
      </c>
      <c r="V2167">
        <v>7.5</v>
      </c>
      <c r="W2167">
        <v>6.3</v>
      </c>
      <c r="X2167" t="s">
        <v>116</v>
      </c>
    </row>
    <row r="2168" spans="2:24" x14ac:dyDescent="0.3">
      <c r="B2168" t="s">
        <v>2261</v>
      </c>
      <c r="C2168" t="s">
        <v>53</v>
      </c>
      <c r="D2168" t="s">
        <v>2</v>
      </c>
      <c r="E2168" t="s">
        <v>19</v>
      </c>
      <c r="F2168" t="s">
        <v>11</v>
      </c>
      <c r="G2168" t="s">
        <v>63</v>
      </c>
      <c r="H2168">
        <v>2026</v>
      </c>
      <c r="I2168">
        <v>4067</v>
      </c>
      <c r="J2168">
        <v>3.1</v>
      </c>
      <c r="K2168" t="s">
        <v>23</v>
      </c>
      <c r="L2168">
        <v>14.7</v>
      </c>
      <c r="M2168">
        <v>10</v>
      </c>
      <c r="N2168">
        <v>8619</v>
      </c>
      <c r="O2168" t="s">
        <v>118</v>
      </c>
      <c r="P2168">
        <v>83.2</v>
      </c>
      <c r="Q2168" t="s">
        <v>56</v>
      </c>
      <c r="R2168">
        <v>3.6</v>
      </c>
      <c r="S2168">
        <v>49.1</v>
      </c>
      <c r="T2168">
        <v>16.600000000000001</v>
      </c>
      <c r="U2168">
        <v>9.6</v>
      </c>
      <c r="V2168">
        <v>9</v>
      </c>
      <c r="W2168">
        <v>6.6</v>
      </c>
      <c r="X2168" t="s">
        <v>116</v>
      </c>
    </row>
    <row r="2169" spans="2:24" x14ac:dyDescent="0.3">
      <c r="B2169" t="s">
        <v>2262</v>
      </c>
      <c r="C2169" t="s">
        <v>53</v>
      </c>
      <c r="D2169" t="s">
        <v>4</v>
      </c>
      <c r="E2169" t="s">
        <v>14</v>
      </c>
      <c r="F2169" t="s">
        <v>12</v>
      </c>
      <c r="G2169" t="s">
        <v>98</v>
      </c>
      <c r="H2169">
        <v>2026</v>
      </c>
      <c r="I2169">
        <v>2694</v>
      </c>
      <c r="J2169">
        <v>33.299999999999997</v>
      </c>
      <c r="K2169" t="s">
        <v>21</v>
      </c>
      <c r="L2169">
        <v>5.9</v>
      </c>
      <c r="M2169">
        <v>10</v>
      </c>
      <c r="N2169">
        <v>881</v>
      </c>
      <c r="O2169" t="s">
        <v>75</v>
      </c>
      <c r="P2169">
        <v>14.4</v>
      </c>
      <c r="Q2169" t="s">
        <v>79</v>
      </c>
      <c r="R2169">
        <v>5.4</v>
      </c>
      <c r="S2169">
        <v>-4.9000000000000004</v>
      </c>
      <c r="T2169">
        <v>-11.7</v>
      </c>
      <c r="U2169">
        <v>7.6</v>
      </c>
      <c r="V2169">
        <v>6</v>
      </c>
      <c r="W2169">
        <v>2.2000000000000002</v>
      </c>
      <c r="X2169" t="s">
        <v>66</v>
      </c>
    </row>
    <row r="2170" spans="2:24" x14ac:dyDescent="0.3">
      <c r="B2170" t="s">
        <v>2263</v>
      </c>
      <c r="C2170" t="s">
        <v>137</v>
      </c>
      <c r="D2170" t="s">
        <v>4</v>
      </c>
      <c r="E2170" t="s">
        <v>15</v>
      </c>
      <c r="F2170" t="s">
        <v>12</v>
      </c>
      <c r="G2170" t="s">
        <v>112</v>
      </c>
      <c r="H2170">
        <v>2025</v>
      </c>
      <c r="I2170">
        <v>1335</v>
      </c>
      <c r="J2170">
        <v>7.1</v>
      </c>
      <c r="K2170" t="s">
        <v>25</v>
      </c>
      <c r="L2170">
        <v>9.9</v>
      </c>
      <c r="M2170">
        <v>6.8</v>
      </c>
      <c r="N2170">
        <v>682</v>
      </c>
      <c r="O2170" t="s">
        <v>55</v>
      </c>
      <c r="P2170">
        <v>71</v>
      </c>
      <c r="Q2170" t="s">
        <v>84</v>
      </c>
      <c r="R2170">
        <v>14.9</v>
      </c>
      <c r="S2170">
        <v>57.6</v>
      </c>
      <c r="T2170">
        <v>28.5</v>
      </c>
      <c r="U2170">
        <v>6.4</v>
      </c>
      <c r="V2170">
        <v>7.2</v>
      </c>
      <c r="W2170">
        <v>6.7</v>
      </c>
      <c r="X2170" t="s">
        <v>57</v>
      </c>
    </row>
    <row r="2171" spans="2:24" x14ac:dyDescent="0.3">
      <c r="B2171" t="s">
        <v>2264</v>
      </c>
      <c r="C2171" t="s">
        <v>106</v>
      </c>
      <c r="D2171" t="s">
        <v>8</v>
      </c>
      <c r="E2171" t="s">
        <v>17</v>
      </c>
      <c r="F2171" t="s">
        <v>11</v>
      </c>
      <c r="G2171" t="s">
        <v>101</v>
      </c>
      <c r="H2171">
        <v>2024</v>
      </c>
      <c r="I2171">
        <v>9745</v>
      </c>
      <c r="J2171">
        <v>11.4</v>
      </c>
      <c r="K2171" t="s">
        <v>22</v>
      </c>
      <c r="L2171">
        <v>2.4</v>
      </c>
      <c r="M2171">
        <v>4.0999999999999996</v>
      </c>
      <c r="N2171">
        <v>1575</v>
      </c>
      <c r="O2171" t="s">
        <v>64</v>
      </c>
      <c r="P2171">
        <v>45.2</v>
      </c>
      <c r="Q2171" t="s">
        <v>86</v>
      </c>
      <c r="R2171">
        <v>14.2</v>
      </c>
      <c r="S2171">
        <v>15.9</v>
      </c>
      <c r="T2171">
        <v>13.5</v>
      </c>
      <c r="U2171">
        <v>1.5</v>
      </c>
      <c r="V2171">
        <v>8.5</v>
      </c>
      <c r="W2171">
        <v>6.2</v>
      </c>
      <c r="X2171" t="s">
        <v>66</v>
      </c>
    </row>
    <row r="2172" spans="2:24" x14ac:dyDescent="0.3">
      <c r="B2172" t="s">
        <v>2265</v>
      </c>
      <c r="C2172" t="s">
        <v>59</v>
      </c>
      <c r="D2172" t="s">
        <v>4</v>
      </c>
      <c r="E2172" t="s">
        <v>14</v>
      </c>
      <c r="F2172" t="s">
        <v>12</v>
      </c>
      <c r="G2172" t="s">
        <v>115</v>
      </c>
      <c r="H2172">
        <v>2025</v>
      </c>
      <c r="I2172">
        <v>1131</v>
      </c>
      <c r="J2172">
        <v>3.8</v>
      </c>
      <c r="K2172" t="s">
        <v>22</v>
      </c>
      <c r="L2172">
        <v>4.4000000000000004</v>
      </c>
      <c r="M2172">
        <v>4.7</v>
      </c>
      <c r="N2172">
        <v>4507</v>
      </c>
      <c r="O2172" t="s">
        <v>55</v>
      </c>
      <c r="P2172">
        <v>75.7</v>
      </c>
      <c r="Q2172" t="s">
        <v>84</v>
      </c>
      <c r="R2172">
        <v>43.8</v>
      </c>
      <c r="S2172">
        <v>49</v>
      </c>
      <c r="T2172">
        <v>27.2</v>
      </c>
      <c r="U2172">
        <v>3.5</v>
      </c>
      <c r="V2172">
        <v>7</v>
      </c>
      <c r="W2172">
        <v>8.5</v>
      </c>
      <c r="X2172" t="s">
        <v>57</v>
      </c>
    </row>
    <row r="2173" spans="2:24" x14ac:dyDescent="0.3">
      <c r="B2173" t="s">
        <v>2266</v>
      </c>
      <c r="C2173" t="s">
        <v>159</v>
      </c>
      <c r="D2173" t="s">
        <v>2</v>
      </c>
      <c r="E2173" t="s">
        <v>19</v>
      </c>
      <c r="F2173" t="s">
        <v>10</v>
      </c>
      <c r="G2173" t="s">
        <v>54</v>
      </c>
      <c r="H2173">
        <v>2026</v>
      </c>
      <c r="I2173">
        <v>1497</v>
      </c>
      <c r="J2173">
        <v>8</v>
      </c>
      <c r="K2173" t="s">
        <v>24</v>
      </c>
      <c r="L2173">
        <v>6.1</v>
      </c>
      <c r="M2173">
        <v>4.9000000000000004</v>
      </c>
      <c r="N2173">
        <v>4974</v>
      </c>
      <c r="O2173" t="s">
        <v>55</v>
      </c>
      <c r="P2173">
        <v>86</v>
      </c>
      <c r="Q2173" t="s">
        <v>56</v>
      </c>
      <c r="R2173">
        <v>-31.4</v>
      </c>
      <c r="S2173">
        <v>25.7</v>
      </c>
      <c r="T2173">
        <v>15.6</v>
      </c>
      <c r="U2173">
        <v>5.3</v>
      </c>
      <c r="V2173">
        <v>7</v>
      </c>
      <c r="W2173">
        <v>7.2</v>
      </c>
      <c r="X2173" t="s">
        <v>57</v>
      </c>
    </row>
    <row r="2174" spans="2:24" x14ac:dyDescent="0.3">
      <c r="B2174" t="s">
        <v>2267</v>
      </c>
      <c r="C2174" t="s">
        <v>106</v>
      </c>
      <c r="D2174" t="s">
        <v>7</v>
      </c>
      <c r="E2174" t="s">
        <v>17</v>
      </c>
      <c r="F2174" t="s">
        <v>10</v>
      </c>
      <c r="G2174" t="s">
        <v>131</v>
      </c>
      <c r="H2174">
        <v>2026</v>
      </c>
      <c r="I2174">
        <v>6833</v>
      </c>
      <c r="J2174">
        <v>10.4</v>
      </c>
      <c r="K2174" t="s">
        <v>23</v>
      </c>
      <c r="L2174">
        <v>7.7</v>
      </c>
      <c r="M2174">
        <v>10</v>
      </c>
      <c r="N2174">
        <v>1445</v>
      </c>
      <c r="O2174" t="s">
        <v>55</v>
      </c>
      <c r="P2174">
        <v>54.1</v>
      </c>
      <c r="Q2174" t="s">
        <v>84</v>
      </c>
      <c r="R2174">
        <v>34.1</v>
      </c>
      <c r="S2174">
        <v>8.5</v>
      </c>
      <c r="T2174">
        <v>-2.4</v>
      </c>
      <c r="U2174">
        <v>8</v>
      </c>
      <c r="V2174">
        <v>5.5</v>
      </c>
      <c r="W2174">
        <v>5.0999999999999996</v>
      </c>
      <c r="X2174" t="s">
        <v>66</v>
      </c>
    </row>
    <row r="2175" spans="2:24" x14ac:dyDescent="0.3">
      <c r="B2175" t="s">
        <v>2268</v>
      </c>
      <c r="C2175" t="s">
        <v>106</v>
      </c>
      <c r="D2175" t="s">
        <v>7</v>
      </c>
      <c r="E2175" t="s">
        <v>16</v>
      </c>
      <c r="F2175" t="s">
        <v>9</v>
      </c>
      <c r="G2175" t="s">
        <v>60</v>
      </c>
      <c r="H2175">
        <v>2025</v>
      </c>
      <c r="I2175">
        <v>2499</v>
      </c>
      <c r="J2175">
        <v>5.6</v>
      </c>
      <c r="K2175" t="s">
        <v>22</v>
      </c>
      <c r="L2175">
        <v>8</v>
      </c>
      <c r="M2175">
        <v>3.7</v>
      </c>
      <c r="N2175">
        <v>5146</v>
      </c>
      <c r="O2175" t="s">
        <v>55</v>
      </c>
      <c r="P2175">
        <v>21.3</v>
      </c>
      <c r="Q2175" t="s">
        <v>88</v>
      </c>
      <c r="R2175">
        <v>16.3</v>
      </c>
      <c r="S2175">
        <v>-6.3</v>
      </c>
      <c r="T2175">
        <v>-7.1</v>
      </c>
      <c r="U2175">
        <v>6.1</v>
      </c>
      <c r="V2175">
        <v>8.3000000000000007</v>
      </c>
      <c r="W2175">
        <v>5.6</v>
      </c>
      <c r="X2175" t="s">
        <v>57</v>
      </c>
    </row>
    <row r="2176" spans="2:24" x14ac:dyDescent="0.3">
      <c r="B2176" t="s">
        <v>2269</v>
      </c>
      <c r="C2176" t="s">
        <v>62</v>
      </c>
      <c r="D2176" t="s">
        <v>2</v>
      </c>
      <c r="E2176" t="s">
        <v>17</v>
      </c>
      <c r="F2176" t="s">
        <v>11</v>
      </c>
      <c r="G2176" t="s">
        <v>69</v>
      </c>
      <c r="H2176">
        <v>2025</v>
      </c>
      <c r="I2176">
        <v>10716</v>
      </c>
      <c r="J2176">
        <v>21.7</v>
      </c>
      <c r="K2176" t="s">
        <v>25</v>
      </c>
      <c r="L2176">
        <v>9.9</v>
      </c>
      <c r="M2176">
        <v>10</v>
      </c>
      <c r="N2176">
        <v>1279</v>
      </c>
      <c r="O2176" t="s">
        <v>75</v>
      </c>
      <c r="P2176">
        <v>42.4</v>
      </c>
      <c r="Q2176" t="s">
        <v>56</v>
      </c>
      <c r="R2176">
        <v>-25.1</v>
      </c>
      <c r="S2176">
        <v>18.5</v>
      </c>
      <c r="T2176">
        <v>7.9</v>
      </c>
      <c r="U2176">
        <v>8.1999999999999993</v>
      </c>
      <c r="V2176">
        <v>4.5</v>
      </c>
      <c r="W2176">
        <v>4.7</v>
      </c>
      <c r="X2176" t="s">
        <v>66</v>
      </c>
    </row>
    <row r="2177" spans="2:24" x14ac:dyDescent="0.3">
      <c r="B2177" t="s">
        <v>2270</v>
      </c>
      <c r="C2177" t="s">
        <v>68</v>
      </c>
      <c r="D2177" t="s">
        <v>8</v>
      </c>
      <c r="E2177" t="s">
        <v>19</v>
      </c>
      <c r="F2177" t="s">
        <v>10</v>
      </c>
      <c r="G2177" t="s">
        <v>131</v>
      </c>
      <c r="H2177">
        <v>2026</v>
      </c>
      <c r="I2177">
        <v>1717</v>
      </c>
      <c r="J2177">
        <v>31.8</v>
      </c>
      <c r="K2177" t="s">
        <v>23</v>
      </c>
      <c r="L2177">
        <v>9.1</v>
      </c>
      <c r="M2177">
        <v>10</v>
      </c>
      <c r="N2177">
        <v>1476</v>
      </c>
      <c r="O2177" t="s">
        <v>75</v>
      </c>
      <c r="P2177">
        <v>85.3</v>
      </c>
      <c r="Q2177" t="s">
        <v>125</v>
      </c>
      <c r="R2177">
        <v>14.6</v>
      </c>
      <c r="S2177">
        <v>24.4</v>
      </c>
      <c r="T2177">
        <v>-5.7</v>
      </c>
      <c r="U2177">
        <v>8</v>
      </c>
      <c r="V2177">
        <v>3.8</v>
      </c>
      <c r="W2177">
        <v>3.8</v>
      </c>
      <c r="X2177" t="s">
        <v>66</v>
      </c>
    </row>
    <row r="2178" spans="2:24" x14ac:dyDescent="0.3">
      <c r="B2178" t="s">
        <v>2271</v>
      </c>
      <c r="C2178" t="s">
        <v>90</v>
      </c>
      <c r="D2178" t="s">
        <v>3</v>
      </c>
      <c r="E2178" t="s">
        <v>15</v>
      </c>
      <c r="F2178" t="s">
        <v>10</v>
      </c>
      <c r="G2178" t="s">
        <v>63</v>
      </c>
      <c r="H2178">
        <v>2025</v>
      </c>
      <c r="I2178">
        <v>980</v>
      </c>
      <c r="J2178">
        <v>4.2</v>
      </c>
      <c r="K2178" t="s">
        <v>22</v>
      </c>
      <c r="L2178">
        <v>6.7</v>
      </c>
      <c r="M2178">
        <v>8.3000000000000007</v>
      </c>
      <c r="N2178">
        <v>672</v>
      </c>
      <c r="O2178" t="s">
        <v>64</v>
      </c>
      <c r="P2178">
        <v>71</v>
      </c>
      <c r="Q2178" t="s">
        <v>56</v>
      </c>
      <c r="R2178">
        <v>8</v>
      </c>
      <c r="S2178">
        <v>18.899999999999999</v>
      </c>
      <c r="T2178">
        <v>0.2</v>
      </c>
      <c r="U2178">
        <v>5.3</v>
      </c>
      <c r="V2178">
        <v>8.1</v>
      </c>
      <c r="W2178">
        <v>5.7</v>
      </c>
      <c r="X2178" t="s">
        <v>57</v>
      </c>
    </row>
    <row r="2179" spans="2:24" x14ac:dyDescent="0.3">
      <c r="B2179" t="s">
        <v>2272</v>
      </c>
      <c r="C2179" t="s">
        <v>68</v>
      </c>
      <c r="D2179" t="s">
        <v>8</v>
      </c>
      <c r="E2179" t="s">
        <v>14</v>
      </c>
      <c r="F2179" t="s">
        <v>10</v>
      </c>
      <c r="G2179" t="s">
        <v>112</v>
      </c>
      <c r="H2179">
        <v>2024</v>
      </c>
      <c r="I2179">
        <v>655</v>
      </c>
      <c r="J2179">
        <v>6.1</v>
      </c>
      <c r="K2179" t="s">
        <v>21</v>
      </c>
      <c r="L2179">
        <v>8.9</v>
      </c>
      <c r="M2179">
        <v>9.6999999999999993</v>
      </c>
      <c r="N2179">
        <v>3457</v>
      </c>
      <c r="O2179" t="s">
        <v>55</v>
      </c>
      <c r="P2179">
        <v>16.3</v>
      </c>
      <c r="Q2179" t="s">
        <v>88</v>
      </c>
      <c r="R2179">
        <v>-28.4</v>
      </c>
      <c r="S2179">
        <v>37.4</v>
      </c>
      <c r="T2179">
        <v>11.8</v>
      </c>
      <c r="U2179">
        <v>7.4</v>
      </c>
      <c r="V2179">
        <v>5.7</v>
      </c>
      <c r="W2179">
        <v>7.6</v>
      </c>
      <c r="X2179" t="s">
        <v>57</v>
      </c>
    </row>
    <row r="2180" spans="2:24" x14ac:dyDescent="0.3">
      <c r="B2180" t="s">
        <v>2273</v>
      </c>
      <c r="C2180" t="s">
        <v>106</v>
      </c>
      <c r="D2180" t="s">
        <v>7</v>
      </c>
      <c r="E2180" t="s">
        <v>17</v>
      </c>
      <c r="F2180" t="s">
        <v>9</v>
      </c>
      <c r="G2180" t="s">
        <v>115</v>
      </c>
      <c r="H2180">
        <v>2025</v>
      </c>
      <c r="I2180">
        <v>19957</v>
      </c>
      <c r="J2180">
        <v>17.600000000000001</v>
      </c>
      <c r="K2180" t="s">
        <v>21</v>
      </c>
      <c r="L2180">
        <v>8.4</v>
      </c>
      <c r="M2180">
        <v>7</v>
      </c>
      <c r="N2180">
        <v>1282</v>
      </c>
      <c r="O2180" t="s">
        <v>64</v>
      </c>
      <c r="P2180">
        <v>21</v>
      </c>
      <c r="Q2180" t="s">
        <v>125</v>
      </c>
      <c r="R2180">
        <v>8.6</v>
      </c>
      <c r="S2180">
        <v>16.5</v>
      </c>
      <c r="T2180">
        <v>1</v>
      </c>
      <c r="U2180">
        <v>5.2</v>
      </c>
      <c r="V2180">
        <v>5.7</v>
      </c>
      <c r="W2180">
        <v>5.3</v>
      </c>
      <c r="X2180" t="s">
        <v>66</v>
      </c>
    </row>
    <row r="2181" spans="2:24" x14ac:dyDescent="0.3">
      <c r="B2181" t="s">
        <v>2274</v>
      </c>
      <c r="C2181" t="s">
        <v>90</v>
      </c>
      <c r="D2181" t="s">
        <v>2</v>
      </c>
      <c r="E2181" t="s">
        <v>19</v>
      </c>
      <c r="F2181" t="s">
        <v>11</v>
      </c>
      <c r="G2181" t="s">
        <v>112</v>
      </c>
      <c r="H2181">
        <v>2024</v>
      </c>
      <c r="I2181">
        <v>5499</v>
      </c>
      <c r="J2181">
        <v>8.1</v>
      </c>
      <c r="K2181" t="s">
        <v>22</v>
      </c>
      <c r="L2181">
        <v>4.5</v>
      </c>
      <c r="M2181">
        <v>6</v>
      </c>
      <c r="N2181">
        <v>5605</v>
      </c>
      <c r="O2181" t="s">
        <v>55</v>
      </c>
      <c r="P2181">
        <v>86.2</v>
      </c>
      <c r="Q2181" t="s">
        <v>56</v>
      </c>
      <c r="R2181">
        <v>-31.2</v>
      </c>
      <c r="S2181">
        <v>24.4</v>
      </c>
      <c r="T2181">
        <v>12.6</v>
      </c>
      <c r="U2181">
        <v>5.9</v>
      </c>
      <c r="V2181">
        <v>7.5</v>
      </c>
      <c r="W2181">
        <v>6.8</v>
      </c>
      <c r="X2181" t="s">
        <v>116</v>
      </c>
    </row>
    <row r="2182" spans="2:24" x14ac:dyDescent="0.3">
      <c r="B2182" t="s">
        <v>2275</v>
      </c>
      <c r="C2182" t="s">
        <v>27</v>
      </c>
      <c r="D2182" t="s">
        <v>3</v>
      </c>
      <c r="E2182" t="s">
        <v>17</v>
      </c>
      <c r="F2182" t="s">
        <v>12</v>
      </c>
      <c r="G2182" t="s">
        <v>78</v>
      </c>
      <c r="H2182">
        <v>2025</v>
      </c>
      <c r="I2182">
        <v>1367</v>
      </c>
      <c r="J2182">
        <v>7.9</v>
      </c>
      <c r="K2182" t="s">
        <v>24</v>
      </c>
      <c r="L2182">
        <v>3.4</v>
      </c>
      <c r="M2182">
        <v>2.6</v>
      </c>
      <c r="N2182">
        <v>5697</v>
      </c>
      <c r="O2182" t="s">
        <v>55</v>
      </c>
      <c r="P2182">
        <v>64.7</v>
      </c>
      <c r="Q2182" t="s">
        <v>79</v>
      </c>
      <c r="R2182">
        <v>64.900000000000006</v>
      </c>
      <c r="S2182">
        <v>11.1</v>
      </c>
      <c r="T2182">
        <v>6.6</v>
      </c>
      <c r="U2182">
        <v>2.7</v>
      </c>
      <c r="V2182">
        <v>6.2</v>
      </c>
      <c r="W2182">
        <v>7.2</v>
      </c>
      <c r="X2182" t="s">
        <v>57</v>
      </c>
    </row>
    <row r="2183" spans="2:24" x14ac:dyDescent="0.3">
      <c r="B2183" t="s">
        <v>2276</v>
      </c>
      <c r="C2183" t="s">
        <v>68</v>
      </c>
      <c r="D2183" t="s">
        <v>8</v>
      </c>
      <c r="E2183" t="s">
        <v>17</v>
      </c>
      <c r="F2183" t="s">
        <v>12</v>
      </c>
      <c r="G2183" t="s">
        <v>98</v>
      </c>
      <c r="H2183">
        <v>2025</v>
      </c>
      <c r="I2183">
        <v>340</v>
      </c>
      <c r="J2183">
        <v>0.7</v>
      </c>
      <c r="K2183" t="s">
        <v>21</v>
      </c>
      <c r="L2183">
        <v>7.1</v>
      </c>
      <c r="M2183">
        <v>5.9</v>
      </c>
      <c r="N2183">
        <v>4874</v>
      </c>
      <c r="O2183" t="s">
        <v>55</v>
      </c>
      <c r="P2183">
        <v>14.1</v>
      </c>
      <c r="Q2183" t="s">
        <v>88</v>
      </c>
      <c r="R2183">
        <v>36.6</v>
      </c>
      <c r="S2183">
        <v>17.899999999999999</v>
      </c>
      <c r="T2183">
        <v>0.5</v>
      </c>
      <c r="U2183">
        <v>5.4</v>
      </c>
      <c r="V2183">
        <v>6.8</v>
      </c>
      <c r="W2183">
        <v>7.2</v>
      </c>
      <c r="X2183" t="s">
        <v>57</v>
      </c>
    </row>
    <row r="2184" spans="2:24" x14ac:dyDescent="0.3">
      <c r="B2184" t="s">
        <v>2277</v>
      </c>
      <c r="C2184" t="s">
        <v>106</v>
      </c>
      <c r="D2184" t="s">
        <v>4</v>
      </c>
      <c r="E2184" t="s">
        <v>18</v>
      </c>
      <c r="F2184" t="s">
        <v>10</v>
      </c>
      <c r="G2184" t="s">
        <v>101</v>
      </c>
      <c r="H2184">
        <v>2025</v>
      </c>
      <c r="I2184">
        <v>11777</v>
      </c>
      <c r="J2184">
        <v>25.6</v>
      </c>
      <c r="K2184" t="s">
        <v>21</v>
      </c>
      <c r="L2184">
        <v>8</v>
      </c>
      <c r="M2184">
        <v>10</v>
      </c>
      <c r="N2184">
        <v>841</v>
      </c>
      <c r="O2184" t="s">
        <v>64</v>
      </c>
      <c r="P2184">
        <v>72.3</v>
      </c>
      <c r="Q2184" t="s">
        <v>86</v>
      </c>
      <c r="R2184">
        <v>60.6</v>
      </c>
      <c r="S2184">
        <v>53.1</v>
      </c>
      <c r="T2184">
        <v>8.6999999999999993</v>
      </c>
      <c r="U2184">
        <v>5.4</v>
      </c>
      <c r="V2184">
        <v>6.7</v>
      </c>
      <c r="W2184">
        <v>5.3</v>
      </c>
      <c r="X2184" t="s">
        <v>66</v>
      </c>
    </row>
    <row r="2185" spans="2:24" x14ac:dyDescent="0.3">
      <c r="B2185" t="s">
        <v>2278</v>
      </c>
      <c r="C2185" t="s">
        <v>53</v>
      </c>
      <c r="D2185" t="s">
        <v>2</v>
      </c>
      <c r="E2185" t="s">
        <v>14</v>
      </c>
      <c r="F2185" t="s">
        <v>11</v>
      </c>
      <c r="G2185" t="s">
        <v>112</v>
      </c>
      <c r="H2185">
        <v>2024</v>
      </c>
      <c r="I2185">
        <v>1237</v>
      </c>
      <c r="J2185">
        <v>4.4000000000000004</v>
      </c>
      <c r="K2185" t="s">
        <v>24</v>
      </c>
      <c r="L2185">
        <v>2</v>
      </c>
      <c r="M2185">
        <v>2.9</v>
      </c>
      <c r="N2185">
        <v>7937</v>
      </c>
      <c r="O2185" t="s">
        <v>55</v>
      </c>
      <c r="P2185">
        <v>17.899999999999999</v>
      </c>
      <c r="Q2185" t="s">
        <v>56</v>
      </c>
      <c r="R2185">
        <v>2.2000000000000002</v>
      </c>
      <c r="S2185">
        <v>45.7</v>
      </c>
      <c r="T2185">
        <v>10.199999999999999</v>
      </c>
      <c r="U2185">
        <v>1.5</v>
      </c>
      <c r="V2185">
        <v>9.9</v>
      </c>
      <c r="W2185">
        <v>7.5</v>
      </c>
      <c r="X2185" t="s">
        <v>57</v>
      </c>
    </row>
    <row r="2186" spans="2:24" x14ac:dyDescent="0.3">
      <c r="B2186" t="s">
        <v>2279</v>
      </c>
      <c r="C2186" t="s">
        <v>139</v>
      </c>
      <c r="D2186" t="s">
        <v>8</v>
      </c>
      <c r="E2186" t="s">
        <v>17</v>
      </c>
      <c r="F2186" t="s">
        <v>10</v>
      </c>
      <c r="G2186" t="s">
        <v>101</v>
      </c>
      <c r="H2186">
        <v>2024</v>
      </c>
      <c r="I2186">
        <v>1365</v>
      </c>
      <c r="J2186">
        <v>0.2</v>
      </c>
      <c r="K2186" t="s">
        <v>24</v>
      </c>
      <c r="L2186">
        <v>13.3</v>
      </c>
      <c r="M2186">
        <v>5.9</v>
      </c>
      <c r="N2186">
        <v>548</v>
      </c>
      <c r="O2186" t="s">
        <v>55</v>
      </c>
      <c r="P2186">
        <v>18.5</v>
      </c>
      <c r="Q2186" t="s">
        <v>76</v>
      </c>
      <c r="R2186">
        <v>-18.600000000000001</v>
      </c>
      <c r="S2186">
        <v>12.9</v>
      </c>
      <c r="T2186">
        <v>-0.1</v>
      </c>
      <c r="U2186">
        <v>8</v>
      </c>
      <c r="V2186">
        <v>7.2</v>
      </c>
      <c r="W2186">
        <v>7.5</v>
      </c>
      <c r="X2186" t="s">
        <v>57</v>
      </c>
    </row>
    <row r="2187" spans="2:24" x14ac:dyDescent="0.3">
      <c r="B2187" t="s">
        <v>2280</v>
      </c>
      <c r="C2187" t="s">
        <v>90</v>
      </c>
      <c r="D2187" t="s">
        <v>5</v>
      </c>
      <c r="E2187" t="s">
        <v>19</v>
      </c>
      <c r="F2187" t="s">
        <v>12</v>
      </c>
      <c r="G2187" t="s">
        <v>104</v>
      </c>
      <c r="H2187">
        <v>2026</v>
      </c>
      <c r="I2187">
        <v>2091</v>
      </c>
      <c r="J2187">
        <v>16.399999999999999</v>
      </c>
      <c r="K2187" t="s">
        <v>25</v>
      </c>
      <c r="L2187">
        <v>5.3</v>
      </c>
      <c r="M2187">
        <v>8.1</v>
      </c>
      <c r="N2187">
        <v>1638</v>
      </c>
      <c r="O2187" t="s">
        <v>64</v>
      </c>
      <c r="P2187">
        <v>20.100000000000001</v>
      </c>
      <c r="Q2187" t="s">
        <v>76</v>
      </c>
      <c r="R2187">
        <v>41.4</v>
      </c>
      <c r="S2187">
        <v>-23</v>
      </c>
      <c r="T2187">
        <v>-18.5</v>
      </c>
      <c r="U2187">
        <v>5.2</v>
      </c>
      <c r="V2187">
        <v>3.4</v>
      </c>
      <c r="W2187">
        <v>4.0999999999999996</v>
      </c>
      <c r="X2187" t="s">
        <v>66</v>
      </c>
    </row>
    <row r="2188" spans="2:24" x14ac:dyDescent="0.3">
      <c r="B2188" t="s">
        <v>2281</v>
      </c>
      <c r="C2188" t="s">
        <v>142</v>
      </c>
      <c r="D2188" t="s">
        <v>2</v>
      </c>
      <c r="E2188" t="s">
        <v>17</v>
      </c>
      <c r="F2188" t="s">
        <v>10</v>
      </c>
      <c r="G2188" t="s">
        <v>112</v>
      </c>
      <c r="H2188">
        <v>2026</v>
      </c>
      <c r="I2188">
        <v>1496</v>
      </c>
      <c r="J2188">
        <v>4</v>
      </c>
      <c r="K2188" t="s">
        <v>22</v>
      </c>
      <c r="L2188">
        <v>6.8</v>
      </c>
      <c r="M2188">
        <v>5.7</v>
      </c>
      <c r="N2188">
        <v>4548</v>
      </c>
      <c r="O2188" t="s">
        <v>55</v>
      </c>
      <c r="P2188">
        <v>68.3</v>
      </c>
      <c r="Q2188" t="s">
        <v>56</v>
      </c>
      <c r="R2188">
        <v>-13.6</v>
      </c>
      <c r="S2188">
        <v>29.1</v>
      </c>
      <c r="T2188">
        <v>15.8</v>
      </c>
      <c r="U2188">
        <v>5.2</v>
      </c>
      <c r="V2188">
        <v>6</v>
      </c>
      <c r="W2188">
        <v>7.9</v>
      </c>
      <c r="X2188" t="s">
        <v>57</v>
      </c>
    </row>
    <row r="2189" spans="2:24" x14ac:dyDescent="0.3">
      <c r="B2189" t="s">
        <v>2282</v>
      </c>
      <c r="C2189" t="s">
        <v>106</v>
      </c>
      <c r="D2189" t="s">
        <v>4</v>
      </c>
      <c r="E2189" t="s">
        <v>14</v>
      </c>
      <c r="F2189" t="s">
        <v>11</v>
      </c>
      <c r="G2189" t="s">
        <v>78</v>
      </c>
      <c r="H2189">
        <v>2025</v>
      </c>
      <c r="I2189">
        <v>10265</v>
      </c>
      <c r="J2189">
        <v>39.700000000000003</v>
      </c>
      <c r="K2189" t="s">
        <v>24</v>
      </c>
      <c r="L2189">
        <v>9.1999999999999993</v>
      </c>
      <c r="M2189">
        <v>10</v>
      </c>
      <c r="N2189">
        <v>928</v>
      </c>
      <c r="O2189" t="s">
        <v>75</v>
      </c>
      <c r="P2189">
        <v>30.1</v>
      </c>
      <c r="Q2189" t="s">
        <v>56</v>
      </c>
      <c r="R2189">
        <v>43.6</v>
      </c>
      <c r="S2189">
        <v>-14.7</v>
      </c>
      <c r="T2189">
        <v>-13.8</v>
      </c>
      <c r="U2189">
        <v>7.5</v>
      </c>
      <c r="V2189">
        <v>4.5</v>
      </c>
      <c r="W2189">
        <v>1</v>
      </c>
      <c r="X2189" t="s">
        <v>66</v>
      </c>
    </row>
    <row r="2190" spans="2:24" x14ac:dyDescent="0.3">
      <c r="B2190" t="s">
        <v>2283</v>
      </c>
      <c r="C2190" t="s">
        <v>97</v>
      </c>
      <c r="D2190" t="s">
        <v>3</v>
      </c>
      <c r="E2190" t="s">
        <v>18</v>
      </c>
      <c r="F2190" t="s">
        <v>11</v>
      </c>
      <c r="G2190" t="s">
        <v>112</v>
      </c>
      <c r="H2190">
        <v>2026</v>
      </c>
      <c r="I2190">
        <v>712</v>
      </c>
      <c r="J2190">
        <v>1.6</v>
      </c>
      <c r="K2190" t="s">
        <v>22</v>
      </c>
      <c r="L2190">
        <v>3.6</v>
      </c>
      <c r="M2190">
        <v>2.2000000000000002</v>
      </c>
      <c r="N2190">
        <v>5013</v>
      </c>
      <c r="O2190" t="s">
        <v>55</v>
      </c>
      <c r="P2190">
        <v>76</v>
      </c>
      <c r="Q2190" t="s">
        <v>56</v>
      </c>
      <c r="R2190">
        <v>-14.6</v>
      </c>
      <c r="S2190">
        <v>3.3</v>
      </c>
      <c r="T2190">
        <v>5.5</v>
      </c>
      <c r="U2190">
        <v>3.4</v>
      </c>
      <c r="V2190">
        <v>7.2</v>
      </c>
      <c r="W2190">
        <v>7.3</v>
      </c>
      <c r="X2190" t="s">
        <v>57</v>
      </c>
    </row>
    <row r="2191" spans="2:24" x14ac:dyDescent="0.3">
      <c r="B2191" t="s">
        <v>2284</v>
      </c>
      <c r="C2191" t="s">
        <v>142</v>
      </c>
      <c r="D2191" t="s">
        <v>8</v>
      </c>
      <c r="E2191" t="s">
        <v>17</v>
      </c>
      <c r="F2191" t="s">
        <v>11</v>
      </c>
      <c r="G2191" t="s">
        <v>131</v>
      </c>
      <c r="H2191">
        <v>2026</v>
      </c>
      <c r="I2191">
        <v>4165</v>
      </c>
      <c r="J2191">
        <v>18.899999999999999</v>
      </c>
      <c r="K2191" t="s">
        <v>25</v>
      </c>
      <c r="L2191">
        <v>5.9</v>
      </c>
      <c r="M2191">
        <v>10</v>
      </c>
      <c r="N2191">
        <v>655</v>
      </c>
      <c r="O2191" t="s">
        <v>64</v>
      </c>
      <c r="P2191">
        <v>16.399999999999999</v>
      </c>
      <c r="Q2191" t="s">
        <v>56</v>
      </c>
      <c r="R2191">
        <v>-14.6</v>
      </c>
      <c r="S2191">
        <v>30.7</v>
      </c>
      <c r="T2191">
        <v>8.3000000000000007</v>
      </c>
      <c r="U2191">
        <v>5.3</v>
      </c>
      <c r="V2191">
        <v>4.7</v>
      </c>
      <c r="W2191">
        <v>5.0999999999999996</v>
      </c>
      <c r="X2191" t="s">
        <v>66</v>
      </c>
    </row>
    <row r="2192" spans="2:24" x14ac:dyDescent="0.3">
      <c r="B2192" t="s">
        <v>2285</v>
      </c>
      <c r="C2192" t="s">
        <v>27</v>
      </c>
      <c r="D2192" t="s">
        <v>2</v>
      </c>
      <c r="E2192" t="s">
        <v>18</v>
      </c>
      <c r="F2192" t="s">
        <v>12</v>
      </c>
      <c r="G2192" t="s">
        <v>60</v>
      </c>
      <c r="H2192">
        <v>2025</v>
      </c>
      <c r="I2192">
        <v>1641</v>
      </c>
      <c r="J2192">
        <v>0.3</v>
      </c>
      <c r="K2192" t="s">
        <v>23</v>
      </c>
      <c r="L2192">
        <v>7.1</v>
      </c>
      <c r="M2192">
        <v>6.1</v>
      </c>
      <c r="N2192">
        <v>9992</v>
      </c>
      <c r="O2192" t="s">
        <v>118</v>
      </c>
      <c r="P2192">
        <v>37.4</v>
      </c>
      <c r="Q2192" t="s">
        <v>76</v>
      </c>
      <c r="R2192">
        <v>0</v>
      </c>
      <c r="S2192">
        <v>51.5</v>
      </c>
      <c r="T2192">
        <v>32.799999999999997</v>
      </c>
      <c r="U2192">
        <v>6.7</v>
      </c>
      <c r="V2192">
        <v>10</v>
      </c>
      <c r="W2192">
        <v>8.9</v>
      </c>
      <c r="X2192" t="s">
        <v>57</v>
      </c>
    </row>
    <row r="2193" spans="2:24" x14ac:dyDescent="0.3">
      <c r="B2193" t="s">
        <v>2286</v>
      </c>
      <c r="C2193" t="s">
        <v>122</v>
      </c>
      <c r="D2193" t="s">
        <v>2</v>
      </c>
      <c r="E2193" t="s">
        <v>18</v>
      </c>
      <c r="F2193" t="s">
        <v>9</v>
      </c>
      <c r="G2193" t="s">
        <v>98</v>
      </c>
      <c r="H2193">
        <v>2024</v>
      </c>
      <c r="I2193">
        <v>3716</v>
      </c>
      <c r="J2193">
        <v>12.5</v>
      </c>
      <c r="K2193" t="s">
        <v>23</v>
      </c>
      <c r="L2193">
        <v>9.9</v>
      </c>
      <c r="M2193">
        <v>10</v>
      </c>
      <c r="N2193">
        <v>7425</v>
      </c>
      <c r="O2193" t="s">
        <v>118</v>
      </c>
      <c r="P2193">
        <v>48</v>
      </c>
      <c r="Q2193" t="s">
        <v>76</v>
      </c>
      <c r="R2193">
        <v>-9.1</v>
      </c>
      <c r="S2193">
        <v>45.1</v>
      </c>
      <c r="T2193">
        <v>25.1</v>
      </c>
      <c r="U2193">
        <v>9.6999999999999993</v>
      </c>
      <c r="V2193">
        <v>6.3</v>
      </c>
      <c r="W2193">
        <v>6.8</v>
      </c>
      <c r="X2193" t="s">
        <v>116</v>
      </c>
    </row>
    <row r="2194" spans="2:24" x14ac:dyDescent="0.3">
      <c r="B2194" t="s">
        <v>2287</v>
      </c>
      <c r="C2194" t="s">
        <v>68</v>
      </c>
      <c r="D2194" t="s">
        <v>8</v>
      </c>
      <c r="E2194" t="s">
        <v>16</v>
      </c>
      <c r="F2194" t="s">
        <v>10</v>
      </c>
      <c r="G2194" t="s">
        <v>112</v>
      </c>
      <c r="H2194">
        <v>2026</v>
      </c>
      <c r="I2194">
        <v>698</v>
      </c>
      <c r="J2194">
        <v>7.2</v>
      </c>
      <c r="K2194" t="s">
        <v>25</v>
      </c>
      <c r="L2194">
        <v>1.2</v>
      </c>
      <c r="M2194">
        <v>4.3</v>
      </c>
      <c r="N2194">
        <v>4143</v>
      </c>
      <c r="O2194" t="s">
        <v>64</v>
      </c>
      <c r="P2194">
        <v>55</v>
      </c>
      <c r="Q2194" t="s">
        <v>84</v>
      </c>
      <c r="R2194">
        <v>5</v>
      </c>
      <c r="S2194">
        <v>12.1</v>
      </c>
      <c r="T2194">
        <v>-0.7</v>
      </c>
      <c r="U2194">
        <v>1.6</v>
      </c>
      <c r="V2194">
        <v>7.5</v>
      </c>
      <c r="W2194">
        <v>7.1</v>
      </c>
      <c r="X2194" t="s">
        <v>57</v>
      </c>
    </row>
    <row r="2195" spans="2:24" x14ac:dyDescent="0.3">
      <c r="B2195" t="s">
        <v>2288</v>
      </c>
      <c r="C2195" t="s">
        <v>106</v>
      </c>
      <c r="D2195" t="s">
        <v>4</v>
      </c>
      <c r="E2195" t="s">
        <v>18</v>
      </c>
      <c r="F2195" t="s">
        <v>9</v>
      </c>
      <c r="G2195" t="s">
        <v>78</v>
      </c>
      <c r="H2195">
        <v>2025</v>
      </c>
      <c r="I2195">
        <v>13061</v>
      </c>
      <c r="J2195">
        <v>31.4</v>
      </c>
      <c r="K2195" t="s">
        <v>21</v>
      </c>
      <c r="L2195">
        <v>13.2</v>
      </c>
      <c r="M2195">
        <v>10</v>
      </c>
      <c r="N2195">
        <v>1472</v>
      </c>
      <c r="O2195" t="s">
        <v>64</v>
      </c>
      <c r="P2195">
        <v>42.9</v>
      </c>
      <c r="Q2195" t="s">
        <v>65</v>
      </c>
      <c r="R2195">
        <v>35.700000000000003</v>
      </c>
      <c r="S2195">
        <v>0.3</v>
      </c>
      <c r="T2195">
        <v>3</v>
      </c>
      <c r="U2195">
        <v>7.9</v>
      </c>
      <c r="V2195">
        <v>6.1</v>
      </c>
      <c r="W2195">
        <v>2.2000000000000002</v>
      </c>
      <c r="X2195" t="s">
        <v>66</v>
      </c>
    </row>
    <row r="2196" spans="2:24" x14ac:dyDescent="0.3">
      <c r="B2196" t="s">
        <v>2289</v>
      </c>
      <c r="C2196" t="s">
        <v>137</v>
      </c>
      <c r="D2196" t="s">
        <v>3</v>
      </c>
      <c r="E2196" t="s">
        <v>14</v>
      </c>
      <c r="F2196" t="s">
        <v>11</v>
      </c>
      <c r="G2196" t="s">
        <v>101</v>
      </c>
      <c r="H2196">
        <v>2026</v>
      </c>
      <c r="I2196">
        <v>15588</v>
      </c>
      <c r="J2196">
        <v>30.4</v>
      </c>
      <c r="K2196" t="s">
        <v>25</v>
      </c>
      <c r="L2196">
        <v>6.9</v>
      </c>
      <c r="M2196">
        <v>10</v>
      </c>
      <c r="N2196">
        <v>1662</v>
      </c>
      <c r="O2196" t="s">
        <v>64</v>
      </c>
      <c r="P2196">
        <v>80.400000000000006</v>
      </c>
      <c r="Q2196" t="s">
        <v>76</v>
      </c>
      <c r="R2196">
        <v>79.099999999999994</v>
      </c>
      <c r="S2196">
        <v>26</v>
      </c>
      <c r="T2196">
        <v>-3.9</v>
      </c>
      <c r="U2196">
        <v>9.4</v>
      </c>
      <c r="V2196">
        <v>4.7</v>
      </c>
      <c r="W2196">
        <v>3</v>
      </c>
      <c r="X2196" t="s">
        <v>66</v>
      </c>
    </row>
    <row r="2197" spans="2:24" x14ac:dyDescent="0.3">
      <c r="B2197" t="s">
        <v>2290</v>
      </c>
      <c r="C2197" t="s">
        <v>94</v>
      </c>
      <c r="D2197" t="s">
        <v>6</v>
      </c>
      <c r="E2197" t="s">
        <v>19</v>
      </c>
      <c r="F2197" t="s">
        <v>10</v>
      </c>
      <c r="G2197" t="s">
        <v>63</v>
      </c>
      <c r="H2197">
        <v>2025</v>
      </c>
      <c r="I2197">
        <v>2535</v>
      </c>
      <c r="J2197">
        <v>1.6</v>
      </c>
      <c r="K2197" t="s">
        <v>22</v>
      </c>
      <c r="L2197">
        <v>2.4</v>
      </c>
      <c r="M2197">
        <v>6.1</v>
      </c>
      <c r="N2197">
        <v>915</v>
      </c>
      <c r="O2197" t="s">
        <v>64</v>
      </c>
      <c r="P2197">
        <v>77</v>
      </c>
      <c r="Q2197" t="s">
        <v>86</v>
      </c>
      <c r="R2197">
        <v>67.3</v>
      </c>
      <c r="S2197">
        <v>51</v>
      </c>
      <c r="T2197">
        <v>18.2</v>
      </c>
      <c r="U2197">
        <v>3.9</v>
      </c>
      <c r="V2197">
        <v>8.1999999999999993</v>
      </c>
      <c r="W2197">
        <v>8</v>
      </c>
      <c r="X2197" t="s">
        <v>116</v>
      </c>
    </row>
    <row r="2198" spans="2:24" x14ac:dyDescent="0.3">
      <c r="B2198" t="s">
        <v>2291</v>
      </c>
      <c r="C2198" t="s">
        <v>90</v>
      </c>
      <c r="D2198" t="s">
        <v>2</v>
      </c>
      <c r="E2198" t="s">
        <v>15</v>
      </c>
      <c r="F2198" t="s">
        <v>9</v>
      </c>
      <c r="G2198" t="s">
        <v>104</v>
      </c>
      <c r="H2198">
        <v>2024</v>
      </c>
      <c r="I2198">
        <v>5757</v>
      </c>
      <c r="J2198">
        <v>1.6</v>
      </c>
      <c r="K2198" t="s">
        <v>22</v>
      </c>
      <c r="L2198">
        <v>2.5</v>
      </c>
      <c r="M2198">
        <v>3.2</v>
      </c>
      <c r="N2198">
        <v>4190</v>
      </c>
      <c r="O2198" t="s">
        <v>64</v>
      </c>
      <c r="P2198">
        <v>31.5</v>
      </c>
      <c r="Q2198" t="s">
        <v>76</v>
      </c>
      <c r="R2198">
        <v>75.400000000000006</v>
      </c>
      <c r="S2198">
        <v>2.1</v>
      </c>
      <c r="T2198">
        <v>9.8000000000000007</v>
      </c>
      <c r="U2198">
        <v>2.4</v>
      </c>
      <c r="V2198">
        <v>5</v>
      </c>
      <c r="W2198">
        <v>7</v>
      </c>
      <c r="X2198" t="s">
        <v>116</v>
      </c>
    </row>
    <row r="2199" spans="2:24" x14ac:dyDescent="0.3">
      <c r="B2199" t="s">
        <v>2292</v>
      </c>
      <c r="C2199" t="s">
        <v>137</v>
      </c>
      <c r="D2199" t="s">
        <v>4</v>
      </c>
      <c r="E2199" t="s">
        <v>16</v>
      </c>
      <c r="F2199" t="s">
        <v>10</v>
      </c>
      <c r="G2199" t="s">
        <v>74</v>
      </c>
      <c r="H2199">
        <v>2024</v>
      </c>
      <c r="I2199">
        <v>2203</v>
      </c>
      <c r="J2199">
        <v>0.1</v>
      </c>
      <c r="K2199" t="s">
        <v>22</v>
      </c>
      <c r="L2199">
        <v>3</v>
      </c>
      <c r="M2199">
        <v>2</v>
      </c>
      <c r="N2199">
        <v>712</v>
      </c>
      <c r="O2199" t="s">
        <v>64</v>
      </c>
      <c r="P2199">
        <v>48.7</v>
      </c>
      <c r="Q2199" t="s">
        <v>125</v>
      </c>
      <c r="R2199">
        <v>-4.7</v>
      </c>
      <c r="S2199">
        <v>49</v>
      </c>
      <c r="T2199">
        <v>16.2</v>
      </c>
      <c r="U2199">
        <v>2.2000000000000002</v>
      </c>
      <c r="V2199">
        <v>10</v>
      </c>
      <c r="W2199">
        <v>9.6999999999999993</v>
      </c>
      <c r="X2199" t="s">
        <v>57</v>
      </c>
    </row>
    <row r="2200" spans="2:24" x14ac:dyDescent="0.3">
      <c r="B2200" t="s">
        <v>2293</v>
      </c>
      <c r="C2200" t="s">
        <v>71</v>
      </c>
      <c r="D2200" t="s">
        <v>5</v>
      </c>
      <c r="E2200" t="s">
        <v>14</v>
      </c>
      <c r="F2200" t="s">
        <v>10</v>
      </c>
      <c r="G2200" t="s">
        <v>98</v>
      </c>
      <c r="H2200">
        <v>2025</v>
      </c>
      <c r="I2200">
        <v>1294</v>
      </c>
      <c r="J2200">
        <v>11.3</v>
      </c>
      <c r="K2200" t="s">
        <v>21</v>
      </c>
      <c r="L2200">
        <v>5.3</v>
      </c>
      <c r="M2200">
        <v>5.7</v>
      </c>
      <c r="N2200">
        <v>3438</v>
      </c>
      <c r="O2200" t="s">
        <v>64</v>
      </c>
      <c r="P2200">
        <v>23.1</v>
      </c>
      <c r="Q2200" t="s">
        <v>86</v>
      </c>
      <c r="R2200">
        <v>-33.299999999999997</v>
      </c>
      <c r="S2200">
        <v>33.799999999999997</v>
      </c>
      <c r="T2200">
        <v>20.7</v>
      </c>
      <c r="U2200">
        <v>3.1</v>
      </c>
      <c r="V2200">
        <v>6.8</v>
      </c>
      <c r="W2200">
        <v>7.5</v>
      </c>
      <c r="X2200" t="s">
        <v>116</v>
      </c>
    </row>
    <row r="2201" spans="2:24" x14ac:dyDescent="0.3">
      <c r="B2201" t="s">
        <v>2294</v>
      </c>
      <c r="C2201" t="s">
        <v>53</v>
      </c>
      <c r="D2201" t="s">
        <v>2</v>
      </c>
      <c r="E2201" t="s">
        <v>15</v>
      </c>
      <c r="F2201" t="s">
        <v>9</v>
      </c>
      <c r="G2201" t="s">
        <v>98</v>
      </c>
      <c r="H2201">
        <v>2024</v>
      </c>
      <c r="I2201">
        <v>6888</v>
      </c>
      <c r="J2201">
        <v>16.2</v>
      </c>
      <c r="K2201" t="s">
        <v>25</v>
      </c>
      <c r="L2201">
        <v>9.6</v>
      </c>
      <c r="M2201">
        <v>8.4</v>
      </c>
      <c r="N2201">
        <v>3900</v>
      </c>
      <c r="O2201" t="s">
        <v>55</v>
      </c>
      <c r="P2201">
        <v>34.1</v>
      </c>
      <c r="Q2201" t="s">
        <v>76</v>
      </c>
      <c r="R2201">
        <v>23.8</v>
      </c>
      <c r="S2201">
        <v>30.9</v>
      </c>
      <c r="T2201">
        <v>3</v>
      </c>
      <c r="U2201">
        <v>8.4</v>
      </c>
      <c r="V2201">
        <v>6</v>
      </c>
      <c r="W2201">
        <v>5.0999999999999996</v>
      </c>
      <c r="X2201" t="s">
        <v>116</v>
      </c>
    </row>
    <row r="2202" spans="2:24" x14ac:dyDescent="0.3">
      <c r="B2202" t="s">
        <v>2295</v>
      </c>
      <c r="C2202" t="s">
        <v>71</v>
      </c>
      <c r="D2202" t="s">
        <v>6</v>
      </c>
      <c r="E2202" t="s">
        <v>17</v>
      </c>
      <c r="F2202" t="s">
        <v>10</v>
      </c>
      <c r="G2202" t="s">
        <v>69</v>
      </c>
      <c r="H2202">
        <v>2026</v>
      </c>
      <c r="I2202">
        <v>497</v>
      </c>
      <c r="J2202">
        <v>5.9</v>
      </c>
      <c r="K2202" t="s">
        <v>21</v>
      </c>
      <c r="L2202">
        <v>5.2</v>
      </c>
      <c r="M2202">
        <v>6.7</v>
      </c>
      <c r="N2202">
        <v>4466</v>
      </c>
      <c r="O2202" t="s">
        <v>55</v>
      </c>
      <c r="P2202">
        <v>42.3</v>
      </c>
      <c r="Q2202" t="s">
        <v>79</v>
      </c>
      <c r="R2202">
        <v>-28</v>
      </c>
      <c r="S2202">
        <v>-12.8</v>
      </c>
      <c r="T2202">
        <v>-8.6999999999999993</v>
      </c>
      <c r="U2202">
        <v>4.5999999999999996</v>
      </c>
      <c r="V2202">
        <v>4.5999999999999996</v>
      </c>
      <c r="W2202">
        <v>4.7</v>
      </c>
      <c r="X2202" t="s">
        <v>57</v>
      </c>
    </row>
    <row r="2203" spans="2:24" x14ac:dyDescent="0.3">
      <c r="B2203" t="s">
        <v>2296</v>
      </c>
      <c r="C2203" t="s">
        <v>53</v>
      </c>
      <c r="D2203" t="s">
        <v>4</v>
      </c>
      <c r="E2203" t="s">
        <v>18</v>
      </c>
      <c r="F2203" t="s">
        <v>9</v>
      </c>
      <c r="G2203" t="s">
        <v>74</v>
      </c>
      <c r="H2203">
        <v>2024</v>
      </c>
      <c r="I2203">
        <v>3798</v>
      </c>
      <c r="J2203">
        <v>2.1</v>
      </c>
      <c r="K2203" t="s">
        <v>22</v>
      </c>
      <c r="L2203">
        <v>8.6</v>
      </c>
      <c r="M2203">
        <v>4.5999999999999996</v>
      </c>
      <c r="N2203">
        <v>2590</v>
      </c>
      <c r="O2203" t="s">
        <v>55</v>
      </c>
      <c r="P2203">
        <v>63.8</v>
      </c>
      <c r="Q2203" t="s">
        <v>86</v>
      </c>
      <c r="R2203">
        <v>83.9</v>
      </c>
      <c r="S2203">
        <v>59</v>
      </c>
      <c r="T2203">
        <v>29.5</v>
      </c>
      <c r="U2203">
        <v>5.0999999999999996</v>
      </c>
      <c r="V2203">
        <v>8.9</v>
      </c>
      <c r="W2203">
        <v>8.3000000000000007</v>
      </c>
      <c r="X2203" t="s">
        <v>116</v>
      </c>
    </row>
    <row r="2204" spans="2:24" x14ac:dyDescent="0.3">
      <c r="B2204" t="s">
        <v>2297</v>
      </c>
      <c r="C2204" t="s">
        <v>122</v>
      </c>
      <c r="D2204" t="s">
        <v>2</v>
      </c>
      <c r="E2204" t="s">
        <v>14</v>
      </c>
      <c r="F2204" t="s">
        <v>11</v>
      </c>
      <c r="G2204" t="s">
        <v>63</v>
      </c>
      <c r="H2204">
        <v>2025</v>
      </c>
      <c r="I2204">
        <v>499</v>
      </c>
      <c r="J2204">
        <v>9.1999999999999993</v>
      </c>
      <c r="K2204" t="s">
        <v>23</v>
      </c>
      <c r="L2204">
        <v>4.3</v>
      </c>
      <c r="M2204">
        <v>4.3</v>
      </c>
      <c r="N2204">
        <v>3010</v>
      </c>
      <c r="O2204" t="s">
        <v>64</v>
      </c>
      <c r="P2204">
        <v>43.4</v>
      </c>
      <c r="Q2204" t="s">
        <v>76</v>
      </c>
      <c r="R2204">
        <v>52.2</v>
      </c>
      <c r="S2204">
        <v>26.1</v>
      </c>
      <c r="T2204">
        <v>15.7</v>
      </c>
      <c r="U2204">
        <v>2.8</v>
      </c>
      <c r="V2204">
        <v>7.5</v>
      </c>
      <c r="W2204">
        <v>6.1</v>
      </c>
      <c r="X2204" t="s">
        <v>57</v>
      </c>
    </row>
    <row r="2205" spans="2:24" x14ac:dyDescent="0.3">
      <c r="B2205" t="s">
        <v>2298</v>
      </c>
      <c r="C2205" t="s">
        <v>71</v>
      </c>
      <c r="D2205" t="s">
        <v>6</v>
      </c>
      <c r="E2205" t="s">
        <v>14</v>
      </c>
      <c r="F2205" t="s">
        <v>10</v>
      </c>
      <c r="G2205" t="s">
        <v>54</v>
      </c>
      <c r="H2205">
        <v>2025</v>
      </c>
      <c r="I2205">
        <v>2311</v>
      </c>
      <c r="J2205">
        <v>2</v>
      </c>
      <c r="K2205" t="s">
        <v>25</v>
      </c>
      <c r="L2205">
        <v>2.2000000000000002</v>
      </c>
      <c r="M2205">
        <v>5.7</v>
      </c>
      <c r="N2205">
        <v>5688</v>
      </c>
      <c r="O2205" t="s">
        <v>55</v>
      </c>
      <c r="P2205">
        <v>40.9</v>
      </c>
      <c r="Q2205" t="s">
        <v>86</v>
      </c>
      <c r="R2205">
        <v>4.8</v>
      </c>
      <c r="S2205">
        <v>7</v>
      </c>
      <c r="T2205">
        <v>0.9</v>
      </c>
      <c r="U2205">
        <v>3.6</v>
      </c>
      <c r="V2205">
        <v>6.4</v>
      </c>
      <c r="W2205">
        <v>6.3</v>
      </c>
      <c r="X2205" t="s">
        <v>116</v>
      </c>
    </row>
    <row r="2206" spans="2:24" x14ac:dyDescent="0.3">
      <c r="B2206" t="s">
        <v>2299</v>
      </c>
      <c r="C2206" t="s">
        <v>73</v>
      </c>
      <c r="D2206" t="s">
        <v>2</v>
      </c>
      <c r="E2206" t="s">
        <v>15</v>
      </c>
      <c r="F2206" t="s">
        <v>9</v>
      </c>
      <c r="G2206" t="s">
        <v>74</v>
      </c>
      <c r="H2206">
        <v>2024</v>
      </c>
      <c r="I2206">
        <v>4785</v>
      </c>
      <c r="J2206">
        <v>8.1</v>
      </c>
      <c r="K2206" t="s">
        <v>25</v>
      </c>
      <c r="L2206">
        <v>2.9</v>
      </c>
      <c r="M2206">
        <v>5.6</v>
      </c>
      <c r="N2206">
        <v>2582</v>
      </c>
      <c r="O2206" t="s">
        <v>64</v>
      </c>
      <c r="P2206">
        <v>59.5</v>
      </c>
      <c r="Q2206" t="s">
        <v>56</v>
      </c>
      <c r="R2206">
        <v>55.1</v>
      </c>
      <c r="S2206">
        <v>-4.9000000000000004</v>
      </c>
      <c r="T2206">
        <v>-1.9</v>
      </c>
      <c r="U2206">
        <v>2.7</v>
      </c>
      <c r="V2206">
        <v>7.6</v>
      </c>
      <c r="W2206">
        <v>6</v>
      </c>
      <c r="X2206" t="s">
        <v>116</v>
      </c>
    </row>
    <row r="2207" spans="2:24" x14ac:dyDescent="0.3">
      <c r="B2207" t="s">
        <v>2300</v>
      </c>
      <c r="C2207" t="s">
        <v>106</v>
      </c>
      <c r="D2207" t="s">
        <v>4</v>
      </c>
      <c r="E2207" t="s">
        <v>14</v>
      </c>
      <c r="F2207" t="s">
        <v>9</v>
      </c>
      <c r="G2207" t="s">
        <v>63</v>
      </c>
      <c r="H2207">
        <v>2026</v>
      </c>
      <c r="I2207">
        <v>4481</v>
      </c>
      <c r="J2207">
        <v>1.9</v>
      </c>
      <c r="K2207" t="s">
        <v>21</v>
      </c>
      <c r="L2207">
        <v>10.3</v>
      </c>
      <c r="M2207">
        <v>6.7</v>
      </c>
      <c r="N2207">
        <v>392</v>
      </c>
      <c r="O2207" t="s">
        <v>64</v>
      </c>
      <c r="P2207">
        <v>22.5</v>
      </c>
      <c r="Q2207" t="s">
        <v>65</v>
      </c>
      <c r="R2207">
        <v>48.8</v>
      </c>
      <c r="S2207">
        <v>32</v>
      </c>
      <c r="T2207">
        <v>5.6</v>
      </c>
      <c r="U2207">
        <v>6.4</v>
      </c>
      <c r="V2207">
        <v>6.1</v>
      </c>
      <c r="W2207">
        <v>7.4</v>
      </c>
      <c r="X2207" t="s">
        <v>116</v>
      </c>
    </row>
    <row r="2208" spans="2:24" x14ac:dyDescent="0.3">
      <c r="B2208" t="s">
        <v>2301</v>
      </c>
      <c r="C2208" t="s">
        <v>53</v>
      </c>
      <c r="D2208" t="s">
        <v>3</v>
      </c>
      <c r="E2208" t="s">
        <v>19</v>
      </c>
      <c r="F2208" t="s">
        <v>9</v>
      </c>
      <c r="G2208" t="s">
        <v>112</v>
      </c>
      <c r="H2208">
        <v>2026</v>
      </c>
      <c r="I2208">
        <v>2129</v>
      </c>
      <c r="J2208">
        <v>7.8</v>
      </c>
      <c r="K2208" t="s">
        <v>25</v>
      </c>
      <c r="L2208">
        <v>4.8</v>
      </c>
      <c r="M2208">
        <v>5.6</v>
      </c>
      <c r="N2208">
        <v>5438</v>
      </c>
      <c r="O2208" t="s">
        <v>55</v>
      </c>
      <c r="P2208">
        <v>22.2</v>
      </c>
      <c r="Q2208" t="s">
        <v>125</v>
      </c>
      <c r="R2208">
        <v>-39.799999999999997</v>
      </c>
      <c r="S2208">
        <v>27.4</v>
      </c>
      <c r="T2208">
        <v>14.6</v>
      </c>
      <c r="U2208">
        <v>3.2</v>
      </c>
      <c r="V2208">
        <v>6.8</v>
      </c>
      <c r="W2208">
        <v>7</v>
      </c>
      <c r="X2208" t="s">
        <v>57</v>
      </c>
    </row>
    <row r="2209" spans="2:24" x14ac:dyDescent="0.3">
      <c r="B2209" t="s">
        <v>2302</v>
      </c>
      <c r="C2209" t="s">
        <v>68</v>
      </c>
      <c r="D2209" t="s">
        <v>8</v>
      </c>
      <c r="E2209" t="s">
        <v>18</v>
      </c>
      <c r="F2209" t="s">
        <v>10</v>
      </c>
      <c r="G2209" t="s">
        <v>69</v>
      </c>
      <c r="H2209">
        <v>2026</v>
      </c>
      <c r="I2209">
        <v>15657</v>
      </c>
      <c r="J2209">
        <v>35.1</v>
      </c>
      <c r="K2209" t="s">
        <v>23</v>
      </c>
      <c r="L2209">
        <v>6</v>
      </c>
      <c r="M2209">
        <v>10</v>
      </c>
      <c r="N2209">
        <v>1760</v>
      </c>
      <c r="O2209" t="s">
        <v>75</v>
      </c>
      <c r="P2209">
        <v>85.8</v>
      </c>
      <c r="Q2209" t="s">
        <v>88</v>
      </c>
      <c r="R2209">
        <v>33.4</v>
      </c>
      <c r="S2209">
        <v>20.6</v>
      </c>
      <c r="T2209">
        <v>10.7</v>
      </c>
      <c r="U2209">
        <v>6.7</v>
      </c>
      <c r="V2209">
        <v>4.5</v>
      </c>
      <c r="W2209">
        <v>4.0999999999999996</v>
      </c>
      <c r="X2209" t="s">
        <v>66</v>
      </c>
    </row>
    <row r="2210" spans="2:24" x14ac:dyDescent="0.3">
      <c r="B2210" t="s">
        <v>2303</v>
      </c>
      <c r="C2210" t="s">
        <v>68</v>
      </c>
      <c r="D2210" t="s">
        <v>8</v>
      </c>
      <c r="E2210" t="s">
        <v>18</v>
      </c>
      <c r="F2210" t="s">
        <v>9</v>
      </c>
      <c r="G2210" t="s">
        <v>112</v>
      </c>
      <c r="H2210">
        <v>2025</v>
      </c>
      <c r="I2210">
        <v>17577</v>
      </c>
      <c r="J2210">
        <v>35.6</v>
      </c>
      <c r="K2210" t="s">
        <v>23</v>
      </c>
      <c r="L2210">
        <v>2.4</v>
      </c>
      <c r="M2210">
        <v>8.6</v>
      </c>
      <c r="N2210">
        <v>1631</v>
      </c>
      <c r="O2210" t="s">
        <v>75</v>
      </c>
      <c r="P2210">
        <v>42</v>
      </c>
      <c r="Q2210" t="s">
        <v>56</v>
      </c>
      <c r="R2210">
        <v>77.7</v>
      </c>
      <c r="S2210">
        <v>31.3</v>
      </c>
      <c r="T2210">
        <v>2.8</v>
      </c>
      <c r="U2210">
        <v>2</v>
      </c>
      <c r="V2210">
        <v>5.4</v>
      </c>
      <c r="W2210">
        <v>4</v>
      </c>
      <c r="X2210" t="s">
        <v>66</v>
      </c>
    </row>
    <row r="2211" spans="2:24" x14ac:dyDescent="0.3">
      <c r="B2211" t="s">
        <v>2304</v>
      </c>
      <c r="C2211" t="s">
        <v>137</v>
      </c>
      <c r="D2211" t="s">
        <v>3</v>
      </c>
      <c r="E2211" t="s">
        <v>15</v>
      </c>
      <c r="F2211" t="s">
        <v>11</v>
      </c>
      <c r="G2211" t="s">
        <v>60</v>
      </c>
      <c r="H2211">
        <v>2024</v>
      </c>
      <c r="I2211">
        <v>403</v>
      </c>
      <c r="J2211">
        <v>8.4</v>
      </c>
      <c r="K2211" t="s">
        <v>22</v>
      </c>
      <c r="L2211">
        <v>6.5</v>
      </c>
      <c r="M2211">
        <v>6.3</v>
      </c>
      <c r="N2211">
        <v>1151</v>
      </c>
      <c r="O2211" t="s">
        <v>64</v>
      </c>
      <c r="P2211">
        <v>53.5</v>
      </c>
      <c r="Q2211" t="s">
        <v>125</v>
      </c>
      <c r="R2211">
        <v>58.7</v>
      </c>
      <c r="S2211">
        <v>-6.6</v>
      </c>
      <c r="T2211">
        <v>-7.8</v>
      </c>
      <c r="U2211">
        <v>5.5</v>
      </c>
      <c r="V2211">
        <v>7.8</v>
      </c>
      <c r="W2211">
        <v>4.9000000000000004</v>
      </c>
      <c r="X2211" t="s">
        <v>57</v>
      </c>
    </row>
    <row r="2212" spans="2:24" x14ac:dyDescent="0.3">
      <c r="B2212" t="s">
        <v>2305</v>
      </c>
      <c r="C2212" t="s">
        <v>90</v>
      </c>
      <c r="D2212" t="s">
        <v>5</v>
      </c>
      <c r="E2212" t="s">
        <v>16</v>
      </c>
      <c r="F2212" t="s">
        <v>9</v>
      </c>
      <c r="G2212" t="s">
        <v>63</v>
      </c>
      <c r="H2212">
        <v>2024</v>
      </c>
      <c r="I2212">
        <v>11129</v>
      </c>
      <c r="J2212">
        <v>26.1</v>
      </c>
      <c r="K2212" t="s">
        <v>23</v>
      </c>
      <c r="L2212">
        <v>5</v>
      </c>
      <c r="M2212">
        <v>9.8000000000000007</v>
      </c>
      <c r="N2212">
        <v>1654</v>
      </c>
      <c r="O2212" t="s">
        <v>75</v>
      </c>
      <c r="P2212">
        <v>25.3</v>
      </c>
      <c r="Q2212" t="s">
        <v>65</v>
      </c>
      <c r="R2212">
        <v>5.8</v>
      </c>
      <c r="S2212">
        <v>51.8</v>
      </c>
      <c r="T2212">
        <v>14.6</v>
      </c>
      <c r="U2212">
        <v>3.1</v>
      </c>
      <c r="V2212">
        <v>5.0999999999999996</v>
      </c>
      <c r="W2212">
        <v>5.9</v>
      </c>
      <c r="X2212" t="s">
        <v>66</v>
      </c>
    </row>
    <row r="2213" spans="2:24" x14ac:dyDescent="0.3">
      <c r="B2213" t="s">
        <v>2306</v>
      </c>
      <c r="C2213" t="s">
        <v>90</v>
      </c>
      <c r="D2213" t="s">
        <v>3</v>
      </c>
      <c r="E2213" t="s">
        <v>17</v>
      </c>
      <c r="F2213" t="s">
        <v>9</v>
      </c>
      <c r="G2213" t="s">
        <v>131</v>
      </c>
      <c r="H2213">
        <v>2024</v>
      </c>
      <c r="I2213">
        <v>1877</v>
      </c>
      <c r="J2213">
        <v>1.9</v>
      </c>
      <c r="K2213" t="s">
        <v>22</v>
      </c>
      <c r="L2213">
        <v>6</v>
      </c>
      <c r="M2213">
        <v>7.1</v>
      </c>
      <c r="N2213">
        <v>5262</v>
      </c>
      <c r="O2213" t="s">
        <v>55</v>
      </c>
      <c r="P2213">
        <v>50.5</v>
      </c>
      <c r="Q2213" t="s">
        <v>65</v>
      </c>
      <c r="R2213">
        <v>21.2</v>
      </c>
      <c r="S2213">
        <v>21.7</v>
      </c>
      <c r="T2213">
        <v>14.4</v>
      </c>
      <c r="U2213">
        <v>9.6</v>
      </c>
      <c r="V2213">
        <v>5.5</v>
      </c>
      <c r="W2213">
        <v>7.8</v>
      </c>
      <c r="X2213" t="s">
        <v>57</v>
      </c>
    </row>
    <row r="2214" spans="2:24" x14ac:dyDescent="0.3">
      <c r="B2214" t="s">
        <v>2307</v>
      </c>
      <c r="C2214" t="s">
        <v>159</v>
      </c>
      <c r="D2214" t="s">
        <v>2</v>
      </c>
      <c r="E2214" t="s">
        <v>14</v>
      </c>
      <c r="F2214" t="s">
        <v>9</v>
      </c>
      <c r="G2214" t="s">
        <v>112</v>
      </c>
      <c r="H2214">
        <v>2024</v>
      </c>
      <c r="I2214">
        <v>6172</v>
      </c>
      <c r="J2214">
        <v>13.4</v>
      </c>
      <c r="K2214" t="s">
        <v>25</v>
      </c>
      <c r="L2214">
        <v>10.8</v>
      </c>
      <c r="M2214">
        <v>10</v>
      </c>
      <c r="N2214">
        <v>4111</v>
      </c>
      <c r="O2214" t="s">
        <v>55</v>
      </c>
      <c r="P2214">
        <v>38.700000000000003</v>
      </c>
      <c r="Q2214" t="s">
        <v>76</v>
      </c>
      <c r="R2214">
        <v>38.1</v>
      </c>
      <c r="S2214">
        <v>-7.5</v>
      </c>
      <c r="T2214">
        <v>-5.8</v>
      </c>
      <c r="U2214">
        <v>8.1</v>
      </c>
      <c r="V2214">
        <v>4.4000000000000004</v>
      </c>
      <c r="W2214">
        <v>5.4</v>
      </c>
      <c r="X2214" t="s">
        <v>116</v>
      </c>
    </row>
    <row r="2215" spans="2:24" x14ac:dyDescent="0.3">
      <c r="B2215" t="s">
        <v>2308</v>
      </c>
      <c r="C2215" t="s">
        <v>90</v>
      </c>
      <c r="D2215" t="s">
        <v>2</v>
      </c>
      <c r="E2215" t="s">
        <v>17</v>
      </c>
      <c r="F2215" t="s">
        <v>12</v>
      </c>
      <c r="G2215" t="s">
        <v>63</v>
      </c>
      <c r="H2215">
        <v>2024</v>
      </c>
      <c r="I2215">
        <v>1103</v>
      </c>
      <c r="J2215">
        <v>4.0999999999999996</v>
      </c>
      <c r="K2215" t="s">
        <v>24</v>
      </c>
      <c r="L2215">
        <v>4.3</v>
      </c>
      <c r="M2215">
        <v>7.5</v>
      </c>
      <c r="N2215">
        <v>5266</v>
      </c>
      <c r="O2215" t="s">
        <v>55</v>
      </c>
      <c r="P2215">
        <v>33.1</v>
      </c>
      <c r="Q2215" t="s">
        <v>56</v>
      </c>
      <c r="R2215">
        <v>27.9</v>
      </c>
      <c r="S2215">
        <v>-23.2</v>
      </c>
      <c r="T2215">
        <v>-2</v>
      </c>
      <c r="U2215">
        <v>5.7</v>
      </c>
      <c r="V2215">
        <v>6.6</v>
      </c>
      <c r="W2215">
        <v>4.8</v>
      </c>
      <c r="X2215" t="s">
        <v>57</v>
      </c>
    </row>
    <row r="2216" spans="2:24" x14ac:dyDescent="0.3">
      <c r="B2216" t="s">
        <v>2309</v>
      </c>
      <c r="C2216" t="s">
        <v>97</v>
      </c>
      <c r="D2216" t="s">
        <v>3</v>
      </c>
      <c r="E2216" t="s">
        <v>19</v>
      </c>
      <c r="F2216" t="s">
        <v>12</v>
      </c>
      <c r="G2216" t="s">
        <v>63</v>
      </c>
      <c r="H2216">
        <v>2025</v>
      </c>
      <c r="I2216">
        <v>163</v>
      </c>
      <c r="J2216">
        <v>5.0999999999999996</v>
      </c>
      <c r="K2216" t="s">
        <v>21</v>
      </c>
      <c r="L2216">
        <v>6.2</v>
      </c>
      <c r="M2216">
        <v>4.5</v>
      </c>
      <c r="N2216">
        <v>2701</v>
      </c>
      <c r="O2216" t="s">
        <v>55</v>
      </c>
      <c r="P2216">
        <v>35.299999999999997</v>
      </c>
      <c r="Q2216" t="s">
        <v>88</v>
      </c>
      <c r="R2216">
        <v>60.3</v>
      </c>
      <c r="S2216">
        <v>45.6</v>
      </c>
      <c r="T2216">
        <v>13.4</v>
      </c>
      <c r="U2216">
        <v>7.3</v>
      </c>
      <c r="V2216">
        <v>9.1</v>
      </c>
      <c r="W2216">
        <v>7.5</v>
      </c>
      <c r="X2216" t="s">
        <v>116</v>
      </c>
    </row>
    <row r="2217" spans="2:24" x14ac:dyDescent="0.3">
      <c r="B2217" t="s">
        <v>2310</v>
      </c>
      <c r="C2217" t="s">
        <v>90</v>
      </c>
      <c r="D2217" t="s">
        <v>6</v>
      </c>
      <c r="E2217" t="s">
        <v>16</v>
      </c>
      <c r="F2217" t="s">
        <v>9</v>
      </c>
      <c r="G2217" t="s">
        <v>131</v>
      </c>
      <c r="H2217">
        <v>2025</v>
      </c>
      <c r="I2217">
        <v>6428</v>
      </c>
      <c r="J2217">
        <v>1.6</v>
      </c>
      <c r="K2217" t="s">
        <v>24</v>
      </c>
      <c r="L2217">
        <v>5.4</v>
      </c>
      <c r="M2217">
        <v>7.4</v>
      </c>
      <c r="N2217">
        <v>4442</v>
      </c>
      <c r="O2217" t="s">
        <v>55</v>
      </c>
      <c r="P2217">
        <v>11.1</v>
      </c>
      <c r="Q2217" t="s">
        <v>125</v>
      </c>
      <c r="R2217">
        <v>-37.200000000000003</v>
      </c>
      <c r="S2217">
        <v>-15.9</v>
      </c>
      <c r="T2217">
        <v>-0.4</v>
      </c>
      <c r="U2217">
        <v>8.6999999999999993</v>
      </c>
      <c r="V2217">
        <v>5.4</v>
      </c>
      <c r="W2217">
        <v>6.3</v>
      </c>
      <c r="X2217" t="s">
        <v>116</v>
      </c>
    </row>
    <row r="2218" spans="2:24" x14ac:dyDescent="0.3">
      <c r="B2218" t="s">
        <v>2311</v>
      </c>
      <c r="C2218" t="s">
        <v>122</v>
      </c>
      <c r="D2218" t="s">
        <v>2</v>
      </c>
      <c r="E2218" t="s">
        <v>16</v>
      </c>
      <c r="F2218" t="s">
        <v>9</v>
      </c>
      <c r="G2218" t="s">
        <v>74</v>
      </c>
      <c r="H2218">
        <v>2025</v>
      </c>
      <c r="I2218">
        <v>5831</v>
      </c>
      <c r="J2218">
        <v>16.2</v>
      </c>
      <c r="K2218" t="s">
        <v>24</v>
      </c>
      <c r="L2218">
        <v>5</v>
      </c>
      <c r="M2218">
        <v>10</v>
      </c>
      <c r="N2218">
        <v>2589</v>
      </c>
      <c r="O2218" t="s">
        <v>55</v>
      </c>
      <c r="P2218">
        <v>35.799999999999997</v>
      </c>
      <c r="Q2218" t="s">
        <v>76</v>
      </c>
      <c r="R2218">
        <v>54</v>
      </c>
      <c r="S2218">
        <v>-17.7</v>
      </c>
      <c r="T2218">
        <v>-12.6</v>
      </c>
      <c r="U2218">
        <v>7.7</v>
      </c>
      <c r="V2218">
        <v>4</v>
      </c>
      <c r="W2218">
        <v>3.6</v>
      </c>
      <c r="X2218" t="s">
        <v>116</v>
      </c>
    </row>
    <row r="2219" spans="2:24" x14ac:dyDescent="0.3">
      <c r="B2219" t="s">
        <v>2312</v>
      </c>
      <c r="C2219" t="s">
        <v>94</v>
      </c>
      <c r="D2219" t="s">
        <v>6</v>
      </c>
      <c r="E2219" t="s">
        <v>16</v>
      </c>
      <c r="F2219" t="s">
        <v>12</v>
      </c>
      <c r="G2219" t="s">
        <v>98</v>
      </c>
      <c r="H2219">
        <v>2025</v>
      </c>
      <c r="I2219">
        <v>6690</v>
      </c>
      <c r="J2219">
        <v>14</v>
      </c>
      <c r="K2219" t="s">
        <v>22</v>
      </c>
      <c r="L2219">
        <v>5.8</v>
      </c>
      <c r="M2219">
        <v>9.1</v>
      </c>
      <c r="N2219">
        <v>1533</v>
      </c>
      <c r="O2219" t="s">
        <v>64</v>
      </c>
      <c r="P2219">
        <v>54.2</v>
      </c>
      <c r="Q2219" t="s">
        <v>84</v>
      </c>
      <c r="R2219">
        <v>81.900000000000006</v>
      </c>
      <c r="S2219">
        <v>36.5</v>
      </c>
      <c r="T2219">
        <v>16.3</v>
      </c>
      <c r="U2219">
        <v>6.6</v>
      </c>
      <c r="V2219">
        <v>7.9</v>
      </c>
      <c r="W2219">
        <v>5.3</v>
      </c>
      <c r="X2219" t="s">
        <v>116</v>
      </c>
    </row>
    <row r="2220" spans="2:24" x14ac:dyDescent="0.3">
      <c r="B2220" t="s">
        <v>2313</v>
      </c>
      <c r="C2220" t="s">
        <v>68</v>
      </c>
      <c r="D2220" t="s">
        <v>8</v>
      </c>
      <c r="E2220" t="s">
        <v>14</v>
      </c>
      <c r="F2220" t="s">
        <v>11</v>
      </c>
      <c r="G2220" t="s">
        <v>131</v>
      </c>
      <c r="H2220">
        <v>2025</v>
      </c>
      <c r="I2220">
        <v>2275</v>
      </c>
      <c r="J2220">
        <v>3.9</v>
      </c>
      <c r="K2220" t="s">
        <v>21</v>
      </c>
      <c r="L2220">
        <v>1.9</v>
      </c>
      <c r="M2220">
        <v>2.7</v>
      </c>
      <c r="N2220">
        <v>1430</v>
      </c>
      <c r="O2220" t="s">
        <v>64</v>
      </c>
      <c r="P2220">
        <v>59.4</v>
      </c>
      <c r="Q2220" t="s">
        <v>76</v>
      </c>
      <c r="R2220">
        <v>54.1</v>
      </c>
      <c r="S2220">
        <v>56.5</v>
      </c>
      <c r="T2220">
        <v>19.5</v>
      </c>
      <c r="U2220">
        <v>1.1000000000000001</v>
      </c>
      <c r="V2220">
        <v>8.6999999999999993</v>
      </c>
      <c r="W2220">
        <v>9.5</v>
      </c>
      <c r="X2220" t="s">
        <v>57</v>
      </c>
    </row>
    <row r="2221" spans="2:24" x14ac:dyDescent="0.3">
      <c r="B2221" t="s">
        <v>2314</v>
      </c>
      <c r="C2221" t="s">
        <v>94</v>
      </c>
      <c r="D2221" t="s">
        <v>6</v>
      </c>
      <c r="E2221" t="s">
        <v>17</v>
      </c>
      <c r="F2221" t="s">
        <v>11</v>
      </c>
      <c r="G2221" t="s">
        <v>131</v>
      </c>
      <c r="H2221">
        <v>2026</v>
      </c>
      <c r="I2221">
        <v>11951</v>
      </c>
      <c r="J2221">
        <v>23</v>
      </c>
      <c r="K2221" t="s">
        <v>21</v>
      </c>
      <c r="L2221">
        <v>3</v>
      </c>
      <c r="M2221">
        <v>7.1</v>
      </c>
      <c r="N2221">
        <v>1594</v>
      </c>
      <c r="O2221" t="s">
        <v>64</v>
      </c>
      <c r="P2221">
        <v>61</v>
      </c>
      <c r="Q2221" t="s">
        <v>79</v>
      </c>
      <c r="R2221">
        <v>12.3</v>
      </c>
      <c r="S2221">
        <v>-23.3</v>
      </c>
      <c r="T2221">
        <v>-17.100000000000001</v>
      </c>
      <c r="U2221">
        <v>4.5999999999999996</v>
      </c>
      <c r="V2221">
        <v>5.4</v>
      </c>
      <c r="W2221">
        <v>4.0999999999999996</v>
      </c>
      <c r="X2221" t="s">
        <v>66</v>
      </c>
    </row>
    <row r="2222" spans="2:24" x14ac:dyDescent="0.3">
      <c r="B2222" t="s">
        <v>2315</v>
      </c>
      <c r="C2222" t="s">
        <v>159</v>
      </c>
      <c r="D2222" t="s">
        <v>7</v>
      </c>
      <c r="E2222" t="s">
        <v>14</v>
      </c>
      <c r="F2222" t="s">
        <v>9</v>
      </c>
      <c r="G2222" t="s">
        <v>74</v>
      </c>
      <c r="H2222">
        <v>2024</v>
      </c>
      <c r="I2222">
        <v>15692</v>
      </c>
      <c r="J2222">
        <v>34.799999999999997</v>
      </c>
      <c r="K2222" t="s">
        <v>22</v>
      </c>
      <c r="L2222">
        <v>9.8000000000000007</v>
      </c>
      <c r="M2222">
        <v>10</v>
      </c>
      <c r="N2222">
        <v>440</v>
      </c>
      <c r="O2222" t="s">
        <v>75</v>
      </c>
      <c r="P2222">
        <v>71.599999999999994</v>
      </c>
      <c r="Q2222" t="s">
        <v>84</v>
      </c>
      <c r="R2222">
        <v>68</v>
      </c>
      <c r="S2222">
        <v>-24.2</v>
      </c>
      <c r="T2222">
        <v>-22.5</v>
      </c>
      <c r="U2222">
        <v>5.8</v>
      </c>
      <c r="V2222">
        <v>3.1</v>
      </c>
      <c r="W2222">
        <v>1.2</v>
      </c>
      <c r="X2222" t="s">
        <v>66</v>
      </c>
    </row>
    <row r="2223" spans="2:24" x14ac:dyDescent="0.3">
      <c r="B2223" t="s">
        <v>2316</v>
      </c>
      <c r="C2223" t="s">
        <v>137</v>
      </c>
      <c r="D2223" t="s">
        <v>3</v>
      </c>
      <c r="E2223" t="s">
        <v>16</v>
      </c>
      <c r="F2223" t="s">
        <v>9</v>
      </c>
      <c r="G2223" t="s">
        <v>74</v>
      </c>
      <c r="H2223">
        <v>2024</v>
      </c>
      <c r="I2223">
        <v>404</v>
      </c>
      <c r="J2223">
        <v>0.8</v>
      </c>
      <c r="K2223" t="s">
        <v>21</v>
      </c>
      <c r="L2223">
        <v>13.1</v>
      </c>
      <c r="M2223">
        <v>8.1</v>
      </c>
      <c r="N2223">
        <v>4237</v>
      </c>
      <c r="O2223" t="s">
        <v>55</v>
      </c>
      <c r="P2223">
        <v>54.5</v>
      </c>
      <c r="Q2223" t="s">
        <v>84</v>
      </c>
      <c r="R2223">
        <v>10.1</v>
      </c>
      <c r="S2223">
        <v>48.2</v>
      </c>
      <c r="T2223">
        <v>25.6</v>
      </c>
      <c r="U2223">
        <v>8.9</v>
      </c>
      <c r="V2223">
        <v>9.5</v>
      </c>
      <c r="W2223">
        <v>8.4</v>
      </c>
      <c r="X2223" t="s">
        <v>57</v>
      </c>
    </row>
    <row r="2224" spans="2:24" x14ac:dyDescent="0.3">
      <c r="B2224" t="s">
        <v>2317</v>
      </c>
      <c r="C2224" t="s">
        <v>122</v>
      </c>
      <c r="D2224" t="s">
        <v>2</v>
      </c>
      <c r="E2224" t="s">
        <v>19</v>
      </c>
      <c r="F2224" t="s">
        <v>10</v>
      </c>
      <c r="G2224" t="s">
        <v>101</v>
      </c>
      <c r="H2224">
        <v>2024</v>
      </c>
      <c r="I2224">
        <v>13752</v>
      </c>
      <c r="J2224">
        <v>28</v>
      </c>
      <c r="K2224" t="s">
        <v>24</v>
      </c>
      <c r="L2224">
        <v>2.7</v>
      </c>
      <c r="M2224">
        <v>7.5</v>
      </c>
      <c r="N2224">
        <v>3651</v>
      </c>
      <c r="O2224" t="s">
        <v>75</v>
      </c>
      <c r="P2224">
        <v>17.600000000000001</v>
      </c>
      <c r="Q2224" t="s">
        <v>76</v>
      </c>
      <c r="R2224">
        <v>69.2</v>
      </c>
      <c r="S2224">
        <v>-13.2</v>
      </c>
      <c r="T2224">
        <v>-14.3</v>
      </c>
      <c r="U2224">
        <v>4</v>
      </c>
      <c r="V2224">
        <v>5.7</v>
      </c>
      <c r="W2224">
        <v>2.7</v>
      </c>
      <c r="X2224" t="s">
        <v>66</v>
      </c>
    </row>
    <row r="2225" spans="2:24" x14ac:dyDescent="0.3">
      <c r="B2225" t="s">
        <v>2318</v>
      </c>
      <c r="C2225" t="s">
        <v>73</v>
      </c>
      <c r="D2225" t="s">
        <v>3</v>
      </c>
      <c r="E2225" t="s">
        <v>14</v>
      </c>
      <c r="F2225" t="s">
        <v>12</v>
      </c>
      <c r="G2225" t="s">
        <v>54</v>
      </c>
      <c r="H2225">
        <v>2026</v>
      </c>
      <c r="I2225">
        <v>14731</v>
      </c>
      <c r="J2225">
        <v>17.899999999999999</v>
      </c>
      <c r="K2225" t="s">
        <v>23</v>
      </c>
      <c r="L2225">
        <v>1.6</v>
      </c>
      <c r="M2225">
        <v>3.9</v>
      </c>
      <c r="N2225">
        <v>59</v>
      </c>
      <c r="O2225" t="s">
        <v>75</v>
      </c>
      <c r="P2225">
        <v>66.099999999999994</v>
      </c>
      <c r="Q2225" t="s">
        <v>65</v>
      </c>
      <c r="R2225">
        <v>66.900000000000006</v>
      </c>
      <c r="S2225">
        <v>40.5</v>
      </c>
      <c r="T2225">
        <v>12.1</v>
      </c>
      <c r="U2225">
        <v>1.7</v>
      </c>
      <c r="V2225">
        <v>5.9</v>
      </c>
      <c r="W2225">
        <v>6.4</v>
      </c>
      <c r="X2225" t="s">
        <v>66</v>
      </c>
    </row>
    <row r="2226" spans="2:24" x14ac:dyDescent="0.3">
      <c r="B2226" t="s">
        <v>2319</v>
      </c>
      <c r="C2226" t="s">
        <v>142</v>
      </c>
      <c r="D2226" t="s">
        <v>8</v>
      </c>
      <c r="E2226" t="s">
        <v>14</v>
      </c>
      <c r="F2226" t="s">
        <v>11</v>
      </c>
      <c r="G2226" t="s">
        <v>112</v>
      </c>
      <c r="H2226">
        <v>2026</v>
      </c>
      <c r="I2226">
        <v>863</v>
      </c>
      <c r="J2226">
        <v>8.1</v>
      </c>
      <c r="K2226" t="s">
        <v>24</v>
      </c>
      <c r="L2226">
        <v>1.9</v>
      </c>
      <c r="M2226">
        <v>5.7</v>
      </c>
      <c r="N2226">
        <v>1477</v>
      </c>
      <c r="O2226" t="s">
        <v>55</v>
      </c>
      <c r="P2226">
        <v>44.4</v>
      </c>
      <c r="Q2226" t="s">
        <v>86</v>
      </c>
      <c r="R2226">
        <v>76.5</v>
      </c>
      <c r="S2226">
        <v>13.6</v>
      </c>
      <c r="T2226">
        <v>8.6999999999999993</v>
      </c>
      <c r="U2226">
        <v>2.8</v>
      </c>
      <c r="V2226">
        <v>6.2</v>
      </c>
      <c r="W2226">
        <v>6.4</v>
      </c>
      <c r="X2226" t="s">
        <v>116</v>
      </c>
    </row>
    <row r="2227" spans="2:24" x14ac:dyDescent="0.3">
      <c r="B2227" t="s">
        <v>2320</v>
      </c>
      <c r="C2227" t="s">
        <v>97</v>
      </c>
      <c r="D2227" t="s">
        <v>3</v>
      </c>
      <c r="E2227" t="s">
        <v>18</v>
      </c>
      <c r="F2227" t="s">
        <v>12</v>
      </c>
      <c r="G2227" t="s">
        <v>60</v>
      </c>
      <c r="H2227">
        <v>2025</v>
      </c>
      <c r="I2227">
        <v>13895</v>
      </c>
      <c r="J2227">
        <v>11.6</v>
      </c>
      <c r="K2227" t="s">
        <v>23</v>
      </c>
      <c r="L2227">
        <v>7.2</v>
      </c>
      <c r="M2227">
        <v>10</v>
      </c>
      <c r="N2227">
        <v>1570</v>
      </c>
      <c r="O2227" t="s">
        <v>64</v>
      </c>
      <c r="P2227">
        <v>68.7</v>
      </c>
      <c r="Q2227" t="s">
        <v>56</v>
      </c>
      <c r="R2227">
        <v>45.7</v>
      </c>
      <c r="S2227">
        <v>37.5</v>
      </c>
      <c r="T2227">
        <v>12</v>
      </c>
      <c r="U2227">
        <v>9.9</v>
      </c>
      <c r="V2227">
        <v>6.2</v>
      </c>
      <c r="W2227">
        <v>6.3</v>
      </c>
      <c r="X2227" t="s">
        <v>66</v>
      </c>
    </row>
    <row r="2228" spans="2:24" x14ac:dyDescent="0.3">
      <c r="B2228" t="s">
        <v>2321</v>
      </c>
      <c r="C2228" t="s">
        <v>92</v>
      </c>
      <c r="D2228" t="s">
        <v>7</v>
      </c>
      <c r="E2228" t="s">
        <v>16</v>
      </c>
      <c r="F2228" t="s">
        <v>10</v>
      </c>
      <c r="G2228" t="s">
        <v>112</v>
      </c>
      <c r="H2228">
        <v>2025</v>
      </c>
      <c r="I2228">
        <v>3740</v>
      </c>
      <c r="J2228">
        <v>12.9</v>
      </c>
      <c r="K2228" t="s">
        <v>24</v>
      </c>
      <c r="L2228">
        <v>3.4</v>
      </c>
      <c r="M2228">
        <v>2</v>
      </c>
      <c r="N2228">
        <v>3733</v>
      </c>
      <c r="O2228" t="s">
        <v>64</v>
      </c>
      <c r="P2228">
        <v>23.4</v>
      </c>
      <c r="Q2228" t="s">
        <v>56</v>
      </c>
      <c r="R2228">
        <v>17.5</v>
      </c>
      <c r="S2228">
        <v>2.2000000000000002</v>
      </c>
      <c r="T2228">
        <v>-1.3</v>
      </c>
      <c r="U2228">
        <v>2.1</v>
      </c>
      <c r="V2228">
        <v>4.4000000000000004</v>
      </c>
      <c r="W2228">
        <v>7.3</v>
      </c>
      <c r="X2228" t="s">
        <v>116</v>
      </c>
    </row>
    <row r="2229" spans="2:24" x14ac:dyDescent="0.3">
      <c r="B2229" t="s">
        <v>2322</v>
      </c>
      <c r="C2229" t="s">
        <v>53</v>
      </c>
      <c r="D2229" t="s">
        <v>4</v>
      </c>
      <c r="E2229" t="s">
        <v>17</v>
      </c>
      <c r="F2229" t="s">
        <v>9</v>
      </c>
      <c r="G2229" t="s">
        <v>104</v>
      </c>
      <c r="H2229">
        <v>2024</v>
      </c>
      <c r="I2229">
        <v>443</v>
      </c>
      <c r="J2229">
        <v>5.9</v>
      </c>
      <c r="K2229" t="s">
        <v>23</v>
      </c>
      <c r="L2229">
        <v>3.9</v>
      </c>
      <c r="M2229">
        <v>4.2</v>
      </c>
      <c r="N2229">
        <v>1074</v>
      </c>
      <c r="O2229" t="s">
        <v>64</v>
      </c>
      <c r="P2229">
        <v>89.1</v>
      </c>
      <c r="Q2229" t="s">
        <v>79</v>
      </c>
      <c r="R2229">
        <v>-2.1</v>
      </c>
      <c r="S2229">
        <v>-12.8</v>
      </c>
      <c r="T2229">
        <v>-14.1</v>
      </c>
      <c r="U2229">
        <v>2.8</v>
      </c>
      <c r="V2229">
        <v>7.7</v>
      </c>
      <c r="W2229">
        <v>5.4</v>
      </c>
      <c r="X2229" t="s">
        <v>57</v>
      </c>
    </row>
    <row r="2230" spans="2:24" x14ac:dyDescent="0.3">
      <c r="B2230" t="s">
        <v>2323</v>
      </c>
      <c r="C2230" t="s">
        <v>159</v>
      </c>
      <c r="D2230" t="s">
        <v>7</v>
      </c>
      <c r="E2230" t="s">
        <v>16</v>
      </c>
      <c r="F2230" t="s">
        <v>12</v>
      </c>
      <c r="G2230" t="s">
        <v>101</v>
      </c>
      <c r="H2230">
        <v>2025</v>
      </c>
      <c r="I2230">
        <v>1172</v>
      </c>
      <c r="J2230">
        <v>4.5</v>
      </c>
      <c r="K2230" t="s">
        <v>23</v>
      </c>
      <c r="L2230">
        <v>2.1</v>
      </c>
      <c r="M2230">
        <v>2.1</v>
      </c>
      <c r="N2230">
        <v>1709</v>
      </c>
      <c r="O2230" t="s">
        <v>64</v>
      </c>
      <c r="P2230">
        <v>82.2</v>
      </c>
      <c r="Q2230" t="s">
        <v>88</v>
      </c>
      <c r="R2230">
        <v>-6.8</v>
      </c>
      <c r="S2230">
        <v>-19.8</v>
      </c>
      <c r="T2230">
        <v>-0.3</v>
      </c>
      <c r="U2230">
        <v>1.8</v>
      </c>
      <c r="V2230">
        <v>5.3</v>
      </c>
      <c r="W2230">
        <v>5.6</v>
      </c>
      <c r="X2230" t="s">
        <v>57</v>
      </c>
    </row>
    <row r="2231" spans="2:24" x14ac:dyDescent="0.3">
      <c r="B2231" t="s">
        <v>2324</v>
      </c>
      <c r="C2231" t="s">
        <v>27</v>
      </c>
      <c r="D2231" t="s">
        <v>3</v>
      </c>
      <c r="E2231" t="s">
        <v>16</v>
      </c>
      <c r="F2231" t="s">
        <v>9</v>
      </c>
      <c r="G2231" t="s">
        <v>115</v>
      </c>
      <c r="H2231">
        <v>2026</v>
      </c>
      <c r="I2231">
        <v>16330</v>
      </c>
      <c r="J2231">
        <v>13.5</v>
      </c>
      <c r="K2231" t="s">
        <v>23</v>
      </c>
      <c r="L2231">
        <v>10.1</v>
      </c>
      <c r="M2231">
        <v>10</v>
      </c>
      <c r="N2231">
        <v>674</v>
      </c>
      <c r="O2231" t="s">
        <v>64</v>
      </c>
      <c r="P2231">
        <v>79.8</v>
      </c>
      <c r="Q2231" t="s">
        <v>79</v>
      </c>
      <c r="R2231">
        <v>0.6</v>
      </c>
      <c r="S2231">
        <v>-23.2</v>
      </c>
      <c r="T2231">
        <v>-9.5</v>
      </c>
      <c r="U2231">
        <v>8.3000000000000007</v>
      </c>
      <c r="V2231">
        <v>5.2</v>
      </c>
      <c r="W2231">
        <v>4.3</v>
      </c>
      <c r="X2231" t="s">
        <v>66</v>
      </c>
    </row>
    <row r="2232" spans="2:24" x14ac:dyDescent="0.3">
      <c r="B2232" t="s">
        <v>2325</v>
      </c>
      <c r="C2232" t="s">
        <v>106</v>
      </c>
      <c r="D2232" t="s">
        <v>8</v>
      </c>
      <c r="E2232" t="s">
        <v>18</v>
      </c>
      <c r="F2232" t="s">
        <v>9</v>
      </c>
      <c r="G2232" t="s">
        <v>104</v>
      </c>
      <c r="H2232">
        <v>2024</v>
      </c>
      <c r="I2232">
        <v>13859</v>
      </c>
      <c r="J2232">
        <v>10.4</v>
      </c>
      <c r="K2232" t="s">
        <v>23</v>
      </c>
      <c r="L2232">
        <v>1.4</v>
      </c>
      <c r="M2232">
        <v>4.5999999999999996</v>
      </c>
      <c r="N2232">
        <v>926</v>
      </c>
      <c r="O2232" t="s">
        <v>75</v>
      </c>
      <c r="P2232">
        <v>46.4</v>
      </c>
      <c r="Q2232" t="s">
        <v>56</v>
      </c>
      <c r="R2232">
        <v>-7.3</v>
      </c>
      <c r="S2232">
        <v>0.4</v>
      </c>
      <c r="T2232">
        <v>-0.2</v>
      </c>
      <c r="U2232">
        <v>1.6</v>
      </c>
      <c r="V2232">
        <v>7.5</v>
      </c>
      <c r="W2232">
        <v>5.2</v>
      </c>
      <c r="X2232" t="s">
        <v>66</v>
      </c>
    </row>
    <row r="2233" spans="2:24" x14ac:dyDescent="0.3">
      <c r="B2233" t="s">
        <v>2326</v>
      </c>
      <c r="C2233" t="s">
        <v>27</v>
      </c>
      <c r="D2233" t="s">
        <v>3</v>
      </c>
      <c r="E2233" t="s">
        <v>19</v>
      </c>
      <c r="F2233" t="s">
        <v>10</v>
      </c>
      <c r="G2233" t="s">
        <v>74</v>
      </c>
      <c r="H2233">
        <v>2024</v>
      </c>
      <c r="I2233">
        <v>5583</v>
      </c>
      <c r="J2233">
        <v>27.5</v>
      </c>
      <c r="K2233" t="s">
        <v>21</v>
      </c>
      <c r="L2233">
        <v>3</v>
      </c>
      <c r="M2233">
        <v>4.8</v>
      </c>
      <c r="N2233">
        <v>1215</v>
      </c>
      <c r="O2233" t="s">
        <v>75</v>
      </c>
      <c r="P2233">
        <v>66.099999999999994</v>
      </c>
      <c r="Q2233" t="s">
        <v>86</v>
      </c>
      <c r="R2233">
        <v>50.7</v>
      </c>
      <c r="S2233">
        <v>-6.1</v>
      </c>
      <c r="T2233">
        <v>-19.5</v>
      </c>
      <c r="U2233">
        <v>2</v>
      </c>
      <c r="V2233">
        <v>5.3</v>
      </c>
      <c r="W2233">
        <v>3.5</v>
      </c>
      <c r="X2233" t="s">
        <v>66</v>
      </c>
    </row>
    <row r="2234" spans="2:24" x14ac:dyDescent="0.3">
      <c r="B2234" t="s">
        <v>2327</v>
      </c>
      <c r="C2234" t="s">
        <v>90</v>
      </c>
      <c r="D2234" t="s">
        <v>3</v>
      </c>
      <c r="E2234" t="s">
        <v>17</v>
      </c>
      <c r="F2234" t="s">
        <v>10</v>
      </c>
      <c r="G2234" t="s">
        <v>98</v>
      </c>
      <c r="H2234">
        <v>2025</v>
      </c>
      <c r="I2234">
        <v>6384</v>
      </c>
      <c r="J2234">
        <v>36.1</v>
      </c>
      <c r="K2234" t="s">
        <v>24</v>
      </c>
      <c r="L2234">
        <v>12.8</v>
      </c>
      <c r="M2234">
        <v>10</v>
      </c>
      <c r="N2234">
        <v>571</v>
      </c>
      <c r="O2234" t="s">
        <v>75</v>
      </c>
      <c r="P2234">
        <v>15.3</v>
      </c>
      <c r="Q2234" t="s">
        <v>56</v>
      </c>
      <c r="R2234">
        <v>-16</v>
      </c>
      <c r="S2234">
        <v>25.4</v>
      </c>
      <c r="T2234">
        <v>7</v>
      </c>
      <c r="U2234">
        <v>8.1999999999999993</v>
      </c>
      <c r="V2234">
        <v>3.3</v>
      </c>
      <c r="W2234">
        <v>3.1</v>
      </c>
      <c r="X2234" t="s">
        <v>66</v>
      </c>
    </row>
    <row r="2235" spans="2:24" x14ac:dyDescent="0.3">
      <c r="B2235" t="s">
        <v>2328</v>
      </c>
      <c r="C2235" t="s">
        <v>53</v>
      </c>
      <c r="D2235" t="s">
        <v>4</v>
      </c>
      <c r="E2235" t="s">
        <v>14</v>
      </c>
      <c r="F2235" t="s">
        <v>9</v>
      </c>
      <c r="G2235" t="s">
        <v>78</v>
      </c>
      <c r="H2235">
        <v>2024</v>
      </c>
      <c r="I2235">
        <v>19039</v>
      </c>
      <c r="J2235">
        <v>10.5</v>
      </c>
      <c r="K2235" t="s">
        <v>24</v>
      </c>
      <c r="L2235">
        <v>7.2</v>
      </c>
      <c r="M2235">
        <v>8.9</v>
      </c>
      <c r="N2235">
        <v>581</v>
      </c>
      <c r="O2235" t="s">
        <v>64</v>
      </c>
      <c r="P2235">
        <v>25</v>
      </c>
      <c r="Q2235" t="s">
        <v>76</v>
      </c>
      <c r="R2235">
        <v>-18</v>
      </c>
      <c r="S2235">
        <v>-23.1</v>
      </c>
      <c r="T2235">
        <v>-16.899999999999999</v>
      </c>
      <c r="U2235">
        <v>5.5</v>
      </c>
      <c r="V2235">
        <v>5.2</v>
      </c>
      <c r="W2235">
        <v>4</v>
      </c>
      <c r="X2235" t="s">
        <v>66</v>
      </c>
    </row>
    <row r="2236" spans="2:24" x14ac:dyDescent="0.3">
      <c r="B2236" t="s">
        <v>2329</v>
      </c>
      <c r="C2236" t="s">
        <v>122</v>
      </c>
      <c r="D2236" t="s">
        <v>2</v>
      </c>
      <c r="E2236" t="s">
        <v>18</v>
      </c>
      <c r="F2236" t="s">
        <v>10</v>
      </c>
      <c r="G2236" t="s">
        <v>101</v>
      </c>
      <c r="H2236">
        <v>2025</v>
      </c>
      <c r="I2236">
        <v>6053</v>
      </c>
      <c r="J2236">
        <v>14.3</v>
      </c>
      <c r="K2236" t="s">
        <v>25</v>
      </c>
      <c r="L2236">
        <v>6.8</v>
      </c>
      <c r="M2236">
        <v>10</v>
      </c>
      <c r="N2236">
        <v>1385</v>
      </c>
      <c r="O2236" t="s">
        <v>64</v>
      </c>
      <c r="P2236">
        <v>81.599999999999994</v>
      </c>
      <c r="Q2236" t="s">
        <v>76</v>
      </c>
      <c r="R2236">
        <v>89.3</v>
      </c>
      <c r="S2236">
        <v>-7.1</v>
      </c>
      <c r="T2236">
        <v>-3.2</v>
      </c>
      <c r="U2236">
        <v>5</v>
      </c>
      <c r="V2236">
        <v>5.6</v>
      </c>
      <c r="W2236">
        <v>4.9000000000000004</v>
      </c>
      <c r="X2236" t="s">
        <v>116</v>
      </c>
    </row>
    <row r="2237" spans="2:24" x14ac:dyDescent="0.3">
      <c r="B2237" t="s">
        <v>2330</v>
      </c>
      <c r="C2237" t="s">
        <v>73</v>
      </c>
      <c r="D2237" t="s">
        <v>2</v>
      </c>
      <c r="E2237" t="s">
        <v>15</v>
      </c>
      <c r="F2237" t="s">
        <v>12</v>
      </c>
      <c r="G2237" t="s">
        <v>104</v>
      </c>
      <c r="H2237">
        <v>2026</v>
      </c>
      <c r="I2237">
        <v>1420</v>
      </c>
      <c r="J2237">
        <v>9</v>
      </c>
      <c r="K2237" t="s">
        <v>21</v>
      </c>
      <c r="L2237">
        <v>12.7</v>
      </c>
      <c r="M2237">
        <v>10</v>
      </c>
      <c r="N2237">
        <v>4617</v>
      </c>
      <c r="O2237" t="s">
        <v>55</v>
      </c>
      <c r="P2237">
        <v>58.5</v>
      </c>
      <c r="Q2237" t="s">
        <v>76</v>
      </c>
      <c r="R2237">
        <v>-23.2</v>
      </c>
      <c r="S2237">
        <v>-14.7</v>
      </c>
      <c r="T2237">
        <v>-2.9</v>
      </c>
      <c r="U2237">
        <v>8.9</v>
      </c>
      <c r="V2237">
        <v>6.7</v>
      </c>
      <c r="W2237">
        <v>5.2</v>
      </c>
      <c r="X2237" t="s">
        <v>57</v>
      </c>
    </row>
    <row r="2238" spans="2:24" x14ac:dyDescent="0.3">
      <c r="B2238" t="s">
        <v>2331</v>
      </c>
      <c r="C2238" t="s">
        <v>68</v>
      </c>
      <c r="D2238" t="s">
        <v>8</v>
      </c>
      <c r="E2238" t="s">
        <v>19</v>
      </c>
      <c r="F2238" t="s">
        <v>12</v>
      </c>
      <c r="G2238" t="s">
        <v>60</v>
      </c>
      <c r="H2238">
        <v>2025</v>
      </c>
      <c r="I2238">
        <v>14959</v>
      </c>
      <c r="J2238">
        <v>12.5</v>
      </c>
      <c r="K2238" t="s">
        <v>22</v>
      </c>
      <c r="L2238">
        <v>7.5</v>
      </c>
      <c r="M2238">
        <v>8.8000000000000007</v>
      </c>
      <c r="N2238">
        <v>1533</v>
      </c>
      <c r="O2238" t="s">
        <v>64</v>
      </c>
      <c r="P2238">
        <v>41.8</v>
      </c>
      <c r="Q2238" t="s">
        <v>86</v>
      </c>
      <c r="R2238">
        <v>28</v>
      </c>
      <c r="S2238">
        <v>34.200000000000003</v>
      </c>
      <c r="T2238">
        <v>15.1</v>
      </c>
      <c r="U2238">
        <v>6.1</v>
      </c>
      <c r="V2238">
        <v>6.1</v>
      </c>
      <c r="W2238">
        <v>5.8</v>
      </c>
      <c r="X2238" t="s">
        <v>66</v>
      </c>
    </row>
    <row r="2239" spans="2:24" x14ac:dyDescent="0.3">
      <c r="B2239" t="s">
        <v>2332</v>
      </c>
      <c r="C2239" t="s">
        <v>106</v>
      </c>
      <c r="D2239" t="s">
        <v>2</v>
      </c>
      <c r="E2239" t="s">
        <v>18</v>
      </c>
      <c r="F2239" t="s">
        <v>10</v>
      </c>
      <c r="G2239" t="s">
        <v>115</v>
      </c>
      <c r="H2239">
        <v>2026</v>
      </c>
      <c r="I2239">
        <v>4483</v>
      </c>
      <c r="J2239">
        <v>9</v>
      </c>
      <c r="K2239" t="s">
        <v>25</v>
      </c>
      <c r="L2239">
        <v>3.1</v>
      </c>
      <c r="M2239">
        <v>6.7</v>
      </c>
      <c r="N2239">
        <v>7475</v>
      </c>
      <c r="O2239" t="s">
        <v>55</v>
      </c>
      <c r="P2239">
        <v>86.6</v>
      </c>
      <c r="Q2239" t="s">
        <v>76</v>
      </c>
      <c r="R2239">
        <v>64.599999999999994</v>
      </c>
      <c r="S2239">
        <v>-18</v>
      </c>
      <c r="T2239">
        <v>-4.2</v>
      </c>
      <c r="U2239">
        <v>3.4</v>
      </c>
      <c r="V2239">
        <v>6.8</v>
      </c>
      <c r="W2239">
        <v>5</v>
      </c>
      <c r="X2239" t="s">
        <v>116</v>
      </c>
    </row>
    <row r="2240" spans="2:24" x14ac:dyDescent="0.3">
      <c r="B2240" t="s">
        <v>2333</v>
      </c>
      <c r="C2240" t="s">
        <v>159</v>
      </c>
      <c r="D2240" t="s">
        <v>7</v>
      </c>
      <c r="E2240" t="s">
        <v>17</v>
      </c>
      <c r="F2240" t="s">
        <v>10</v>
      </c>
      <c r="G2240" t="s">
        <v>54</v>
      </c>
      <c r="H2240">
        <v>2025</v>
      </c>
      <c r="I2240">
        <v>363</v>
      </c>
      <c r="J2240">
        <v>3</v>
      </c>
      <c r="K2240" t="s">
        <v>25</v>
      </c>
      <c r="L2240">
        <v>7.7</v>
      </c>
      <c r="M2240">
        <v>4</v>
      </c>
      <c r="N2240">
        <v>873</v>
      </c>
      <c r="O2240" t="s">
        <v>64</v>
      </c>
      <c r="P2240">
        <v>72.5</v>
      </c>
      <c r="Q2240" t="s">
        <v>86</v>
      </c>
      <c r="R2240">
        <v>78.400000000000006</v>
      </c>
      <c r="S2240">
        <v>21.3</v>
      </c>
      <c r="T2240">
        <v>12.8</v>
      </c>
      <c r="U2240">
        <v>4.8</v>
      </c>
      <c r="V2240">
        <v>6.9</v>
      </c>
      <c r="W2240">
        <v>7.8</v>
      </c>
      <c r="X2240" t="s">
        <v>57</v>
      </c>
    </row>
    <row r="2241" spans="2:24" x14ac:dyDescent="0.3">
      <c r="B2241" t="s">
        <v>2334</v>
      </c>
      <c r="C2241" t="s">
        <v>90</v>
      </c>
      <c r="D2241" t="s">
        <v>6</v>
      </c>
      <c r="E2241" t="s">
        <v>17</v>
      </c>
      <c r="F2241" t="s">
        <v>11</v>
      </c>
      <c r="G2241" t="s">
        <v>101</v>
      </c>
      <c r="H2241">
        <v>2024</v>
      </c>
      <c r="I2241">
        <v>699</v>
      </c>
      <c r="J2241">
        <v>5.5</v>
      </c>
      <c r="K2241" t="s">
        <v>22</v>
      </c>
      <c r="L2241">
        <v>10.4</v>
      </c>
      <c r="M2241">
        <v>6.7</v>
      </c>
      <c r="N2241">
        <v>4577</v>
      </c>
      <c r="O2241" t="s">
        <v>55</v>
      </c>
      <c r="P2241">
        <v>80.599999999999994</v>
      </c>
      <c r="Q2241" t="s">
        <v>56</v>
      </c>
      <c r="R2241">
        <v>0</v>
      </c>
      <c r="S2241">
        <v>40.700000000000003</v>
      </c>
      <c r="T2241">
        <v>9.6</v>
      </c>
      <c r="U2241">
        <v>8.3000000000000007</v>
      </c>
      <c r="V2241">
        <v>6.7</v>
      </c>
      <c r="W2241">
        <v>7.6</v>
      </c>
      <c r="X2241" t="s">
        <v>116</v>
      </c>
    </row>
    <row r="2242" spans="2:24" x14ac:dyDescent="0.3">
      <c r="B2242" t="s">
        <v>2335</v>
      </c>
      <c r="C2242" t="s">
        <v>53</v>
      </c>
      <c r="D2242" t="s">
        <v>7</v>
      </c>
      <c r="E2242" t="s">
        <v>16</v>
      </c>
      <c r="F2242" t="s">
        <v>10</v>
      </c>
      <c r="G2242" t="s">
        <v>63</v>
      </c>
      <c r="H2242">
        <v>2025</v>
      </c>
      <c r="I2242">
        <v>6229</v>
      </c>
      <c r="J2242">
        <v>9.1</v>
      </c>
      <c r="K2242" t="s">
        <v>21</v>
      </c>
      <c r="L2242">
        <v>6.8</v>
      </c>
      <c r="M2242">
        <v>9.4</v>
      </c>
      <c r="N2242">
        <v>1569</v>
      </c>
      <c r="O2242" t="s">
        <v>64</v>
      </c>
      <c r="P2242">
        <v>52.3</v>
      </c>
      <c r="Q2242" t="s">
        <v>125</v>
      </c>
      <c r="R2242">
        <v>-16.5</v>
      </c>
      <c r="S2242">
        <v>27.7</v>
      </c>
      <c r="T2242">
        <v>4.7</v>
      </c>
      <c r="U2242">
        <v>5.2</v>
      </c>
      <c r="V2242">
        <v>7.1</v>
      </c>
      <c r="W2242">
        <v>6.5</v>
      </c>
      <c r="X2242" t="s">
        <v>66</v>
      </c>
    </row>
    <row r="2243" spans="2:24" x14ac:dyDescent="0.3">
      <c r="B2243" t="s">
        <v>2336</v>
      </c>
      <c r="C2243" t="s">
        <v>122</v>
      </c>
      <c r="D2243" t="s">
        <v>2</v>
      </c>
      <c r="E2243" t="s">
        <v>15</v>
      </c>
      <c r="F2243" t="s">
        <v>10</v>
      </c>
      <c r="G2243" t="s">
        <v>63</v>
      </c>
      <c r="H2243">
        <v>2025</v>
      </c>
      <c r="I2243">
        <v>54</v>
      </c>
      <c r="J2243">
        <v>6.2</v>
      </c>
      <c r="K2243" t="s">
        <v>25</v>
      </c>
      <c r="L2243">
        <v>4.5</v>
      </c>
      <c r="M2243">
        <v>5.4</v>
      </c>
      <c r="N2243">
        <v>1333</v>
      </c>
      <c r="O2243" t="s">
        <v>64</v>
      </c>
      <c r="P2243">
        <v>27.6</v>
      </c>
      <c r="Q2243" t="s">
        <v>56</v>
      </c>
      <c r="R2243">
        <v>49.7</v>
      </c>
      <c r="S2243">
        <v>17.5</v>
      </c>
      <c r="T2243">
        <v>16.2</v>
      </c>
      <c r="U2243">
        <v>4.2</v>
      </c>
      <c r="V2243">
        <v>5.2</v>
      </c>
      <c r="W2243">
        <v>6.5</v>
      </c>
      <c r="X2243" t="s">
        <v>57</v>
      </c>
    </row>
    <row r="2244" spans="2:24" x14ac:dyDescent="0.3">
      <c r="B2244" t="s">
        <v>2337</v>
      </c>
      <c r="C2244" t="s">
        <v>59</v>
      </c>
      <c r="D2244" t="s">
        <v>4</v>
      </c>
      <c r="E2244" t="s">
        <v>15</v>
      </c>
      <c r="F2244" t="s">
        <v>9</v>
      </c>
      <c r="G2244" t="s">
        <v>74</v>
      </c>
      <c r="H2244">
        <v>2024</v>
      </c>
      <c r="I2244">
        <v>4467</v>
      </c>
      <c r="J2244">
        <v>28.3</v>
      </c>
      <c r="K2244" t="s">
        <v>23</v>
      </c>
      <c r="L2244">
        <v>11.4</v>
      </c>
      <c r="M2244">
        <v>10</v>
      </c>
      <c r="N2244">
        <v>1200</v>
      </c>
      <c r="O2244" t="s">
        <v>64</v>
      </c>
      <c r="P2244">
        <v>42.1</v>
      </c>
      <c r="Q2244" t="s">
        <v>56</v>
      </c>
      <c r="R2244">
        <v>2.4</v>
      </c>
      <c r="S2244">
        <v>55.1</v>
      </c>
      <c r="T2244">
        <v>24.7</v>
      </c>
      <c r="U2244">
        <v>9.9</v>
      </c>
      <c r="V2244">
        <v>5.7</v>
      </c>
      <c r="W2244">
        <v>4.7</v>
      </c>
      <c r="X2244" t="s">
        <v>66</v>
      </c>
    </row>
    <row r="2245" spans="2:24" x14ac:dyDescent="0.3">
      <c r="B2245" t="s">
        <v>2338</v>
      </c>
      <c r="C2245" t="s">
        <v>81</v>
      </c>
      <c r="D2245" t="s">
        <v>5</v>
      </c>
      <c r="E2245" t="s">
        <v>16</v>
      </c>
      <c r="F2245" t="s">
        <v>12</v>
      </c>
      <c r="G2245" t="s">
        <v>78</v>
      </c>
      <c r="H2245">
        <v>2025</v>
      </c>
      <c r="I2245">
        <v>3386</v>
      </c>
      <c r="J2245">
        <v>14.7</v>
      </c>
      <c r="K2245" t="s">
        <v>21</v>
      </c>
      <c r="L2245">
        <v>2.2999999999999998</v>
      </c>
      <c r="M2245">
        <v>5.2</v>
      </c>
      <c r="N2245">
        <v>5214</v>
      </c>
      <c r="O2245" t="s">
        <v>64</v>
      </c>
      <c r="P2245">
        <v>12.8</v>
      </c>
      <c r="Q2245" t="s">
        <v>86</v>
      </c>
      <c r="R2245">
        <v>14.1</v>
      </c>
      <c r="S2245">
        <v>-16.899999999999999</v>
      </c>
      <c r="T2245">
        <v>-11.6</v>
      </c>
      <c r="U2245">
        <v>1.5</v>
      </c>
      <c r="V2245">
        <v>6.5</v>
      </c>
      <c r="W2245">
        <v>4.2</v>
      </c>
      <c r="X2245" t="s">
        <v>116</v>
      </c>
    </row>
    <row r="2246" spans="2:24" x14ac:dyDescent="0.3">
      <c r="B2246" t="s">
        <v>2339</v>
      </c>
      <c r="C2246" t="s">
        <v>59</v>
      </c>
      <c r="D2246" t="s">
        <v>4</v>
      </c>
      <c r="E2246" t="s">
        <v>14</v>
      </c>
      <c r="F2246" t="s">
        <v>10</v>
      </c>
      <c r="G2246" t="s">
        <v>69</v>
      </c>
      <c r="H2246">
        <v>2026</v>
      </c>
      <c r="I2246">
        <v>1337</v>
      </c>
      <c r="J2246">
        <v>12.7</v>
      </c>
      <c r="K2246" t="s">
        <v>24</v>
      </c>
      <c r="L2246">
        <v>2.1</v>
      </c>
      <c r="M2246">
        <v>5.4</v>
      </c>
      <c r="N2246">
        <v>4475</v>
      </c>
      <c r="O2246" t="s">
        <v>55</v>
      </c>
      <c r="P2246">
        <v>16.899999999999999</v>
      </c>
      <c r="Q2246" t="s">
        <v>86</v>
      </c>
      <c r="R2246">
        <v>20.5</v>
      </c>
      <c r="S2246">
        <v>58.2</v>
      </c>
      <c r="T2246">
        <v>29.1</v>
      </c>
      <c r="U2246">
        <v>3.2</v>
      </c>
      <c r="V2246">
        <v>6.3</v>
      </c>
      <c r="W2246">
        <v>7.7</v>
      </c>
      <c r="X2246" t="s">
        <v>116</v>
      </c>
    </row>
    <row r="2247" spans="2:24" x14ac:dyDescent="0.3">
      <c r="B2247" t="s">
        <v>2340</v>
      </c>
      <c r="C2247" t="s">
        <v>159</v>
      </c>
      <c r="D2247" t="s">
        <v>7</v>
      </c>
      <c r="E2247" t="s">
        <v>15</v>
      </c>
      <c r="F2247" t="s">
        <v>12</v>
      </c>
      <c r="G2247" t="s">
        <v>112</v>
      </c>
      <c r="H2247">
        <v>2024</v>
      </c>
      <c r="I2247">
        <v>2277</v>
      </c>
      <c r="J2247">
        <v>0.5</v>
      </c>
      <c r="K2247" t="s">
        <v>22</v>
      </c>
      <c r="L2247">
        <v>6.9</v>
      </c>
      <c r="M2247">
        <v>7.5</v>
      </c>
      <c r="N2247">
        <v>5937</v>
      </c>
      <c r="O2247" t="s">
        <v>55</v>
      </c>
      <c r="P2247">
        <v>58.4</v>
      </c>
      <c r="Q2247" t="s">
        <v>86</v>
      </c>
      <c r="R2247">
        <v>40.1</v>
      </c>
      <c r="S2247">
        <v>57.7</v>
      </c>
      <c r="T2247">
        <v>22.4</v>
      </c>
      <c r="U2247">
        <v>6</v>
      </c>
      <c r="V2247">
        <v>10</v>
      </c>
      <c r="W2247">
        <v>7.4</v>
      </c>
      <c r="X2247" t="s">
        <v>57</v>
      </c>
    </row>
    <row r="2248" spans="2:24" x14ac:dyDescent="0.3">
      <c r="B2248" t="s">
        <v>2341</v>
      </c>
      <c r="C2248" t="s">
        <v>53</v>
      </c>
      <c r="D2248" t="s">
        <v>4</v>
      </c>
      <c r="E2248" t="s">
        <v>17</v>
      </c>
      <c r="F2248" t="s">
        <v>9</v>
      </c>
      <c r="G2248" t="s">
        <v>101</v>
      </c>
      <c r="H2248">
        <v>2026</v>
      </c>
      <c r="I2248">
        <v>1600</v>
      </c>
      <c r="J2248">
        <v>3.2</v>
      </c>
      <c r="K2248" t="s">
        <v>23</v>
      </c>
      <c r="L2248">
        <v>5.6</v>
      </c>
      <c r="M2248">
        <v>7.2</v>
      </c>
      <c r="N2248">
        <v>813</v>
      </c>
      <c r="O2248" t="s">
        <v>64</v>
      </c>
      <c r="P2248">
        <v>69.400000000000006</v>
      </c>
      <c r="Q2248" t="s">
        <v>79</v>
      </c>
      <c r="R2248">
        <v>-10.4</v>
      </c>
      <c r="S2248">
        <v>55.5</v>
      </c>
      <c r="T2248">
        <v>21.4</v>
      </c>
      <c r="U2248">
        <v>5.5</v>
      </c>
      <c r="V2248">
        <v>8.1</v>
      </c>
      <c r="W2248">
        <v>8.1</v>
      </c>
      <c r="X2248" t="s">
        <v>57</v>
      </c>
    </row>
    <row r="2249" spans="2:24" x14ac:dyDescent="0.3">
      <c r="B2249" t="s">
        <v>2342</v>
      </c>
      <c r="C2249" t="s">
        <v>100</v>
      </c>
      <c r="D2249" t="s">
        <v>3</v>
      </c>
      <c r="E2249" t="s">
        <v>19</v>
      </c>
      <c r="F2249" t="s">
        <v>10</v>
      </c>
      <c r="G2249" t="s">
        <v>101</v>
      </c>
      <c r="H2249">
        <v>2026</v>
      </c>
      <c r="I2249">
        <v>18459</v>
      </c>
      <c r="J2249">
        <v>24.2</v>
      </c>
      <c r="K2249" t="s">
        <v>22</v>
      </c>
      <c r="L2249">
        <v>2.2999999999999998</v>
      </c>
      <c r="M2249">
        <v>6.9</v>
      </c>
      <c r="N2249">
        <v>1274</v>
      </c>
      <c r="O2249" t="s">
        <v>75</v>
      </c>
      <c r="P2249">
        <v>74</v>
      </c>
      <c r="Q2249" t="s">
        <v>88</v>
      </c>
      <c r="R2249">
        <v>18.8</v>
      </c>
      <c r="S2249">
        <v>24.9</v>
      </c>
      <c r="T2249">
        <v>6.9</v>
      </c>
      <c r="U2249">
        <v>1.9</v>
      </c>
      <c r="V2249">
        <v>6.2</v>
      </c>
      <c r="W2249">
        <v>4.5</v>
      </c>
      <c r="X2249" t="s">
        <v>66</v>
      </c>
    </row>
    <row r="2250" spans="2:24" x14ac:dyDescent="0.3">
      <c r="B2250" t="s">
        <v>2343</v>
      </c>
      <c r="C2250" t="s">
        <v>90</v>
      </c>
      <c r="D2250" t="s">
        <v>2</v>
      </c>
      <c r="E2250" t="s">
        <v>14</v>
      </c>
      <c r="F2250" t="s">
        <v>9</v>
      </c>
      <c r="G2250" t="s">
        <v>131</v>
      </c>
      <c r="H2250">
        <v>2024</v>
      </c>
      <c r="I2250">
        <v>2204</v>
      </c>
      <c r="J2250">
        <v>8.8000000000000007</v>
      </c>
      <c r="K2250" t="s">
        <v>22</v>
      </c>
      <c r="L2250">
        <v>3.9</v>
      </c>
      <c r="M2250">
        <v>5.2</v>
      </c>
      <c r="N2250">
        <v>5881</v>
      </c>
      <c r="O2250" t="s">
        <v>55</v>
      </c>
      <c r="P2250">
        <v>27</v>
      </c>
      <c r="Q2250" t="s">
        <v>76</v>
      </c>
      <c r="R2250">
        <v>-31.1</v>
      </c>
      <c r="S2250">
        <v>28.5</v>
      </c>
      <c r="T2250">
        <v>4.5999999999999996</v>
      </c>
      <c r="U2250">
        <v>2.6</v>
      </c>
      <c r="V2250">
        <v>6.4</v>
      </c>
      <c r="W2250">
        <v>7.6</v>
      </c>
      <c r="X2250" t="s">
        <v>57</v>
      </c>
    </row>
    <row r="2251" spans="2:24" x14ac:dyDescent="0.3">
      <c r="B2251" t="s">
        <v>2344</v>
      </c>
      <c r="C2251" t="s">
        <v>53</v>
      </c>
      <c r="D2251" t="s">
        <v>3</v>
      </c>
      <c r="E2251" t="s">
        <v>16</v>
      </c>
      <c r="F2251" t="s">
        <v>10</v>
      </c>
      <c r="G2251" t="s">
        <v>60</v>
      </c>
      <c r="H2251">
        <v>2024</v>
      </c>
      <c r="I2251">
        <v>778</v>
      </c>
      <c r="J2251">
        <v>0.6</v>
      </c>
      <c r="K2251" t="s">
        <v>22</v>
      </c>
      <c r="L2251">
        <v>5.9</v>
      </c>
      <c r="M2251">
        <v>5.9</v>
      </c>
      <c r="N2251">
        <v>4072</v>
      </c>
      <c r="O2251" t="s">
        <v>55</v>
      </c>
      <c r="P2251">
        <v>35.6</v>
      </c>
      <c r="Q2251" t="s">
        <v>76</v>
      </c>
      <c r="R2251">
        <v>-44.9</v>
      </c>
      <c r="S2251">
        <v>-11.5</v>
      </c>
      <c r="T2251">
        <v>0.9</v>
      </c>
      <c r="U2251">
        <v>8.4</v>
      </c>
      <c r="V2251">
        <v>6.8</v>
      </c>
      <c r="W2251">
        <v>6.9</v>
      </c>
      <c r="X2251" t="s">
        <v>57</v>
      </c>
    </row>
    <row r="2252" spans="2:24" x14ac:dyDescent="0.3">
      <c r="B2252" t="s">
        <v>2345</v>
      </c>
      <c r="C2252" t="s">
        <v>83</v>
      </c>
      <c r="D2252" t="s">
        <v>4</v>
      </c>
      <c r="E2252" t="s">
        <v>16</v>
      </c>
      <c r="F2252" t="s">
        <v>10</v>
      </c>
      <c r="G2252" t="s">
        <v>69</v>
      </c>
      <c r="H2252">
        <v>2026</v>
      </c>
      <c r="I2252">
        <v>8253</v>
      </c>
      <c r="J2252">
        <v>11.6</v>
      </c>
      <c r="K2252" t="s">
        <v>21</v>
      </c>
      <c r="L2252">
        <v>4.4000000000000004</v>
      </c>
      <c r="M2252">
        <v>10</v>
      </c>
      <c r="N2252">
        <v>1423</v>
      </c>
      <c r="O2252" t="s">
        <v>55</v>
      </c>
      <c r="P2252">
        <v>18.100000000000001</v>
      </c>
      <c r="Q2252" t="s">
        <v>79</v>
      </c>
      <c r="R2252">
        <v>58.6</v>
      </c>
      <c r="S2252">
        <v>14.8</v>
      </c>
      <c r="T2252">
        <v>8.6999999999999993</v>
      </c>
      <c r="U2252">
        <v>5.8</v>
      </c>
      <c r="V2252">
        <v>7.8</v>
      </c>
      <c r="W2252">
        <v>6.1</v>
      </c>
      <c r="X2252" t="s">
        <v>66</v>
      </c>
    </row>
    <row r="2253" spans="2:24" x14ac:dyDescent="0.3">
      <c r="B2253" t="s">
        <v>2346</v>
      </c>
      <c r="C2253" t="s">
        <v>90</v>
      </c>
      <c r="D2253" t="s">
        <v>2</v>
      </c>
      <c r="E2253" t="s">
        <v>17</v>
      </c>
      <c r="F2253" t="s">
        <v>9</v>
      </c>
      <c r="G2253" t="s">
        <v>112</v>
      </c>
      <c r="H2253">
        <v>2024</v>
      </c>
      <c r="I2253">
        <v>2129</v>
      </c>
      <c r="J2253">
        <v>2.1</v>
      </c>
      <c r="K2253" t="s">
        <v>21</v>
      </c>
      <c r="L2253">
        <v>3</v>
      </c>
      <c r="M2253">
        <v>2.2000000000000002</v>
      </c>
      <c r="N2253">
        <v>9716</v>
      </c>
      <c r="O2253" t="s">
        <v>118</v>
      </c>
      <c r="P2253">
        <v>45.5</v>
      </c>
      <c r="Q2253" t="s">
        <v>56</v>
      </c>
      <c r="R2253">
        <v>34</v>
      </c>
      <c r="S2253">
        <v>-12.7</v>
      </c>
      <c r="T2253">
        <v>-7.7</v>
      </c>
      <c r="U2253">
        <v>2.7</v>
      </c>
      <c r="V2253">
        <v>6.7</v>
      </c>
      <c r="W2253">
        <v>6.1</v>
      </c>
      <c r="X2253" t="s">
        <v>57</v>
      </c>
    </row>
    <row r="2254" spans="2:24" x14ac:dyDescent="0.3">
      <c r="B2254" t="s">
        <v>2347</v>
      </c>
      <c r="C2254" t="s">
        <v>68</v>
      </c>
      <c r="D2254" t="s">
        <v>8</v>
      </c>
      <c r="E2254" t="s">
        <v>14</v>
      </c>
      <c r="F2254" t="s">
        <v>10</v>
      </c>
      <c r="G2254" t="s">
        <v>69</v>
      </c>
      <c r="H2254">
        <v>2024</v>
      </c>
      <c r="I2254">
        <v>213</v>
      </c>
      <c r="J2254">
        <v>7.4</v>
      </c>
      <c r="K2254" t="s">
        <v>22</v>
      </c>
      <c r="L2254">
        <v>1.7</v>
      </c>
      <c r="M2254">
        <v>1.3</v>
      </c>
      <c r="N2254">
        <v>1442</v>
      </c>
      <c r="O2254" t="s">
        <v>75</v>
      </c>
      <c r="P2254">
        <v>43.2</v>
      </c>
      <c r="Q2254" t="s">
        <v>125</v>
      </c>
      <c r="R2254">
        <v>-8.1</v>
      </c>
      <c r="S2254">
        <v>2.9</v>
      </c>
      <c r="T2254">
        <v>2.2000000000000002</v>
      </c>
      <c r="U2254">
        <v>1.7</v>
      </c>
      <c r="V2254">
        <v>8</v>
      </c>
      <c r="W2254">
        <v>8</v>
      </c>
      <c r="X2254" t="s">
        <v>57</v>
      </c>
    </row>
    <row r="2255" spans="2:24" x14ac:dyDescent="0.3">
      <c r="B2255" t="s">
        <v>2348</v>
      </c>
      <c r="C2255" t="s">
        <v>73</v>
      </c>
      <c r="D2255" t="s">
        <v>3</v>
      </c>
      <c r="E2255" t="s">
        <v>15</v>
      </c>
      <c r="F2255" t="s">
        <v>9</v>
      </c>
      <c r="G2255" t="s">
        <v>60</v>
      </c>
      <c r="H2255">
        <v>2024</v>
      </c>
      <c r="I2255">
        <v>5615</v>
      </c>
      <c r="J2255">
        <v>9.4</v>
      </c>
      <c r="K2255" t="s">
        <v>25</v>
      </c>
      <c r="L2255">
        <v>3.5</v>
      </c>
      <c r="M2255">
        <v>4.8</v>
      </c>
      <c r="N2255">
        <v>3885</v>
      </c>
      <c r="O2255" t="s">
        <v>64</v>
      </c>
      <c r="P2255">
        <v>25.6</v>
      </c>
      <c r="Q2255" t="s">
        <v>86</v>
      </c>
      <c r="R2255">
        <v>51.8</v>
      </c>
      <c r="S2255">
        <v>59.2</v>
      </c>
      <c r="T2255">
        <v>13.1</v>
      </c>
      <c r="U2255">
        <v>3.1</v>
      </c>
      <c r="V2255">
        <v>9.1999999999999993</v>
      </c>
      <c r="W2255">
        <v>7.9</v>
      </c>
      <c r="X2255" t="s">
        <v>116</v>
      </c>
    </row>
    <row r="2256" spans="2:24" x14ac:dyDescent="0.3">
      <c r="B2256" t="s">
        <v>2349</v>
      </c>
      <c r="C2256" t="s">
        <v>59</v>
      </c>
      <c r="D2256" t="s">
        <v>4</v>
      </c>
      <c r="E2256" t="s">
        <v>14</v>
      </c>
      <c r="F2256" t="s">
        <v>9</v>
      </c>
      <c r="G2256" t="s">
        <v>101</v>
      </c>
      <c r="H2256">
        <v>2024</v>
      </c>
      <c r="I2256">
        <v>1270</v>
      </c>
      <c r="J2256">
        <v>4.3</v>
      </c>
      <c r="K2256" t="s">
        <v>21</v>
      </c>
      <c r="L2256">
        <v>2.8</v>
      </c>
      <c r="M2256">
        <v>2.9</v>
      </c>
      <c r="N2256">
        <v>2056</v>
      </c>
      <c r="O2256" t="s">
        <v>64</v>
      </c>
      <c r="P2256">
        <v>44.8</v>
      </c>
      <c r="Q2256" t="s">
        <v>65</v>
      </c>
      <c r="R2256">
        <v>-30.7</v>
      </c>
      <c r="S2256">
        <v>22.5</v>
      </c>
      <c r="T2256">
        <v>4.7</v>
      </c>
      <c r="U2256">
        <v>2</v>
      </c>
      <c r="V2256">
        <v>6.7</v>
      </c>
      <c r="W2256">
        <v>7.8</v>
      </c>
      <c r="X2256" t="s">
        <v>57</v>
      </c>
    </row>
    <row r="2257" spans="2:24" x14ac:dyDescent="0.3">
      <c r="B2257" t="s">
        <v>2350</v>
      </c>
      <c r="C2257" t="s">
        <v>71</v>
      </c>
      <c r="D2257" t="s">
        <v>5</v>
      </c>
      <c r="E2257" t="s">
        <v>14</v>
      </c>
      <c r="F2257" t="s">
        <v>9</v>
      </c>
      <c r="G2257" t="s">
        <v>104</v>
      </c>
      <c r="H2257">
        <v>2024</v>
      </c>
      <c r="I2257">
        <v>1955</v>
      </c>
      <c r="J2257">
        <v>9</v>
      </c>
      <c r="K2257" t="s">
        <v>25</v>
      </c>
      <c r="L2257">
        <v>4.4000000000000004</v>
      </c>
      <c r="M2257">
        <v>7.1</v>
      </c>
      <c r="N2257">
        <v>3111</v>
      </c>
      <c r="O2257" t="s">
        <v>55</v>
      </c>
      <c r="P2257">
        <v>63</v>
      </c>
      <c r="Q2257" t="s">
        <v>88</v>
      </c>
      <c r="R2257">
        <v>47.1</v>
      </c>
      <c r="S2257">
        <v>3.2</v>
      </c>
      <c r="T2257">
        <v>10.3</v>
      </c>
      <c r="U2257">
        <v>6.7</v>
      </c>
      <c r="V2257">
        <v>4.8</v>
      </c>
      <c r="W2257">
        <v>5.8</v>
      </c>
      <c r="X2257" t="s">
        <v>57</v>
      </c>
    </row>
    <row r="2258" spans="2:24" x14ac:dyDescent="0.3">
      <c r="B2258" t="s">
        <v>2351</v>
      </c>
      <c r="C2258" t="s">
        <v>53</v>
      </c>
      <c r="D2258" t="s">
        <v>7</v>
      </c>
      <c r="E2258" t="s">
        <v>18</v>
      </c>
      <c r="F2258" t="s">
        <v>9</v>
      </c>
      <c r="G2258" t="s">
        <v>63</v>
      </c>
      <c r="H2258">
        <v>2025</v>
      </c>
      <c r="I2258">
        <v>5406</v>
      </c>
      <c r="J2258">
        <v>17.899999999999999</v>
      </c>
      <c r="K2258" t="s">
        <v>21</v>
      </c>
      <c r="L2258">
        <v>1.3</v>
      </c>
      <c r="M2258">
        <v>8.1999999999999993</v>
      </c>
      <c r="N2258">
        <v>261</v>
      </c>
      <c r="O2258" t="s">
        <v>75</v>
      </c>
      <c r="P2258">
        <v>27.2</v>
      </c>
      <c r="Q2258" t="s">
        <v>88</v>
      </c>
      <c r="R2258">
        <v>-28</v>
      </c>
      <c r="S2258">
        <v>-18.600000000000001</v>
      </c>
      <c r="T2258">
        <v>-12.5</v>
      </c>
      <c r="U2258">
        <v>2.1</v>
      </c>
      <c r="V2258">
        <v>5.5</v>
      </c>
      <c r="W2258">
        <v>3.8</v>
      </c>
      <c r="X2258" t="s">
        <v>116</v>
      </c>
    </row>
    <row r="2259" spans="2:24" x14ac:dyDescent="0.3">
      <c r="B2259" t="s">
        <v>2352</v>
      </c>
      <c r="C2259" t="s">
        <v>90</v>
      </c>
      <c r="D2259" t="s">
        <v>3</v>
      </c>
      <c r="E2259" t="s">
        <v>18</v>
      </c>
      <c r="F2259" t="s">
        <v>9</v>
      </c>
      <c r="G2259" t="s">
        <v>104</v>
      </c>
      <c r="H2259">
        <v>2026</v>
      </c>
      <c r="I2259">
        <v>281</v>
      </c>
      <c r="J2259">
        <v>1.6</v>
      </c>
      <c r="K2259" t="s">
        <v>24</v>
      </c>
      <c r="L2259">
        <v>5.0999999999999996</v>
      </c>
      <c r="M2259">
        <v>10</v>
      </c>
      <c r="N2259">
        <v>2211</v>
      </c>
      <c r="O2259" t="s">
        <v>55</v>
      </c>
      <c r="P2259">
        <v>58.1</v>
      </c>
      <c r="Q2259" t="s">
        <v>88</v>
      </c>
      <c r="R2259">
        <v>-42.9</v>
      </c>
      <c r="S2259">
        <v>52</v>
      </c>
      <c r="T2259">
        <v>31</v>
      </c>
      <c r="U2259">
        <v>7.4</v>
      </c>
      <c r="V2259">
        <v>8.1999999999999993</v>
      </c>
      <c r="W2259">
        <v>7.4</v>
      </c>
      <c r="X2259" t="s">
        <v>57</v>
      </c>
    </row>
    <row r="2260" spans="2:24" x14ac:dyDescent="0.3">
      <c r="B2260" t="s">
        <v>2353</v>
      </c>
      <c r="C2260" t="s">
        <v>142</v>
      </c>
      <c r="D2260" t="s">
        <v>2</v>
      </c>
      <c r="E2260" t="s">
        <v>16</v>
      </c>
      <c r="F2260" t="s">
        <v>12</v>
      </c>
      <c r="G2260" t="s">
        <v>54</v>
      </c>
      <c r="H2260">
        <v>2025</v>
      </c>
      <c r="I2260">
        <v>196</v>
      </c>
      <c r="J2260">
        <v>1.6</v>
      </c>
      <c r="K2260" t="s">
        <v>25</v>
      </c>
      <c r="L2260">
        <v>11.2</v>
      </c>
      <c r="M2260">
        <v>4.5999999999999996</v>
      </c>
      <c r="N2260">
        <v>6185</v>
      </c>
      <c r="O2260" t="s">
        <v>55</v>
      </c>
      <c r="P2260">
        <v>24.3</v>
      </c>
      <c r="Q2260" t="s">
        <v>76</v>
      </c>
      <c r="R2260">
        <v>-11.8</v>
      </c>
      <c r="S2260">
        <v>-7.1</v>
      </c>
      <c r="T2260">
        <v>-8.4</v>
      </c>
      <c r="U2260">
        <v>8.5</v>
      </c>
      <c r="V2260">
        <v>7.7</v>
      </c>
      <c r="W2260">
        <v>6.2</v>
      </c>
      <c r="X2260" t="s">
        <v>57</v>
      </c>
    </row>
    <row r="2261" spans="2:24" x14ac:dyDescent="0.3">
      <c r="B2261" t="s">
        <v>2354</v>
      </c>
      <c r="C2261" t="s">
        <v>100</v>
      </c>
      <c r="D2261" t="s">
        <v>3</v>
      </c>
      <c r="E2261" t="s">
        <v>16</v>
      </c>
      <c r="F2261" t="s">
        <v>9</v>
      </c>
      <c r="G2261" t="s">
        <v>74</v>
      </c>
      <c r="H2261">
        <v>2026</v>
      </c>
      <c r="I2261">
        <v>1389</v>
      </c>
      <c r="J2261">
        <v>0</v>
      </c>
      <c r="K2261" t="s">
        <v>25</v>
      </c>
      <c r="L2261">
        <v>7.3</v>
      </c>
      <c r="M2261">
        <v>3.7</v>
      </c>
      <c r="N2261">
        <v>2890</v>
      </c>
      <c r="O2261" t="s">
        <v>55</v>
      </c>
      <c r="P2261">
        <v>35.700000000000003</v>
      </c>
      <c r="Q2261" t="s">
        <v>88</v>
      </c>
      <c r="R2261">
        <v>-44.3</v>
      </c>
      <c r="S2261">
        <v>11.7</v>
      </c>
      <c r="T2261">
        <v>14.3</v>
      </c>
      <c r="U2261">
        <v>5</v>
      </c>
      <c r="V2261">
        <v>5.8</v>
      </c>
      <c r="W2261">
        <v>6.7</v>
      </c>
      <c r="X2261" t="s">
        <v>57</v>
      </c>
    </row>
    <row r="2262" spans="2:24" x14ac:dyDescent="0.3">
      <c r="B2262" t="s">
        <v>2355</v>
      </c>
      <c r="C2262" t="s">
        <v>27</v>
      </c>
      <c r="D2262" t="s">
        <v>3</v>
      </c>
      <c r="E2262" t="s">
        <v>17</v>
      </c>
      <c r="F2262" t="s">
        <v>12</v>
      </c>
      <c r="G2262" t="s">
        <v>63</v>
      </c>
      <c r="H2262">
        <v>2025</v>
      </c>
      <c r="I2262">
        <v>16968</v>
      </c>
      <c r="J2262">
        <v>27.8</v>
      </c>
      <c r="K2262" t="s">
        <v>25</v>
      </c>
      <c r="L2262">
        <v>9.6</v>
      </c>
      <c r="M2262">
        <v>10</v>
      </c>
      <c r="N2262">
        <v>1723</v>
      </c>
      <c r="O2262" t="s">
        <v>75</v>
      </c>
      <c r="P2262">
        <v>40.6</v>
      </c>
      <c r="Q2262" t="s">
        <v>88</v>
      </c>
      <c r="R2262">
        <v>82.8</v>
      </c>
      <c r="S2262">
        <v>-17.2</v>
      </c>
      <c r="T2262">
        <v>-4.5999999999999996</v>
      </c>
      <c r="U2262">
        <v>8.9</v>
      </c>
      <c r="V2262">
        <v>5.7</v>
      </c>
      <c r="W2262">
        <v>3.6</v>
      </c>
      <c r="X2262" t="s">
        <v>66</v>
      </c>
    </row>
    <row r="2263" spans="2:24" x14ac:dyDescent="0.3">
      <c r="B2263" t="s">
        <v>2356</v>
      </c>
      <c r="C2263" t="s">
        <v>90</v>
      </c>
      <c r="D2263" t="s">
        <v>6</v>
      </c>
      <c r="E2263" t="s">
        <v>18</v>
      </c>
      <c r="F2263" t="s">
        <v>9</v>
      </c>
      <c r="G2263" t="s">
        <v>60</v>
      </c>
      <c r="H2263">
        <v>2026</v>
      </c>
      <c r="I2263">
        <v>14283</v>
      </c>
      <c r="J2263">
        <v>12.6</v>
      </c>
      <c r="K2263" t="s">
        <v>24</v>
      </c>
      <c r="L2263">
        <v>6.7</v>
      </c>
      <c r="M2263">
        <v>8.6999999999999993</v>
      </c>
      <c r="N2263">
        <v>1791</v>
      </c>
      <c r="O2263" t="s">
        <v>64</v>
      </c>
      <c r="P2263">
        <v>42</v>
      </c>
      <c r="Q2263" t="s">
        <v>56</v>
      </c>
      <c r="R2263">
        <v>-33.6</v>
      </c>
      <c r="S2263">
        <v>-5.0999999999999996</v>
      </c>
      <c r="T2263">
        <v>-5.9</v>
      </c>
      <c r="U2263">
        <v>7</v>
      </c>
      <c r="V2263">
        <v>7</v>
      </c>
      <c r="W2263">
        <v>5.2</v>
      </c>
      <c r="X2263" t="s">
        <v>66</v>
      </c>
    </row>
    <row r="2264" spans="2:24" x14ac:dyDescent="0.3">
      <c r="B2264" t="s">
        <v>2357</v>
      </c>
      <c r="C2264" t="s">
        <v>159</v>
      </c>
      <c r="D2264" t="s">
        <v>2</v>
      </c>
      <c r="E2264" t="s">
        <v>18</v>
      </c>
      <c r="F2264" t="s">
        <v>12</v>
      </c>
      <c r="G2264" t="s">
        <v>131</v>
      </c>
      <c r="H2264">
        <v>2024</v>
      </c>
      <c r="I2264">
        <v>14188</v>
      </c>
      <c r="J2264">
        <v>12.4</v>
      </c>
      <c r="K2264" t="s">
        <v>23</v>
      </c>
      <c r="L2264">
        <v>6.6</v>
      </c>
      <c r="M2264">
        <v>4.5999999999999996</v>
      </c>
      <c r="N2264">
        <v>8316</v>
      </c>
      <c r="O2264" t="s">
        <v>55</v>
      </c>
      <c r="P2264">
        <v>29.2</v>
      </c>
      <c r="Q2264" t="s">
        <v>56</v>
      </c>
      <c r="R2264">
        <v>-3.5</v>
      </c>
      <c r="S2264">
        <v>49.2</v>
      </c>
      <c r="T2264">
        <v>24.2</v>
      </c>
      <c r="U2264">
        <v>6.1</v>
      </c>
      <c r="V2264">
        <v>6.9</v>
      </c>
      <c r="W2264">
        <v>6.9</v>
      </c>
      <c r="X2264" t="s">
        <v>66</v>
      </c>
    </row>
    <row r="2265" spans="2:24" x14ac:dyDescent="0.3">
      <c r="B2265" t="s">
        <v>2358</v>
      </c>
      <c r="C2265" t="s">
        <v>122</v>
      </c>
      <c r="D2265" t="s">
        <v>2</v>
      </c>
      <c r="E2265" t="s">
        <v>15</v>
      </c>
      <c r="F2265" t="s">
        <v>12</v>
      </c>
      <c r="G2265" t="s">
        <v>112</v>
      </c>
      <c r="H2265">
        <v>2025</v>
      </c>
      <c r="I2265">
        <v>4678</v>
      </c>
      <c r="J2265">
        <v>16.600000000000001</v>
      </c>
      <c r="K2265" t="s">
        <v>24</v>
      </c>
      <c r="L2265">
        <v>3.8</v>
      </c>
      <c r="M2265">
        <v>8</v>
      </c>
      <c r="N2265">
        <v>2645</v>
      </c>
      <c r="O2265" t="s">
        <v>64</v>
      </c>
      <c r="P2265">
        <v>73.599999999999994</v>
      </c>
      <c r="Q2265" t="s">
        <v>76</v>
      </c>
      <c r="R2265">
        <v>9.5</v>
      </c>
      <c r="S2265">
        <v>21.6</v>
      </c>
      <c r="T2265">
        <v>4.0999999999999996</v>
      </c>
      <c r="U2265">
        <v>2.7</v>
      </c>
      <c r="V2265">
        <v>5.6</v>
      </c>
      <c r="W2265">
        <v>4.4000000000000004</v>
      </c>
      <c r="X2265" t="s">
        <v>116</v>
      </c>
    </row>
    <row r="2266" spans="2:24" x14ac:dyDescent="0.3">
      <c r="B2266" t="s">
        <v>2359</v>
      </c>
      <c r="C2266" t="s">
        <v>142</v>
      </c>
      <c r="D2266" t="s">
        <v>2</v>
      </c>
      <c r="E2266" t="s">
        <v>15</v>
      </c>
      <c r="F2266" t="s">
        <v>11</v>
      </c>
      <c r="G2266" t="s">
        <v>131</v>
      </c>
      <c r="H2266">
        <v>2024</v>
      </c>
      <c r="I2266">
        <v>951</v>
      </c>
      <c r="J2266">
        <v>7.5</v>
      </c>
      <c r="K2266" t="s">
        <v>22</v>
      </c>
      <c r="L2266">
        <v>3.1</v>
      </c>
      <c r="M2266">
        <v>3.5</v>
      </c>
      <c r="N2266">
        <v>5497</v>
      </c>
      <c r="O2266" t="s">
        <v>55</v>
      </c>
      <c r="P2266">
        <v>49.4</v>
      </c>
      <c r="Q2266" t="s">
        <v>76</v>
      </c>
      <c r="R2266">
        <v>-4.5</v>
      </c>
      <c r="S2266">
        <v>39.200000000000003</v>
      </c>
      <c r="T2266">
        <v>7.3</v>
      </c>
      <c r="U2266">
        <v>3.6</v>
      </c>
      <c r="V2266">
        <v>6.9</v>
      </c>
      <c r="W2266">
        <v>7.7</v>
      </c>
      <c r="X2266" t="s">
        <v>57</v>
      </c>
    </row>
    <row r="2267" spans="2:24" x14ac:dyDescent="0.3">
      <c r="B2267" t="s">
        <v>2360</v>
      </c>
      <c r="C2267" t="s">
        <v>106</v>
      </c>
      <c r="D2267" t="s">
        <v>7</v>
      </c>
      <c r="E2267" t="s">
        <v>16</v>
      </c>
      <c r="F2267" t="s">
        <v>10</v>
      </c>
      <c r="G2267" t="s">
        <v>101</v>
      </c>
      <c r="H2267">
        <v>2026</v>
      </c>
      <c r="I2267">
        <v>2573</v>
      </c>
      <c r="J2267">
        <v>12.7</v>
      </c>
      <c r="K2267" t="s">
        <v>21</v>
      </c>
      <c r="L2267">
        <v>8.6999999999999993</v>
      </c>
      <c r="M2267">
        <v>10</v>
      </c>
      <c r="N2267">
        <v>787</v>
      </c>
      <c r="O2267" t="s">
        <v>64</v>
      </c>
      <c r="P2267">
        <v>56.1</v>
      </c>
      <c r="Q2267" t="s">
        <v>86</v>
      </c>
      <c r="R2267">
        <v>47.8</v>
      </c>
      <c r="S2267">
        <v>-23.7</v>
      </c>
      <c r="T2267">
        <v>-7.4</v>
      </c>
      <c r="U2267">
        <v>6.6</v>
      </c>
      <c r="V2267">
        <v>5.6</v>
      </c>
      <c r="W2267">
        <v>4.3</v>
      </c>
      <c r="X2267" t="s">
        <v>116</v>
      </c>
    </row>
    <row r="2268" spans="2:24" x14ac:dyDescent="0.3">
      <c r="B2268" t="s">
        <v>2361</v>
      </c>
      <c r="C2268" t="s">
        <v>90</v>
      </c>
      <c r="D2268" t="s">
        <v>2</v>
      </c>
      <c r="E2268" t="s">
        <v>17</v>
      </c>
      <c r="F2268" t="s">
        <v>9</v>
      </c>
      <c r="G2268" t="s">
        <v>101</v>
      </c>
      <c r="H2268">
        <v>2026</v>
      </c>
      <c r="I2268">
        <v>902</v>
      </c>
      <c r="J2268">
        <v>0.3</v>
      </c>
      <c r="K2268" t="s">
        <v>23</v>
      </c>
      <c r="L2268">
        <v>10.4</v>
      </c>
      <c r="M2268">
        <v>6.6</v>
      </c>
      <c r="N2268">
        <v>2269</v>
      </c>
      <c r="O2268" t="s">
        <v>55</v>
      </c>
      <c r="P2268">
        <v>17</v>
      </c>
      <c r="Q2268" t="s">
        <v>76</v>
      </c>
      <c r="R2268">
        <v>-34</v>
      </c>
      <c r="S2268">
        <v>51.2</v>
      </c>
      <c r="T2268">
        <v>28.7</v>
      </c>
      <c r="U2268">
        <v>9.1999999999999993</v>
      </c>
      <c r="V2268">
        <v>9.1</v>
      </c>
      <c r="W2268">
        <v>8.4</v>
      </c>
      <c r="X2268" t="s">
        <v>57</v>
      </c>
    </row>
    <row r="2269" spans="2:24" x14ac:dyDescent="0.3">
      <c r="B2269" t="s">
        <v>2362</v>
      </c>
      <c r="C2269" t="s">
        <v>142</v>
      </c>
      <c r="D2269" t="s">
        <v>8</v>
      </c>
      <c r="E2269" t="s">
        <v>19</v>
      </c>
      <c r="F2269" t="s">
        <v>12</v>
      </c>
      <c r="G2269" t="s">
        <v>69</v>
      </c>
      <c r="H2269">
        <v>2024</v>
      </c>
      <c r="I2269">
        <v>587</v>
      </c>
      <c r="J2269">
        <v>2.7</v>
      </c>
      <c r="K2269" t="s">
        <v>25</v>
      </c>
      <c r="L2269">
        <v>4.8</v>
      </c>
      <c r="M2269">
        <v>4.0999999999999996</v>
      </c>
      <c r="N2269">
        <v>3698</v>
      </c>
      <c r="O2269" t="s">
        <v>64</v>
      </c>
      <c r="P2269">
        <v>84.5</v>
      </c>
      <c r="Q2269" t="s">
        <v>125</v>
      </c>
      <c r="R2269">
        <v>-41</v>
      </c>
      <c r="S2269">
        <v>-9.1</v>
      </c>
      <c r="T2269">
        <v>-3.8</v>
      </c>
      <c r="U2269">
        <v>3.5</v>
      </c>
      <c r="V2269">
        <v>8</v>
      </c>
      <c r="W2269">
        <v>6.2</v>
      </c>
      <c r="X2269" t="s">
        <v>116</v>
      </c>
    </row>
    <row r="2270" spans="2:24" x14ac:dyDescent="0.3">
      <c r="B2270" t="s">
        <v>2363</v>
      </c>
      <c r="C2270" t="s">
        <v>68</v>
      </c>
      <c r="D2270" t="s">
        <v>8</v>
      </c>
      <c r="E2270" t="s">
        <v>19</v>
      </c>
      <c r="F2270" t="s">
        <v>12</v>
      </c>
      <c r="G2270" t="s">
        <v>63</v>
      </c>
      <c r="H2270">
        <v>2024</v>
      </c>
      <c r="I2270">
        <v>6144</v>
      </c>
      <c r="J2270">
        <v>14.5</v>
      </c>
      <c r="K2270" t="s">
        <v>23</v>
      </c>
      <c r="L2270">
        <v>8.9</v>
      </c>
      <c r="M2270">
        <v>9.1</v>
      </c>
      <c r="N2270">
        <v>3573</v>
      </c>
      <c r="O2270" t="s">
        <v>64</v>
      </c>
      <c r="P2270">
        <v>80.8</v>
      </c>
      <c r="Q2270" t="s">
        <v>84</v>
      </c>
      <c r="R2270">
        <v>-20.6</v>
      </c>
      <c r="S2270">
        <v>-14.7</v>
      </c>
      <c r="T2270">
        <v>-13.1</v>
      </c>
      <c r="U2270">
        <v>7.4</v>
      </c>
      <c r="V2270">
        <v>7</v>
      </c>
      <c r="W2270">
        <v>5</v>
      </c>
      <c r="X2270" t="s">
        <v>116</v>
      </c>
    </row>
    <row r="2271" spans="2:24" x14ac:dyDescent="0.3">
      <c r="B2271" t="s">
        <v>2364</v>
      </c>
      <c r="C2271" t="s">
        <v>159</v>
      </c>
      <c r="D2271" t="s">
        <v>2</v>
      </c>
      <c r="E2271" t="s">
        <v>17</v>
      </c>
      <c r="F2271" t="s">
        <v>11</v>
      </c>
      <c r="G2271" t="s">
        <v>115</v>
      </c>
      <c r="H2271">
        <v>2024</v>
      </c>
      <c r="I2271">
        <v>1299</v>
      </c>
      <c r="J2271">
        <v>10.6</v>
      </c>
      <c r="K2271" t="s">
        <v>22</v>
      </c>
      <c r="L2271">
        <v>14.2</v>
      </c>
      <c r="M2271">
        <v>10</v>
      </c>
      <c r="N2271">
        <v>4557</v>
      </c>
      <c r="O2271" t="s">
        <v>55</v>
      </c>
      <c r="P2271">
        <v>47.9</v>
      </c>
      <c r="Q2271" t="s">
        <v>76</v>
      </c>
      <c r="R2271">
        <v>68.900000000000006</v>
      </c>
      <c r="S2271">
        <v>-7.8</v>
      </c>
      <c r="T2271">
        <v>2.2000000000000002</v>
      </c>
      <c r="U2271">
        <v>9.9</v>
      </c>
      <c r="V2271">
        <v>4.9000000000000004</v>
      </c>
      <c r="W2271">
        <v>5.0999999999999996</v>
      </c>
      <c r="X2271" t="s">
        <v>116</v>
      </c>
    </row>
    <row r="2272" spans="2:24" x14ac:dyDescent="0.3">
      <c r="B2272" t="s">
        <v>2365</v>
      </c>
      <c r="C2272" t="s">
        <v>139</v>
      </c>
      <c r="D2272" t="s">
        <v>8</v>
      </c>
      <c r="E2272" t="s">
        <v>15</v>
      </c>
      <c r="F2272" t="s">
        <v>12</v>
      </c>
      <c r="G2272" t="s">
        <v>54</v>
      </c>
      <c r="H2272">
        <v>2024</v>
      </c>
      <c r="I2272">
        <v>12912</v>
      </c>
      <c r="J2272">
        <v>35.200000000000003</v>
      </c>
      <c r="K2272" t="s">
        <v>24</v>
      </c>
      <c r="L2272">
        <v>4</v>
      </c>
      <c r="M2272">
        <v>10</v>
      </c>
      <c r="N2272">
        <v>1931</v>
      </c>
      <c r="O2272" t="s">
        <v>75</v>
      </c>
      <c r="P2272">
        <v>11.6</v>
      </c>
      <c r="Q2272" t="s">
        <v>79</v>
      </c>
      <c r="R2272">
        <v>17.7</v>
      </c>
      <c r="S2272">
        <v>18.2</v>
      </c>
      <c r="T2272">
        <v>7.5</v>
      </c>
      <c r="U2272">
        <v>2.4</v>
      </c>
      <c r="V2272">
        <v>5.6</v>
      </c>
      <c r="W2272">
        <v>2.2999999999999998</v>
      </c>
      <c r="X2272" t="s">
        <v>66</v>
      </c>
    </row>
    <row r="2273" spans="2:24" x14ac:dyDescent="0.3">
      <c r="B2273" t="s">
        <v>2366</v>
      </c>
      <c r="C2273" t="s">
        <v>68</v>
      </c>
      <c r="D2273" t="s">
        <v>8</v>
      </c>
      <c r="E2273" t="s">
        <v>19</v>
      </c>
      <c r="F2273" t="s">
        <v>9</v>
      </c>
      <c r="G2273" t="s">
        <v>104</v>
      </c>
      <c r="H2273">
        <v>2026</v>
      </c>
      <c r="I2273">
        <v>97</v>
      </c>
      <c r="J2273">
        <v>9.6999999999999993</v>
      </c>
      <c r="K2273" t="s">
        <v>21</v>
      </c>
      <c r="L2273">
        <v>3.9</v>
      </c>
      <c r="M2273">
        <v>8.3000000000000007</v>
      </c>
      <c r="N2273">
        <v>5448</v>
      </c>
      <c r="O2273" t="s">
        <v>55</v>
      </c>
      <c r="P2273">
        <v>39.299999999999997</v>
      </c>
      <c r="Q2273" t="s">
        <v>88</v>
      </c>
      <c r="R2273">
        <v>-32.799999999999997</v>
      </c>
      <c r="S2273">
        <v>41.4</v>
      </c>
      <c r="T2273">
        <v>20.9</v>
      </c>
      <c r="U2273">
        <v>6.1</v>
      </c>
      <c r="V2273">
        <v>6.8</v>
      </c>
      <c r="W2273">
        <v>6.9</v>
      </c>
      <c r="X2273" t="s">
        <v>57</v>
      </c>
    </row>
    <row r="2274" spans="2:24" x14ac:dyDescent="0.3">
      <c r="B2274" t="s">
        <v>2367</v>
      </c>
      <c r="C2274" t="s">
        <v>81</v>
      </c>
      <c r="D2274" t="s">
        <v>5</v>
      </c>
      <c r="E2274" t="s">
        <v>16</v>
      </c>
      <c r="F2274" t="s">
        <v>9</v>
      </c>
      <c r="G2274" t="s">
        <v>54</v>
      </c>
      <c r="H2274">
        <v>2024</v>
      </c>
      <c r="I2274">
        <v>13597</v>
      </c>
      <c r="J2274">
        <v>34.1</v>
      </c>
      <c r="K2274" t="s">
        <v>24</v>
      </c>
      <c r="L2274">
        <v>7.8</v>
      </c>
      <c r="M2274">
        <v>10</v>
      </c>
      <c r="N2274">
        <v>1922</v>
      </c>
      <c r="O2274" t="s">
        <v>64</v>
      </c>
      <c r="P2274">
        <v>26.6</v>
      </c>
      <c r="Q2274" t="s">
        <v>79</v>
      </c>
      <c r="R2274">
        <v>19.3</v>
      </c>
      <c r="S2274">
        <v>0</v>
      </c>
      <c r="T2274">
        <v>-15.3</v>
      </c>
      <c r="U2274">
        <v>9.3000000000000007</v>
      </c>
      <c r="V2274">
        <v>4.5</v>
      </c>
      <c r="W2274">
        <v>3.5</v>
      </c>
      <c r="X2274" t="s">
        <v>66</v>
      </c>
    </row>
    <row r="2275" spans="2:24" x14ac:dyDescent="0.3">
      <c r="B2275" t="s">
        <v>2368</v>
      </c>
      <c r="C2275" t="s">
        <v>81</v>
      </c>
      <c r="D2275" t="s">
        <v>5</v>
      </c>
      <c r="E2275" t="s">
        <v>14</v>
      </c>
      <c r="F2275" t="s">
        <v>10</v>
      </c>
      <c r="G2275" t="s">
        <v>104</v>
      </c>
      <c r="H2275">
        <v>2024</v>
      </c>
      <c r="I2275">
        <v>1173</v>
      </c>
      <c r="J2275">
        <v>5.9</v>
      </c>
      <c r="K2275" t="s">
        <v>21</v>
      </c>
      <c r="L2275">
        <v>11.3</v>
      </c>
      <c r="M2275">
        <v>10</v>
      </c>
      <c r="N2275">
        <v>5742</v>
      </c>
      <c r="O2275" t="s">
        <v>55</v>
      </c>
      <c r="P2275">
        <v>23.7</v>
      </c>
      <c r="Q2275" t="s">
        <v>79</v>
      </c>
      <c r="R2275">
        <v>46.9</v>
      </c>
      <c r="S2275">
        <v>0.7</v>
      </c>
      <c r="T2275">
        <v>2.7</v>
      </c>
      <c r="U2275">
        <v>8.5</v>
      </c>
      <c r="V2275">
        <v>4.7</v>
      </c>
      <c r="W2275">
        <v>6.3</v>
      </c>
      <c r="X2275" t="s">
        <v>57</v>
      </c>
    </row>
    <row r="2276" spans="2:24" x14ac:dyDescent="0.3">
      <c r="B2276" t="s">
        <v>2369</v>
      </c>
      <c r="C2276" t="s">
        <v>53</v>
      </c>
      <c r="D2276" t="s">
        <v>7</v>
      </c>
      <c r="E2276" t="s">
        <v>15</v>
      </c>
      <c r="F2276" t="s">
        <v>10</v>
      </c>
      <c r="G2276" t="s">
        <v>54</v>
      </c>
      <c r="H2276">
        <v>2025</v>
      </c>
      <c r="I2276">
        <v>380</v>
      </c>
      <c r="J2276">
        <v>3</v>
      </c>
      <c r="K2276" t="s">
        <v>25</v>
      </c>
      <c r="L2276">
        <v>5</v>
      </c>
      <c r="M2276">
        <v>3.7</v>
      </c>
      <c r="N2276">
        <v>2407</v>
      </c>
      <c r="O2276" t="s">
        <v>55</v>
      </c>
      <c r="P2276">
        <v>61</v>
      </c>
      <c r="Q2276" t="s">
        <v>76</v>
      </c>
      <c r="R2276">
        <v>15.7</v>
      </c>
      <c r="S2276">
        <v>40.200000000000003</v>
      </c>
      <c r="T2276">
        <v>15.3</v>
      </c>
      <c r="U2276">
        <v>6.3</v>
      </c>
      <c r="V2276">
        <v>6.6</v>
      </c>
      <c r="W2276">
        <v>7.8</v>
      </c>
      <c r="X2276" t="s">
        <v>57</v>
      </c>
    </row>
    <row r="2277" spans="2:24" x14ac:dyDescent="0.3">
      <c r="B2277" t="s">
        <v>2370</v>
      </c>
      <c r="C2277" t="s">
        <v>122</v>
      </c>
      <c r="D2277" t="s">
        <v>2</v>
      </c>
      <c r="E2277" t="s">
        <v>15</v>
      </c>
      <c r="F2277" t="s">
        <v>12</v>
      </c>
      <c r="G2277" t="s">
        <v>98</v>
      </c>
      <c r="H2277">
        <v>2026</v>
      </c>
      <c r="I2277">
        <v>4281</v>
      </c>
      <c r="J2277">
        <v>9.6</v>
      </c>
      <c r="K2277" t="s">
        <v>24</v>
      </c>
      <c r="L2277">
        <v>4.9000000000000004</v>
      </c>
      <c r="M2277">
        <v>6.4</v>
      </c>
      <c r="N2277">
        <v>1332</v>
      </c>
      <c r="O2277" t="s">
        <v>64</v>
      </c>
      <c r="P2277">
        <v>81.3</v>
      </c>
      <c r="Q2277" t="s">
        <v>56</v>
      </c>
      <c r="R2277">
        <v>12.8</v>
      </c>
      <c r="S2277">
        <v>1.1000000000000001</v>
      </c>
      <c r="T2277">
        <v>7.3</v>
      </c>
      <c r="U2277">
        <v>6.2</v>
      </c>
      <c r="V2277">
        <v>8</v>
      </c>
      <c r="W2277">
        <v>5.0999999999999996</v>
      </c>
      <c r="X2277" t="s">
        <v>116</v>
      </c>
    </row>
    <row r="2278" spans="2:24" x14ac:dyDescent="0.3">
      <c r="B2278" t="s">
        <v>2371</v>
      </c>
      <c r="C2278" t="s">
        <v>137</v>
      </c>
      <c r="D2278" t="s">
        <v>3</v>
      </c>
      <c r="E2278" t="s">
        <v>19</v>
      </c>
      <c r="F2278" t="s">
        <v>9</v>
      </c>
      <c r="G2278" t="s">
        <v>112</v>
      </c>
      <c r="H2278">
        <v>2026</v>
      </c>
      <c r="I2278">
        <v>2246</v>
      </c>
      <c r="J2278">
        <v>5.3</v>
      </c>
      <c r="K2278" t="s">
        <v>22</v>
      </c>
      <c r="L2278">
        <v>6.7</v>
      </c>
      <c r="M2278">
        <v>4</v>
      </c>
      <c r="N2278">
        <v>2571</v>
      </c>
      <c r="O2278" t="s">
        <v>55</v>
      </c>
      <c r="P2278">
        <v>77.5</v>
      </c>
      <c r="Q2278" t="s">
        <v>65</v>
      </c>
      <c r="R2278">
        <v>71.2</v>
      </c>
      <c r="S2278">
        <v>11</v>
      </c>
      <c r="T2278">
        <v>-2.2000000000000002</v>
      </c>
      <c r="U2278">
        <v>4.3</v>
      </c>
      <c r="V2278">
        <v>7.7</v>
      </c>
      <c r="W2278">
        <v>6.2</v>
      </c>
      <c r="X2278" t="s">
        <v>57</v>
      </c>
    </row>
    <row r="2279" spans="2:24" x14ac:dyDescent="0.3">
      <c r="B2279" t="s">
        <v>2372</v>
      </c>
      <c r="C2279" t="s">
        <v>90</v>
      </c>
      <c r="D2279" t="s">
        <v>6</v>
      </c>
      <c r="E2279" t="s">
        <v>19</v>
      </c>
      <c r="F2279" t="s">
        <v>9</v>
      </c>
      <c r="G2279" t="s">
        <v>74</v>
      </c>
      <c r="H2279">
        <v>2025</v>
      </c>
      <c r="I2279">
        <v>905</v>
      </c>
      <c r="J2279">
        <v>4.0999999999999996</v>
      </c>
      <c r="K2279" t="s">
        <v>22</v>
      </c>
      <c r="L2279">
        <v>2.5</v>
      </c>
      <c r="M2279">
        <v>1.9</v>
      </c>
      <c r="N2279">
        <v>3707</v>
      </c>
      <c r="O2279" t="s">
        <v>55</v>
      </c>
      <c r="P2279">
        <v>35.4</v>
      </c>
      <c r="Q2279" t="s">
        <v>84</v>
      </c>
      <c r="R2279">
        <v>-9</v>
      </c>
      <c r="S2279">
        <v>-18.899999999999999</v>
      </c>
      <c r="T2279">
        <v>-6</v>
      </c>
      <c r="U2279">
        <v>2.2999999999999998</v>
      </c>
      <c r="V2279">
        <v>6.8</v>
      </c>
      <c r="W2279">
        <v>6.2</v>
      </c>
      <c r="X2279" t="s">
        <v>116</v>
      </c>
    </row>
    <row r="2280" spans="2:24" x14ac:dyDescent="0.3">
      <c r="B2280" t="s">
        <v>2373</v>
      </c>
      <c r="C2280" t="s">
        <v>142</v>
      </c>
      <c r="D2280" t="s">
        <v>2</v>
      </c>
      <c r="E2280" t="s">
        <v>18</v>
      </c>
      <c r="F2280" t="s">
        <v>12</v>
      </c>
      <c r="G2280" t="s">
        <v>101</v>
      </c>
      <c r="H2280">
        <v>2026</v>
      </c>
      <c r="I2280">
        <v>1020</v>
      </c>
      <c r="J2280">
        <v>9.4</v>
      </c>
      <c r="K2280" t="s">
        <v>22</v>
      </c>
      <c r="L2280">
        <v>7.8</v>
      </c>
      <c r="M2280">
        <v>9.6999999999999993</v>
      </c>
      <c r="N2280">
        <v>8918</v>
      </c>
      <c r="O2280" t="s">
        <v>55</v>
      </c>
      <c r="P2280">
        <v>80.2</v>
      </c>
      <c r="Q2280" t="s">
        <v>76</v>
      </c>
      <c r="R2280">
        <v>71.7</v>
      </c>
      <c r="S2280">
        <v>12.2</v>
      </c>
      <c r="T2280">
        <v>2.7</v>
      </c>
      <c r="U2280">
        <v>6.9</v>
      </c>
      <c r="V2280">
        <v>8</v>
      </c>
      <c r="W2280">
        <v>4.9000000000000004</v>
      </c>
      <c r="X2280" t="s">
        <v>57</v>
      </c>
    </row>
    <row r="2281" spans="2:24" x14ac:dyDescent="0.3">
      <c r="B2281" t="s">
        <v>2374</v>
      </c>
      <c r="C2281" t="s">
        <v>159</v>
      </c>
      <c r="D2281" t="s">
        <v>2</v>
      </c>
      <c r="E2281" t="s">
        <v>15</v>
      </c>
      <c r="F2281" t="s">
        <v>9</v>
      </c>
      <c r="G2281" t="s">
        <v>63</v>
      </c>
      <c r="H2281">
        <v>2026</v>
      </c>
      <c r="I2281">
        <v>8462</v>
      </c>
      <c r="J2281">
        <v>36.5</v>
      </c>
      <c r="K2281" t="s">
        <v>21</v>
      </c>
      <c r="L2281">
        <v>5.6</v>
      </c>
      <c r="M2281">
        <v>10</v>
      </c>
      <c r="N2281">
        <v>5747</v>
      </c>
      <c r="O2281" t="s">
        <v>64</v>
      </c>
      <c r="P2281">
        <v>79.900000000000006</v>
      </c>
      <c r="Q2281" t="s">
        <v>76</v>
      </c>
      <c r="R2281">
        <v>-9</v>
      </c>
      <c r="S2281">
        <v>47.6</v>
      </c>
      <c r="T2281">
        <v>3</v>
      </c>
      <c r="U2281">
        <v>5.0999999999999996</v>
      </c>
      <c r="V2281">
        <v>5.3</v>
      </c>
      <c r="W2281">
        <v>3.6</v>
      </c>
      <c r="X2281" t="s">
        <v>66</v>
      </c>
    </row>
    <row r="2282" spans="2:24" x14ac:dyDescent="0.3">
      <c r="B2282" t="s">
        <v>2375</v>
      </c>
      <c r="C2282" t="s">
        <v>59</v>
      </c>
      <c r="D2282" t="s">
        <v>4</v>
      </c>
      <c r="E2282" t="s">
        <v>16</v>
      </c>
      <c r="F2282" t="s">
        <v>11</v>
      </c>
      <c r="G2282" t="s">
        <v>63</v>
      </c>
      <c r="H2282">
        <v>2026</v>
      </c>
      <c r="I2282">
        <v>9977</v>
      </c>
      <c r="J2282">
        <v>32.799999999999997</v>
      </c>
      <c r="K2282" t="s">
        <v>25</v>
      </c>
      <c r="L2282">
        <v>11.8</v>
      </c>
      <c r="M2282">
        <v>10</v>
      </c>
      <c r="N2282">
        <v>886</v>
      </c>
      <c r="O2282" t="s">
        <v>64</v>
      </c>
      <c r="P2282">
        <v>48.2</v>
      </c>
      <c r="Q2282" t="s">
        <v>79</v>
      </c>
      <c r="R2282">
        <v>52.5</v>
      </c>
      <c r="S2282">
        <v>10.199999999999999</v>
      </c>
      <c r="T2282">
        <v>-7.7</v>
      </c>
      <c r="U2282">
        <v>7.5</v>
      </c>
      <c r="V2282">
        <v>2.9</v>
      </c>
      <c r="W2282">
        <v>3.5</v>
      </c>
      <c r="X2282" t="s">
        <v>66</v>
      </c>
    </row>
    <row r="2283" spans="2:24" x14ac:dyDescent="0.3">
      <c r="B2283" t="s">
        <v>2376</v>
      </c>
      <c r="C2283" t="s">
        <v>68</v>
      </c>
      <c r="D2283" t="s">
        <v>8</v>
      </c>
      <c r="E2283" t="s">
        <v>18</v>
      </c>
      <c r="F2283" t="s">
        <v>11</v>
      </c>
      <c r="G2283" t="s">
        <v>69</v>
      </c>
      <c r="H2283">
        <v>2025</v>
      </c>
      <c r="I2283">
        <v>644</v>
      </c>
      <c r="J2283">
        <v>4.2</v>
      </c>
      <c r="K2283" t="s">
        <v>23</v>
      </c>
      <c r="L2283">
        <v>9.9</v>
      </c>
      <c r="M2283">
        <v>10</v>
      </c>
      <c r="N2283">
        <v>2351</v>
      </c>
      <c r="O2283" t="s">
        <v>55</v>
      </c>
      <c r="P2283">
        <v>30.3</v>
      </c>
      <c r="Q2283" t="s">
        <v>88</v>
      </c>
      <c r="R2283">
        <v>74.3</v>
      </c>
      <c r="S2283">
        <v>4.7</v>
      </c>
      <c r="T2283">
        <v>7.8</v>
      </c>
      <c r="U2283">
        <v>7.7</v>
      </c>
      <c r="V2283">
        <v>6.2</v>
      </c>
      <c r="W2283">
        <v>5.8</v>
      </c>
      <c r="X2283" t="s">
        <v>57</v>
      </c>
    </row>
    <row r="2284" spans="2:24" x14ac:dyDescent="0.3">
      <c r="B2284" t="s">
        <v>2377</v>
      </c>
      <c r="C2284" t="s">
        <v>106</v>
      </c>
      <c r="D2284" t="s">
        <v>4</v>
      </c>
      <c r="E2284" t="s">
        <v>18</v>
      </c>
      <c r="F2284" t="s">
        <v>11</v>
      </c>
      <c r="G2284" t="s">
        <v>78</v>
      </c>
      <c r="H2284">
        <v>2026</v>
      </c>
      <c r="I2284">
        <v>16629</v>
      </c>
      <c r="J2284">
        <v>35.700000000000003</v>
      </c>
      <c r="K2284" t="s">
        <v>21</v>
      </c>
      <c r="L2284">
        <v>1.8</v>
      </c>
      <c r="M2284">
        <v>9.4</v>
      </c>
      <c r="N2284">
        <v>1961</v>
      </c>
      <c r="O2284" t="s">
        <v>75</v>
      </c>
      <c r="P2284">
        <v>37</v>
      </c>
      <c r="Q2284" t="s">
        <v>79</v>
      </c>
      <c r="R2284">
        <v>45.6</v>
      </c>
      <c r="S2284">
        <v>45.3</v>
      </c>
      <c r="T2284">
        <v>13.6</v>
      </c>
      <c r="U2284">
        <v>2.2999999999999998</v>
      </c>
      <c r="V2284">
        <v>6.9</v>
      </c>
      <c r="W2284">
        <v>4.0999999999999996</v>
      </c>
      <c r="X2284" t="s">
        <v>66</v>
      </c>
    </row>
    <row r="2285" spans="2:24" x14ac:dyDescent="0.3">
      <c r="B2285" t="s">
        <v>2378</v>
      </c>
      <c r="C2285" t="s">
        <v>62</v>
      </c>
      <c r="D2285" t="s">
        <v>2</v>
      </c>
      <c r="E2285" t="s">
        <v>16</v>
      </c>
      <c r="F2285" t="s">
        <v>9</v>
      </c>
      <c r="G2285" t="s">
        <v>112</v>
      </c>
      <c r="H2285">
        <v>2026</v>
      </c>
      <c r="I2285">
        <v>4807</v>
      </c>
      <c r="J2285">
        <v>17.600000000000001</v>
      </c>
      <c r="K2285" t="s">
        <v>22</v>
      </c>
      <c r="L2285">
        <v>10.3</v>
      </c>
      <c r="M2285">
        <v>10</v>
      </c>
      <c r="N2285">
        <v>9423</v>
      </c>
      <c r="O2285" t="s">
        <v>118</v>
      </c>
      <c r="P2285">
        <v>48.2</v>
      </c>
      <c r="Q2285" t="s">
        <v>76</v>
      </c>
      <c r="R2285">
        <v>59.8</v>
      </c>
      <c r="S2285">
        <v>18.100000000000001</v>
      </c>
      <c r="T2285">
        <v>7.8</v>
      </c>
      <c r="U2285">
        <v>7.7</v>
      </c>
      <c r="V2285">
        <v>5.3</v>
      </c>
      <c r="W2285">
        <v>4.9000000000000004</v>
      </c>
      <c r="X2285" t="s">
        <v>66</v>
      </c>
    </row>
    <row r="2286" spans="2:24" x14ac:dyDescent="0.3">
      <c r="B2286" t="s">
        <v>2379</v>
      </c>
      <c r="C2286" t="s">
        <v>53</v>
      </c>
      <c r="D2286" t="s">
        <v>3</v>
      </c>
      <c r="E2286" t="s">
        <v>18</v>
      </c>
      <c r="F2286" t="s">
        <v>9</v>
      </c>
      <c r="G2286" t="s">
        <v>98</v>
      </c>
      <c r="H2286">
        <v>2026</v>
      </c>
      <c r="I2286">
        <v>6038</v>
      </c>
      <c r="J2286">
        <v>33.700000000000003</v>
      </c>
      <c r="K2286" t="s">
        <v>25</v>
      </c>
      <c r="L2286">
        <v>4.9000000000000004</v>
      </c>
      <c r="M2286">
        <v>10</v>
      </c>
      <c r="N2286">
        <v>789</v>
      </c>
      <c r="O2286" t="s">
        <v>75</v>
      </c>
      <c r="P2286">
        <v>44.7</v>
      </c>
      <c r="Q2286" t="s">
        <v>65</v>
      </c>
      <c r="R2286">
        <v>50.7</v>
      </c>
      <c r="S2286">
        <v>23</v>
      </c>
      <c r="T2286">
        <v>3.4</v>
      </c>
      <c r="U2286">
        <v>8.1</v>
      </c>
      <c r="V2286">
        <v>3.7</v>
      </c>
      <c r="W2286">
        <v>3.3</v>
      </c>
      <c r="X2286" t="s">
        <v>66</v>
      </c>
    </row>
    <row r="2287" spans="2:24" x14ac:dyDescent="0.3">
      <c r="B2287" t="s">
        <v>2380</v>
      </c>
      <c r="C2287" t="s">
        <v>83</v>
      </c>
      <c r="D2287" t="s">
        <v>4</v>
      </c>
      <c r="E2287" t="s">
        <v>17</v>
      </c>
      <c r="F2287" t="s">
        <v>12</v>
      </c>
      <c r="G2287" t="s">
        <v>115</v>
      </c>
      <c r="H2287">
        <v>2025</v>
      </c>
      <c r="I2287">
        <v>370</v>
      </c>
      <c r="J2287">
        <v>7.9</v>
      </c>
      <c r="K2287" t="s">
        <v>25</v>
      </c>
      <c r="L2287">
        <v>5.4</v>
      </c>
      <c r="M2287">
        <v>10</v>
      </c>
      <c r="N2287">
        <v>2331</v>
      </c>
      <c r="O2287" t="s">
        <v>64</v>
      </c>
      <c r="P2287">
        <v>29</v>
      </c>
      <c r="Q2287" t="s">
        <v>56</v>
      </c>
      <c r="R2287">
        <v>-25.3</v>
      </c>
      <c r="S2287">
        <v>-11.6</v>
      </c>
      <c r="T2287">
        <v>0.2</v>
      </c>
      <c r="U2287">
        <v>8.9</v>
      </c>
      <c r="V2287">
        <v>5</v>
      </c>
      <c r="W2287">
        <v>4.5</v>
      </c>
      <c r="X2287" t="s">
        <v>57</v>
      </c>
    </row>
    <row r="2288" spans="2:24" x14ac:dyDescent="0.3">
      <c r="B2288" t="s">
        <v>2381</v>
      </c>
      <c r="C2288" t="s">
        <v>137</v>
      </c>
      <c r="D2288" t="s">
        <v>4</v>
      </c>
      <c r="E2288" t="s">
        <v>18</v>
      </c>
      <c r="F2288" t="s">
        <v>11</v>
      </c>
      <c r="G2288" t="s">
        <v>69</v>
      </c>
      <c r="H2288">
        <v>2025</v>
      </c>
      <c r="I2288">
        <v>2640</v>
      </c>
      <c r="J2288">
        <v>5.6</v>
      </c>
      <c r="K2288" t="s">
        <v>23</v>
      </c>
      <c r="L2288">
        <v>10.199999999999999</v>
      </c>
      <c r="M2288">
        <v>8.1999999999999993</v>
      </c>
      <c r="N2288">
        <v>5064</v>
      </c>
      <c r="O2288" t="s">
        <v>55</v>
      </c>
      <c r="P2288">
        <v>36.9</v>
      </c>
      <c r="Q2288" t="s">
        <v>84</v>
      </c>
      <c r="R2288">
        <v>32.200000000000003</v>
      </c>
      <c r="S2288">
        <v>40.9</v>
      </c>
      <c r="T2288">
        <v>12.3</v>
      </c>
      <c r="U2288">
        <v>6.4</v>
      </c>
      <c r="V2288">
        <v>7.8</v>
      </c>
      <c r="W2288">
        <v>7.4</v>
      </c>
      <c r="X2288" t="s">
        <v>116</v>
      </c>
    </row>
    <row r="2289" spans="2:24" x14ac:dyDescent="0.3">
      <c r="B2289" t="s">
        <v>2382</v>
      </c>
      <c r="C2289" t="s">
        <v>71</v>
      </c>
      <c r="D2289" t="s">
        <v>5</v>
      </c>
      <c r="E2289" t="s">
        <v>17</v>
      </c>
      <c r="F2289" t="s">
        <v>9</v>
      </c>
      <c r="G2289" t="s">
        <v>69</v>
      </c>
      <c r="H2289">
        <v>2024</v>
      </c>
      <c r="I2289">
        <v>5408</v>
      </c>
      <c r="J2289">
        <v>31.7</v>
      </c>
      <c r="K2289" t="s">
        <v>22</v>
      </c>
      <c r="L2289">
        <v>9.4</v>
      </c>
      <c r="M2289">
        <v>10</v>
      </c>
      <c r="N2289">
        <v>1419</v>
      </c>
      <c r="O2289" t="s">
        <v>64</v>
      </c>
      <c r="P2289">
        <v>51.5</v>
      </c>
      <c r="Q2289" t="s">
        <v>79</v>
      </c>
      <c r="R2289">
        <v>-33.299999999999997</v>
      </c>
      <c r="S2289">
        <v>43.9</v>
      </c>
      <c r="T2289">
        <v>18.100000000000001</v>
      </c>
      <c r="U2289">
        <v>6.4</v>
      </c>
      <c r="V2289">
        <v>5.0999999999999996</v>
      </c>
      <c r="W2289">
        <v>5.0999999999999996</v>
      </c>
      <c r="X2289" t="s">
        <v>66</v>
      </c>
    </row>
    <row r="2290" spans="2:24" x14ac:dyDescent="0.3">
      <c r="B2290" t="s">
        <v>2383</v>
      </c>
      <c r="C2290" t="s">
        <v>90</v>
      </c>
      <c r="D2290" t="s">
        <v>3</v>
      </c>
      <c r="E2290" t="s">
        <v>15</v>
      </c>
      <c r="F2290" t="s">
        <v>11</v>
      </c>
      <c r="G2290" t="s">
        <v>54</v>
      </c>
      <c r="H2290">
        <v>2024</v>
      </c>
      <c r="I2290">
        <v>15067</v>
      </c>
      <c r="J2290">
        <v>35.700000000000003</v>
      </c>
      <c r="K2290" t="s">
        <v>25</v>
      </c>
      <c r="L2290">
        <v>6.1</v>
      </c>
      <c r="M2290">
        <v>10</v>
      </c>
      <c r="N2290">
        <v>1337</v>
      </c>
      <c r="O2290" t="s">
        <v>75</v>
      </c>
      <c r="P2290">
        <v>12.9</v>
      </c>
      <c r="Q2290" t="s">
        <v>84</v>
      </c>
      <c r="R2290">
        <v>24</v>
      </c>
      <c r="S2290">
        <v>14.1</v>
      </c>
      <c r="T2290">
        <v>-5</v>
      </c>
      <c r="U2290">
        <v>4.5</v>
      </c>
      <c r="V2290">
        <v>4.7</v>
      </c>
      <c r="W2290">
        <v>2.4</v>
      </c>
      <c r="X2290" t="s">
        <v>66</v>
      </c>
    </row>
    <row r="2291" spans="2:24" x14ac:dyDescent="0.3">
      <c r="B2291" t="s">
        <v>2384</v>
      </c>
      <c r="C2291" t="s">
        <v>122</v>
      </c>
      <c r="D2291" t="s">
        <v>2</v>
      </c>
      <c r="E2291" t="s">
        <v>14</v>
      </c>
      <c r="F2291" t="s">
        <v>12</v>
      </c>
      <c r="G2291" t="s">
        <v>63</v>
      </c>
      <c r="H2291">
        <v>2024</v>
      </c>
      <c r="I2291">
        <v>511</v>
      </c>
      <c r="J2291">
        <v>7.6</v>
      </c>
      <c r="K2291" t="s">
        <v>22</v>
      </c>
      <c r="L2291">
        <v>5.2</v>
      </c>
      <c r="M2291">
        <v>8.4</v>
      </c>
      <c r="N2291">
        <v>5817</v>
      </c>
      <c r="O2291" t="s">
        <v>55</v>
      </c>
      <c r="P2291">
        <v>14.2</v>
      </c>
      <c r="Q2291" t="s">
        <v>76</v>
      </c>
      <c r="R2291">
        <v>-18</v>
      </c>
      <c r="S2291">
        <v>11.5</v>
      </c>
      <c r="T2291">
        <v>14</v>
      </c>
      <c r="U2291">
        <v>8.3000000000000007</v>
      </c>
      <c r="V2291">
        <v>8</v>
      </c>
      <c r="W2291">
        <v>5.7</v>
      </c>
      <c r="X2291" t="s">
        <v>57</v>
      </c>
    </row>
    <row r="2292" spans="2:24" x14ac:dyDescent="0.3">
      <c r="B2292" t="s">
        <v>2385</v>
      </c>
      <c r="C2292" t="s">
        <v>27</v>
      </c>
      <c r="D2292" t="s">
        <v>2</v>
      </c>
      <c r="E2292" t="s">
        <v>18</v>
      </c>
      <c r="F2292" t="s">
        <v>11</v>
      </c>
      <c r="G2292" t="s">
        <v>115</v>
      </c>
      <c r="H2292">
        <v>2026</v>
      </c>
      <c r="I2292">
        <v>8</v>
      </c>
      <c r="J2292">
        <v>2.2000000000000002</v>
      </c>
      <c r="K2292" t="s">
        <v>23</v>
      </c>
      <c r="L2292">
        <v>1.2</v>
      </c>
      <c r="M2292">
        <v>1</v>
      </c>
      <c r="N2292">
        <v>4835</v>
      </c>
      <c r="O2292" t="s">
        <v>64</v>
      </c>
      <c r="P2292">
        <v>80.400000000000006</v>
      </c>
      <c r="Q2292" t="s">
        <v>76</v>
      </c>
      <c r="R2292">
        <v>43</v>
      </c>
      <c r="S2292">
        <v>37.4</v>
      </c>
      <c r="T2292">
        <v>7.6</v>
      </c>
      <c r="U2292">
        <v>1</v>
      </c>
      <c r="V2292">
        <v>6.4</v>
      </c>
      <c r="W2292">
        <v>9.5</v>
      </c>
      <c r="X2292" t="s">
        <v>57</v>
      </c>
    </row>
    <row r="2293" spans="2:24" x14ac:dyDescent="0.3">
      <c r="B2293" t="s">
        <v>2386</v>
      </c>
      <c r="C2293" t="s">
        <v>71</v>
      </c>
      <c r="D2293" t="s">
        <v>5</v>
      </c>
      <c r="E2293" t="s">
        <v>19</v>
      </c>
      <c r="F2293" t="s">
        <v>9</v>
      </c>
      <c r="G2293" t="s">
        <v>63</v>
      </c>
      <c r="H2293">
        <v>2025</v>
      </c>
      <c r="I2293">
        <v>1618</v>
      </c>
      <c r="J2293">
        <v>8.1999999999999993</v>
      </c>
      <c r="K2293" t="s">
        <v>23</v>
      </c>
      <c r="L2293">
        <v>5.3</v>
      </c>
      <c r="M2293">
        <v>3</v>
      </c>
      <c r="N2293">
        <v>5217</v>
      </c>
      <c r="O2293" t="s">
        <v>55</v>
      </c>
      <c r="P2293">
        <v>20.2</v>
      </c>
      <c r="Q2293" t="s">
        <v>88</v>
      </c>
      <c r="R2293">
        <v>70.7</v>
      </c>
      <c r="S2293">
        <v>41.8</v>
      </c>
      <c r="T2293">
        <v>17.2</v>
      </c>
      <c r="U2293">
        <v>5.4</v>
      </c>
      <c r="V2293">
        <v>8.1</v>
      </c>
      <c r="W2293">
        <v>7.4</v>
      </c>
      <c r="X2293" t="s">
        <v>57</v>
      </c>
    </row>
    <row r="2294" spans="2:24" x14ac:dyDescent="0.3">
      <c r="B2294" t="s">
        <v>2387</v>
      </c>
      <c r="C2294" t="s">
        <v>73</v>
      </c>
      <c r="D2294" t="s">
        <v>2</v>
      </c>
      <c r="E2294" t="s">
        <v>17</v>
      </c>
      <c r="F2294" t="s">
        <v>9</v>
      </c>
      <c r="G2294" t="s">
        <v>104</v>
      </c>
      <c r="H2294">
        <v>2024</v>
      </c>
      <c r="I2294">
        <v>104</v>
      </c>
      <c r="J2294">
        <v>5.6</v>
      </c>
      <c r="K2294" t="s">
        <v>24</v>
      </c>
      <c r="L2294">
        <v>3.1</v>
      </c>
      <c r="M2294">
        <v>2.9</v>
      </c>
      <c r="N2294">
        <v>4230</v>
      </c>
      <c r="O2294" t="s">
        <v>55</v>
      </c>
      <c r="P2294">
        <v>69.8</v>
      </c>
      <c r="Q2294" t="s">
        <v>76</v>
      </c>
      <c r="R2294">
        <v>-16.5</v>
      </c>
      <c r="S2294">
        <v>10.8</v>
      </c>
      <c r="T2294">
        <v>3.8</v>
      </c>
      <c r="U2294">
        <v>4</v>
      </c>
      <c r="V2294">
        <v>8.5</v>
      </c>
      <c r="W2294">
        <v>6.2</v>
      </c>
      <c r="X2294" t="s">
        <v>57</v>
      </c>
    </row>
    <row r="2295" spans="2:24" x14ac:dyDescent="0.3">
      <c r="B2295" t="s">
        <v>2388</v>
      </c>
      <c r="C2295" t="s">
        <v>73</v>
      </c>
      <c r="D2295" t="s">
        <v>2</v>
      </c>
      <c r="E2295" t="s">
        <v>18</v>
      </c>
      <c r="F2295" t="s">
        <v>9</v>
      </c>
      <c r="G2295" t="s">
        <v>98</v>
      </c>
      <c r="H2295">
        <v>2024</v>
      </c>
      <c r="I2295">
        <v>861</v>
      </c>
      <c r="J2295">
        <v>9.1</v>
      </c>
      <c r="K2295" t="s">
        <v>23</v>
      </c>
      <c r="L2295">
        <v>2.1</v>
      </c>
      <c r="M2295">
        <v>3</v>
      </c>
      <c r="N2295">
        <v>8516</v>
      </c>
      <c r="O2295" t="s">
        <v>55</v>
      </c>
      <c r="P2295">
        <v>31.9</v>
      </c>
      <c r="Q2295" t="s">
        <v>76</v>
      </c>
      <c r="R2295">
        <v>77.2</v>
      </c>
      <c r="S2295">
        <v>-8.3000000000000007</v>
      </c>
      <c r="T2295">
        <v>-4.2</v>
      </c>
      <c r="U2295">
        <v>2.8</v>
      </c>
      <c r="V2295">
        <v>4.5999999999999996</v>
      </c>
      <c r="W2295">
        <v>6.1</v>
      </c>
      <c r="X2295" t="s">
        <v>116</v>
      </c>
    </row>
    <row r="2296" spans="2:24" x14ac:dyDescent="0.3">
      <c r="B2296" t="s">
        <v>2389</v>
      </c>
      <c r="C2296" t="s">
        <v>94</v>
      </c>
      <c r="D2296" t="s">
        <v>6</v>
      </c>
      <c r="E2296" t="s">
        <v>14</v>
      </c>
      <c r="F2296" t="s">
        <v>12</v>
      </c>
      <c r="G2296" t="s">
        <v>74</v>
      </c>
      <c r="H2296">
        <v>2024</v>
      </c>
      <c r="I2296">
        <v>2572</v>
      </c>
      <c r="J2296">
        <v>4.5999999999999996</v>
      </c>
      <c r="K2296" t="s">
        <v>22</v>
      </c>
      <c r="L2296">
        <v>2.5</v>
      </c>
      <c r="M2296">
        <v>2.2999999999999998</v>
      </c>
      <c r="N2296">
        <v>3120</v>
      </c>
      <c r="O2296" t="s">
        <v>64</v>
      </c>
      <c r="P2296">
        <v>89</v>
      </c>
      <c r="Q2296" t="s">
        <v>88</v>
      </c>
      <c r="R2296">
        <v>-18.100000000000001</v>
      </c>
      <c r="S2296">
        <v>-22.7</v>
      </c>
      <c r="T2296">
        <v>-15.2</v>
      </c>
      <c r="U2296">
        <v>2.8</v>
      </c>
      <c r="V2296">
        <v>6.3</v>
      </c>
      <c r="W2296">
        <v>7.1</v>
      </c>
      <c r="X2296" t="s">
        <v>116</v>
      </c>
    </row>
    <row r="2297" spans="2:24" x14ac:dyDescent="0.3">
      <c r="B2297" t="s">
        <v>2390</v>
      </c>
      <c r="C2297" t="s">
        <v>53</v>
      </c>
      <c r="D2297" t="s">
        <v>3</v>
      </c>
      <c r="E2297" t="s">
        <v>18</v>
      </c>
      <c r="F2297" t="s">
        <v>9</v>
      </c>
      <c r="G2297" t="s">
        <v>101</v>
      </c>
      <c r="H2297">
        <v>2024</v>
      </c>
      <c r="I2297">
        <v>1106</v>
      </c>
      <c r="J2297">
        <v>2.4</v>
      </c>
      <c r="K2297" t="s">
        <v>22</v>
      </c>
      <c r="L2297">
        <v>0.8</v>
      </c>
      <c r="M2297">
        <v>1.8</v>
      </c>
      <c r="N2297">
        <v>2973</v>
      </c>
      <c r="O2297" t="s">
        <v>64</v>
      </c>
      <c r="P2297">
        <v>88.4</v>
      </c>
      <c r="Q2297" t="s">
        <v>65</v>
      </c>
      <c r="R2297">
        <v>5.9</v>
      </c>
      <c r="S2297">
        <v>23.9</v>
      </c>
      <c r="T2297">
        <v>10.5</v>
      </c>
      <c r="U2297">
        <v>1</v>
      </c>
      <c r="V2297">
        <v>5.7</v>
      </c>
      <c r="W2297">
        <v>7.8</v>
      </c>
      <c r="X2297" t="s">
        <v>57</v>
      </c>
    </row>
    <row r="2298" spans="2:24" x14ac:dyDescent="0.3">
      <c r="B2298" t="s">
        <v>2391</v>
      </c>
      <c r="C2298" t="s">
        <v>106</v>
      </c>
      <c r="D2298" t="s">
        <v>3</v>
      </c>
      <c r="E2298" t="s">
        <v>19</v>
      </c>
      <c r="F2298" t="s">
        <v>9</v>
      </c>
      <c r="G2298" t="s">
        <v>78</v>
      </c>
      <c r="H2298">
        <v>2025</v>
      </c>
      <c r="I2298">
        <v>5816</v>
      </c>
      <c r="J2298">
        <v>25.7</v>
      </c>
      <c r="K2298" t="s">
        <v>25</v>
      </c>
      <c r="L2298">
        <v>3.2</v>
      </c>
      <c r="M2298">
        <v>9.5</v>
      </c>
      <c r="N2298">
        <v>412</v>
      </c>
      <c r="O2298" t="s">
        <v>75</v>
      </c>
      <c r="P2298">
        <v>30.1</v>
      </c>
      <c r="Q2298" t="s">
        <v>86</v>
      </c>
      <c r="R2298">
        <v>63.8</v>
      </c>
      <c r="S2298">
        <v>7.4</v>
      </c>
      <c r="T2298">
        <v>2.2000000000000002</v>
      </c>
      <c r="U2298">
        <v>2.9</v>
      </c>
      <c r="V2298">
        <v>5.7</v>
      </c>
      <c r="W2298">
        <v>3</v>
      </c>
      <c r="X2298" t="s">
        <v>66</v>
      </c>
    </row>
    <row r="2299" spans="2:24" x14ac:dyDescent="0.3">
      <c r="B2299" t="s">
        <v>2392</v>
      </c>
      <c r="C2299" t="s">
        <v>92</v>
      </c>
      <c r="D2299" t="s">
        <v>7</v>
      </c>
      <c r="E2299" t="s">
        <v>14</v>
      </c>
      <c r="F2299" t="s">
        <v>10</v>
      </c>
      <c r="G2299" t="s">
        <v>74</v>
      </c>
      <c r="H2299">
        <v>2026</v>
      </c>
      <c r="I2299">
        <v>5583</v>
      </c>
      <c r="J2299">
        <v>2.6</v>
      </c>
      <c r="K2299" t="s">
        <v>23</v>
      </c>
      <c r="L2299">
        <v>8.8000000000000007</v>
      </c>
      <c r="M2299">
        <v>4.5</v>
      </c>
      <c r="N2299">
        <v>1183</v>
      </c>
      <c r="O2299" t="s">
        <v>55</v>
      </c>
      <c r="P2299">
        <v>21.3</v>
      </c>
      <c r="Q2299" t="s">
        <v>84</v>
      </c>
      <c r="R2299">
        <v>77.2</v>
      </c>
      <c r="S2299">
        <v>2.7</v>
      </c>
      <c r="T2299">
        <v>9</v>
      </c>
      <c r="U2299">
        <v>6.8</v>
      </c>
      <c r="V2299">
        <v>5.5</v>
      </c>
      <c r="W2299">
        <v>7.9</v>
      </c>
      <c r="X2299" t="s">
        <v>116</v>
      </c>
    </row>
    <row r="2300" spans="2:24" x14ac:dyDescent="0.3">
      <c r="B2300" t="s">
        <v>2393</v>
      </c>
      <c r="C2300" t="s">
        <v>106</v>
      </c>
      <c r="D2300" t="s">
        <v>8</v>
      </c>
      <c r="E2300" t="s">
        <v>18</v>
      </c>
      <c r="F2300" t="s">
        <v>10</v>
      </c>
      <c r="G2300" t="s">
        <v>63</v>
      </c>
      <c r="H2300">
        <v>2025</v>
      </c>
      <c r="I2300">
        <v>5828</v>
      </c>
      <c r="J2300">
        <v>31.6</v>
      </c>
      <c r="K2300" t="s">
        <v>22</v>
      </c>
      <c r="L2300">
        <v>1.6</v>
      </c>
      <c r="M2300">
        <v>5.4</v>
      </c>
      <c r="N2300">
        <v>1645</v>
      </c>
      <c r="O2300" t="s">
        <v>75</v>
      </c>
      <c r="P2300">
        <v>66.3</v>
      </c>
      <c r="Q2300" t="s">
        <v>65</v>
      </c>
      <c r="R2300">
        <v>-42.2</v>
      </c>
      <c r="S2300">
        <v>4.3</v>
      </c>
      <c r="T2300">
        <v>-13.3</v>
      </c>
      <c r="U2300">
        <v>1.1000000000000001</v>
      </c>
      <c r="V2300">
        <v>5.2</v>
      </c>
      <c r="W2300">
        <v>4.8</v>
      </c>
      <c r="X2300" t="s">
        <v>66</v>
      </c>
    </row>
    <row r="2301" spans="2:24" x14ac:dyDescent="0.3">
      <c r="B2301" t="s">
        <v>2394</v>
      </c>
      <c r="C2301" t="s">
        <v>83</v>
      </c>
      <c r="D2301" t="s">
        <v>4</v>
      </c>
      <c r="E2301" t="s">
        <v>14</v>
      </c>
      <c r="F2301" t="s">
        <v>10</v>
      </c>
      <c r="G2301" t="s">
        <v>74</v>
      </c>
      <c r="H2301">
        <v>2026</v>
      </c>
      <c r="I2301">
        <v>2456</v>
      </c>
      <c r="J2301">
        <v>9.6</v>
      </c>
      <c r="K2301" t="s">
        <v>24</v>
      </c>
      <c r="L2301">
        <v>2.5</v>
      </c>
      <c r="M2301">
        <v>7.1</v>
      </c>
      <c r="N2301">
        <v>3740</v>
      </c>
      <c r="O2301" t="s">
        <v>64</v>
      </c>
      <c r="P2301">
        <v>72.400000000000006</v>
      </c>
      <c r="Q2301" t="s">
        <v>79</v>
      </c>
      <c r="R2301">
        <v>31.7</v>
      </c>
      <c r="S2301">
        <v>32.4</v>
      </c>
      <c r="T2301">
        <v>12.3</v>
      </c>
      <c r="U2301">
        <v>3.6</v>
      </c>
      <c r="V2301">
        <v>6.4</v>
      </c>
      <c r="W2301">
        <v>7.1</v>
      </c>
      <c r="X2301" t="s">
        <v>57</v>
      </c>
    </row>
    <row r="2302" spans="2:24" x14ac:dyDescent="0.3">
      <c r="B2302" t="s">
        <v>2395</v>
      </c>
      <c r="C2302" t="s">
        <v>90</v>
      </c>
      <c r="D2302" t="s">
        <v>2</v>
      </c>
      <c r="E2302" t="s">
        <v>18</v>
      </c>
      <c r="F2302" t="s">
        <v>10</v>
      </c>
      <c r="G2302" t="s">
        <v>98</v>
      </c>
      <c r="H2302">
        <v>2026</v>
      </c>
      <c r="I2302">
        <v>6047</v>
      </c>
      <c r="J2302">
        <v>13.9</v>
      </c>
      <c r="K2302" t="s">
        <v>21</v>
      </c>
      <c r="L2302">
        <v>9.8000000000000007</v>
      </c>
      <c r="M2302">
        <v>9.4</v>
      </c>
      <c r="N2302">
        <v>7582</v>
      </c>
      <c r="O2302" t="s">
        <v>55</v>
      </c>
      <c r="P2302">
        <v>80.099999999999994</v>
      </c>
      <c r="Q2302" t="s">
        <v>76</v>
      </c>
      <c r="R2302">
        <v>58.9</v>
      </c>
      <c r="S2302">
        <v>-9.6</v>
      </c>
      <c r="T2302">
        <v>-5.8</v>
      </c>
      <c r="U2302">
        <v>7.1</v>
      </c>
      <c r="V2302">
        <v>6.5</v>
      </c>
      <c r="W2302">
        <v>4.2</v>
      </c>
      <c r="X2302" t="s">
        <v>116</v>
      </c>
    </row>
    <row r="2303" spans="2:24" x14ac:dyDescent="0.3">
      <c r="B2303" t="s">
        <v>2396</v>
      </c>
      <c r="C2303" t="s">
        <v>106</v>
      </c>
      <c r="D2303" t="s">
        <v>4</v>
      </c>
      <c r="E2303" t="s">
        <v>16</v>
      </c>
      <c r="F2303" t="s">
        <v>12</v>
      </c>
      <c r="G2303" t="s">
        <v>101</v>
      </c>
      <c r="H2303">
        <v>2025</v>
      </c>
      <c r="I2303">
        <v>1545</v>
      </c>
      <c r="J2303">
        <v>9.1</v>
      </c>
      <c r="K2303" t="s">
        <v>22</v>
      </c>
      <c r="L2303">
        <v>7</v>
      </c>
      <c r="M2303">
        <v>6.7</v>
      </c>
      <c r="N2303">
        <v>5214</v>
      </c>
      <c r="O2303" t="s">
        <v>55</v>
      </c>
      <c r="P2303">
        <v>65.400000000000006</v>
      </c>
      <c r="Q2303" t="s">
        <v>86</v>
      </c>
      <c r="R2303">
        <v>-11.7</v>
      </c>
      <c r="S2303">
        <v>-4.3</v>
      </c>
      <c r="T2303">
        <v>-5.4</v>
      </c>
      <c r="U2303">
        <v>5.7</v>
      </c>
      <c r="V2303">
        <v>6.8</v>
      </c>
      <c r="W2303">
        <v>5.9</v>
      </c>
      <c r="X2303" t="s">
        <v>57</v>
      </c>
    </row>
    <row r="2304" spans="2:24" x14ac:dyDescent="0.3">
      <c r="B2304" t="s">
        <v>2397</v>
      </c>
      <c r="C2304" t="s">
        <v>142</v>
      </c>
      <c r="D2304" t="s">
        <v>8</v>
      </c>
      <c r="E2304" t="s">
        <v>18</v>
      </c>
      <c r="F2304" t="s">
        <v>9</v>
      </c>
      <c r="G2304" t="s">
        <v>63</v>
      </c>
      <c r="H2304">
        <v>2025</v>
      </c>
      <c r="I2304">
        <v>1697</v>
      </c>
      <c r="J2304">
        <v>16.2</v>
      </c>
      <c r="K2304" t="s">
        <v>21</v>
      </c>
      <c r="L2304">
        <v>1.5</v>
      </c>
      <c r="M2304">
        <v>4.7</v>
      </c>
      <c r="N2304">
        <v>5263</v>
      </c>
      <c r="O2304" t="s">
        <v>64</v>
      </c>
      <c r="P2304">
        <v>79.099999999999994</v>
      </c>
      <c r="Q2304" t="s">
        <v>125</v>
      </c>
      <c r="R2304">
        <v>60.2</v>
      </c>
      <c r="S2304">
        <v>-13</v>
      </c>
      <c r="T2304">
        <v>-0.9</v>
      </c>
      <c r="U2304">
        <v>1.2</v>
      </c>
      <c r="V2304">
        <v>3.8</v>
      </c>
      <c r="W2304">
        <v>5.6</v>
      </c>
      <c r="X2304" t="s">
        <v>116</v>
      </c>
    </row>
    <row r="2305" spans="2:24" x14ac:dyDescent="0.3">
      <c r="B2305" t="s">
        <v>2398</v>
      </c>
      <c r="C2305" t="s">
        <v>97</v>
      </c>
      <c r="D2305" t="s">
        <v>3</v>
      </c>
      <c r="E2305" t="s">
        <v>15</v>
      </c>
      <c r="F2305" t="s">
        <v>9</v>
      </c>
      <c r="G2305" t="s">
        <v>98</v>
      </c>
      <c r="H2305">
        <v>2026</v>
      </c>
      <c r="I2305">
        <v>3005</v>
      </c>
      <c r="J2305">
        <v>8.6999999999999993</v>
      </c>
      <c r="K2305" t="s">
        <v>22</v>
      </c>
      <c r="L2305">
        <v>11.4</v>
      </c>
      <c r="M2305">
        <v>9.5</v>
      </c>
      <c r="N2305">
        <v>586</v>
      </c>
      <c r="O2305" t="s">
        <v>55</v>
      </c>
      <c r="P2305">
        <v>36.299999999999997</v>
      </c>
      <c r="Q2305" t="s">
        <v>79</v>
      </c>
      <c r="R2305">
        <v>63.2</v>
      </c>
      <c r="S2305">
        <v>-8</v>
      </c>
      <c r="T2305">
        <v>6.8</v>
      </c>
      <c r="U2305">
        <v>8.3000000000000007</v>
      </c>
      <c r="V2305">
        <v>5.8</v>
      </c>
      <c r="W2305">
        <v>4.9000000000000004</v>
      </c>
      <c r="X2305" t="s">
        <v>116</v>
      </c>
    </row>
    <row r="2306" spans="2:24" x14ac:dyDescent="0.3">
      <c r="B2306" t="s">
        <v>2399</v>
      </c>
      <c r="C2306" t="s">
        <v>137</v>
      </c>
      <c r="D2306" t="s">
        <v>4</v>
      </c>
      <c r="E2306" t="s">
        <v>14</v>
      </c>
      <c r="F2306" t="s">
        <v>12</v>
      </c>
      <c r="G2306" t="s">
        <v>98</v>
      </c>
      <c r="H2306">
        <v>2024</v>
      </c>
      <c r="I2306">
        <v>2481</v>
      </c>
      <c r="J2306">
        <v>11.2</v>
      </c>
      <c r="K2306" t="s">
        <v>22</v>
      </c>
      <c r="L2306">
        <v>3.8</v>
      </c>
      <c r="M2306">
        <v>6.2</v>
      </c>
      <c r="N2306">
        <v>2208</v>
      </c>
      <c r="O2306" t="s">
        <v>64</v>
      </c>
      <c r="P2306">
        <v>23.3</v>
      </c>
      <c r="Q2306" t="s">
        <v>56</v>
      </c>
      <c r="R2306">
        <v>27.1</v>
      </c>
      <c r="S2306">
        <v>-21.1</v>
      </c>
      <c r="T2306">
        <v>-16.899999999999999</v>
      </c>
      <c r="U2306">
        <v>2.2999999999999998</v>
      </c>
      <c r="V2306">
        <v>4.2</v>
      </c>
      <c r="W2306">
        <v>5.2</v>
      </c>
      <c r="X2306" t="s">
        <v>116</v>
      </c>
    </row>
    <row r="2307" spans="2:24" x14ac:dyDescent="0.3">
      <c r="B2307" t="s">
        <v>2400</v>
      </c>
      <c r="C2307" t="s">
        <v>83</v>
      </c>
      <c r="D2307" t="s">
        <v>4</v>
      </c>
      <c r="E2307" t="s">
        <v>16</v>
      </c>
      <c r="F2307" t="s">
        <v>11</v>
      </c>
      <c r="G2307" t="s">
        <v>112</v>
      </c>
      <c r="H2307">
        <v>2026</v>
      </c>
      <c r="I2307">
        <v>2149</v>
      </c>
      <c r="J2307">
        <v>8.6</v>
      </c>
      <c r="K2307" t="s">
        <v>25</v>
      </c>
      <c r="L2307">
        <v>4</v>
      </c>
      <c r="M2307">
        <v>7.2</v>
      </c>
      <c r="N2307">
        <v>2040</v>
      </c>
      <c r="O2307" t="s">
        <v>64</v>
      </c>
      <c r="P2307">
        <v>57.3</v>
      </c>
      <c r="Q2307" t="s">
        <v>88</v>
      </c>
      <c r="R2307">
        <v>-43.5</v>
      </c>
      <c r="S2307">
        <v>5</v>
      </c>
      <c r="T2307">
        <v>7.1</v>
      </c>
      <c r="U2307">
        <v>2.4</v>
      </c>
      <c r="V2307">
        <v>7.3</v>
      </c>
      <c r="W2307">
        <v>5.0999999999999996</v>
      </c>
      <c r="X2307" t="s">
        <v>57</v>
      </c>
    </row>
    <row r="2308" spans="2:24" x14ac:dyDescent="0.3">
      <c r="B2308" t="s">
        <v>2401</v>
      </c>
      <c r="C2308" t="s">
        <v>73</v>
      </c>
      <c r="D2308" t="s">
        <v>3</v>
      </c>
      <c r="E2308" t="s">
        <v>16</v>
      </c>
      <c r="F2308" t="s">
        <v>10</v>
      </c>
      <c r="G2308" t="s">
        <v>74</v>
      </c>
      <c r="H2308">
        <v>2026</v>
      </c>
      <c r="I2308">
        <v>2831</v>
      </c>
      <c r="J2308">
        <v>11.5</v>
      </c>
      <c r="K2308" t="s">
        <v>21</v>
      </c>
      <c r="L2308">
        <v>1.4</v>
      </c>
      <c r="M2308">
        <v>4.5999999999999996</v>
      </c>
      <c r="N2308">
        <v>2621</v>
      </c>
      <c r="O2308" t="s">
        <v>64</v>
      </c>
      <c r="P2308">
        <v>78.3</v>
      </c>
      <c r="Q2308" t="s">
        <v>86</v>
      </c>
      <c r="R2308">
        <v>36.299999999999997</v>
      </c>
      <c r="S2308">
        <v>-4.5999999999999996</v>
      </c>
      <c r="T2308">
        <v>-14.3</v>
      </c>
      <c r="U2308">
        <v>1</v>
      </c>
      <c r="V2308">
        <v>5.6</v>
      </c>
      <c r="W2308">
        <v>6.4</v>
      </c>
      <c r="X2308" t="s">
        <v>116</v>
      </c>
    </row>
    <row r="2309" spans="2:24" x14ac:dyDescent="0.3">
      <c r="B2309" t="s">
        <v>2402</v>
      </c>
      <c r="C2309" t="s">
        <v>142</v>
      </c>
      <c r="D2309" t="s">
        <v>2</v>
      </c>
      <c r="E2309" t="s">
        <v>14</v>
      </c>
      <c r="F2309" t="s">
        <v>12</v>
      </c>
      <c r="G2309" t="s">
        <v>78</v>
      </c>
      <c r="H2309">
        <v>2025</v>
      </c>
      <c r="I2309">
        <v>689</v>
      </c>
      <c r="J2309">
        <v>3.9</v>
      </c>
      <c r="K2309" t="s">
        <v>22</v>
      </c>
      <c r="L2309">
        <v>5.9</v>
      </c>
      <c r="M2309">
        <v>10</v>
      </c>
      <c r="N2309">
        <v>3560</v>
      </c>
      <c r="O2309" t="s">
        <v>55</v>
      </c>
      <c r="P2309">
        <v>25.3</v>
      </c>
      <c r="Q2309" t="s">
        <v>56</v>
      </c>
      <c r="R2309">
        <v>14.6</v>
      </c>
      <c r="S2309">
        <v>-13</v>
      </c>
      <c r="T2309">
        <v>-4.8</v>
      </c>
      <c r="U2309">
        <v>7.4</v>
      </c>
      <c r="V2309">
        <v>7.1</v>
      </c>
      <c r="W2309">
        <v>5.3</v>
      </c>
      <c r="X2309" t="s">
        <v>57</v>
      </c>
    </row>
    <row r="2310" spans="2:24" x14ac:dyDescent="0.3">
      <c r="B2310" t="s">
        <v>2403</v>
      </c>
      <c r="C2310" t="s">
        <v>106</v>
      </c>
      <c r="D2310" t="s">
        <v>3</v>
      </c>
      <c r="E2310" t="s">
        <v>15</v>
      </c>
      <c r="F2310" t="s">
        <v>11</v>
      </c>
      <c r="G2310" t="s">
        <v>115</v>
      </c>
      <c r="H2310">
        <v>2026</v>
      </c>
      <c r="I2310">
        <v>2015</v>
      </c>
      <c r="J2310">
        <v>2.7</v>
      </c>
      <c r="K2310" t="s">
        <v>25</v>
      </c>
      <c r="L2310">
        <v>9.3000000000000007</v>
      </c>
      <c r="M2310">
        <v>10</v>
      </c>
      <c r="N2310">
        <v>3063</v>
      </c>
      <c r="O2310" t="s">
        <v>118</v>
      </c>
      <c r="P2310">
        <v>14.7</v>
      </c>
      <c r="Q2310" t="s">
        <v>79</v>
      </c>
      <c r="R2310">
        <v>15.9</v>
      </c>
      <c r="S2310">
        <v>10.7</v>
      </c>
      <c r="T2310">
        <v>6.6</v>
      </c>
      <c r="U2310">
        <v>9</v>
      </c>
      <c r="V2310">
        <v>7.9</v>
      </c>
      <c r="W2310">
        <v>5.9</v>
      </c>
      <c r="X2310" t="s">
        <v>116</v>
      </c>
    </row>
    <row r="2311" spans="2:24" x14ac:dyDescent="0.3">
      <c r="B2311" t="s">
        <v>2404</v>
      </c>
      <c r="C2311" t="s">
        <v>90</v>
      </c>
      <c r="D2311" t="s">
        <v>6</v>
      </c>
      <c r="E2311" t="s">
        <v>17</v>
      </c>
      <c r="F2311" t="s">
        <v>10</v>
      </c>
      <c r="G2311" t="s">
        <v>69</v>
      </c>
      <c r="H2311">
        <v>2025</v>
      </c>
      <c r="I2311">
        <v>4298</v>
      </c>
      <c r="J2311">
        <v>5.0999999999999996</v>
      </c>
      <c r="K2311" t="s">
        <v>23</v>
      </c>
      <c r="L2311">
        <v>2.6</v>
      </c>
      <c r="M2311">
        <v>3.6</v>
      </c>
      <c r="N2311">
        <v>5430</v>
      </c>
      <c r="O2311" t="s">
        <v>55</v>
      </c>
      <c r="P2311">
        <v>88.8</v>
      </c>
      <c r="Q2311" t="s">
        <v>84</v>
      </c>
      <c r="R2311">
        <v>-19.8</v>
      </c>
      <c r="S2311">
        <v>0</v>
      </c>
      <c r="T2311">
        <v>5.9</v>
      </c>
      <c r="U2311">
        <v>2.7</v>
      </c>
      <c r="V2311">
        <v>8.1</v>
      </c>
      <c r="W2311">
        <v>6.8</v>
      </c>
      <c r="X2311" t="s">
        <v>116</v>
      </c>
    </row>
    <row r="2312" spans="2:24" x14ac:dyDescent="0.3">
      <c r="B2312" t="s">
        <v>2405</v>
      </c>
      <c r="C2312" t="s">
        <v>137</v>
      </c>
      <c r="D2312" t="s">
        <v>4</v>
      </c>
      <c r="E2312" t="s">
        <v>18</v>
      </c>
      <c r="F2312" t="s">
        <v>11</v>
      </c>
      <c r="G2312" t="s">
        <v>69</v>
      </c>
      <c r="H2312">
        <v>2025</v>
      </c>
      <c r="I2312">
        <v>3649</v>
      </c>
      <c r="J2312">
        <v>10.9</v>
      </c>
      <c r="K2312" t="s">
        <v>25</v>
      </c>
      <c r="L2312">
        <v>2.5</v>
      </c>
      <c r="M2312">
        <v>2.6</v>
      </c>
      <c r="N2312">
        <v>301</v>
      </c>
      <c r="O2312" t="s">
        <v>75</v>
      </c>
      <c r="P2312">
        <v>20.3</v>
      </c>
      <c r="Q2312" t="s">
        <v>56</v>
      </c>
      <c r="R2312">
        <v>88.9</v>
      </c>
      <c r="S2312">
        <v>-16.8</v>
      </c>
      <c r="T2312">
        <v>-11.5</v>
      </c>
      <c r="U2312">
        <v>2.5</v>
      </c>
      <c r="V2312">
        <v>7</v>
      </c>
      <c r="W2312">
        <v>5.3</v>
      </c>
      <c r="X2312" t="s">
        <v>116</v>
      </c>
    </row>
    <row r="2313" spans="2:24" x14ac:dyDescent="0.3">
      <c r="B2313" t="s">
        <v>2406</v>
      </c>
      <c r="C2313" t="s">
        <v>92</v>
      </c>
      <c r="D2313" t="s">
        <v>7</v>
      </c>
      <c r="E2313" t="s">
        <v>17</v>
      </c>
      <c r="F2313" t="s">
        <v>11</v>
      </c>
      <c r="G2313" t="s">
        <v>60</v>
      </c>
      <c r="H2313">
        <v>2025</v>
      </c>
      <c r="I2313">
        <v>16956</v>
      </c>
      <c r="J2313">
        <v>26.9</v>
      </c>
      <c r="K2313" t="s">
        <v>24</v>
      </c>
      <c r="L2313">
        <v>3.3</v>
      </c>
      <c r="M2313">
        <v>8.1</v>
      </c>
      <c r="N2313">
        <v>448</v>
      </c>
      <c r="O2313" t="s">
        <v>75</v>
      </c>
      <c r="P2313">
        <v>37.799999999999997</v>
      </c>
      <c r="Q2313" t="s">
        <v>84</v>
      </c>
      <c r="R2313">
        <v>-18.8</v>
      </c>
      <c r="S2313">
        <v>27.6</v>
      </c>
      <c r="T2313">
        <v>11.8</v>
      </c>
      <c r="U2313">
        <v>2.2999999999999998</v>
      </c>
      <c r="V2313">
        <v>6</v>
      </c>
      <c r="W2313">
        <v>4.4000000000000004</v>
      </c>
      <c r="X2313" t="s">
        <v>66</v>
      </c>
    </row>
    <row r="2314" spans="2:24" x14ac:dyDescent="0.3">
      <c r="B2314" t="s">
        <v>2407</v>
      </c>
      <c r="C2314" t="s">
        <v>106</v>
      </c>
      <c r="D2314" t="s">
        <v>8</v>
      </c>
      <c r="E2314" t="s">
        <v>16</v>
      </c>
      <c r="F2314" t="s">
        <v>10</v>
      </c>
      <c r="G2314" t="s">
        <v>60</v>
      </c>
      <c r="H2314">
        <v>2025</v>
      </c>
      <c r="I2314">
        <v>14060</v>
      </c>
      <c r="J2314">
        <v>31.5</v>
      </c>
      <c r="K2314" t="s">
        <v>22</v>
      </c>
      <c r="L2314">
        <v>8.5</v>
      </c>
      <c r="M2314">
        <v>10</v>
      </c>
      <c r="N2314">
        <v>1435</v>
      </c>
      <c r="O2314" t="s">
        <v>64</v>
      </c>
      <c r="P2314">
        <v>46.9</v>
      </c>
      <c r="Q2314" t="s">
        <v>76</v>
      </c>
      <c r="R2314">
        <v>51.5</v>
      </c>
      <c r="S2314">
        <v>24.1</v>
      </c>
      <c r="T2314">
        <v>-6.6</v>
      </c>
      <c r="U2314">
        <v>6</v>
      </c>
      <c r="V2314">
        <v>5.4</v>
      </c>
      <c r="W2314">
        <v>3.2</v>
      </c>
      <c r="X2314" t="s">
        <v>66</v>
      </c>
    </row>
    <row r="2315" spans="2:24" x14ac:dyDescent="0.3">
      <c r="B2315" t="s">
        <v>2408</v>
      </c>
      <c r="C2315" t="s">
        <v>73</v>
      </c>
      <c r="D2315" t="s">
        <v>3</v>
      </c>
      <c r="E2315" t="s">
        <v>18</v>
      </c>
      <c r="F2315" t="s">
        <v>9</v>
      </c>
      <c r="G2315" t="s">
        <v>115</v>
      </c>
      <c r="H2315">
        <v>2025</v>
      </c>
      <c r="I2315">
        <v>1776</v>
      </c>
      <c r="J2315">
        <v>33</v>
      </c>
      <c r="K2315" t="s">
        <v>24</v>
      </c>
      <c r="L2315">
        <v>2.4</v>
      </c>
      <c r="M2315">
        <v>6.3</v>
      </c>
      <c r="N2315">
        <v>1747</v>
      </c>
      <c r="O2315" t="s">
        <v>75</v>
      </c>
      <c r="P2315">
        <v>12.4</v>
      </c>
      <c r="Q2315" t="s">
        <v>86</v>
      </c>
      <c r="R2315">
        <v>13.2</v>
      </c>
      <c r="S2315">
        <v>-24.8</v>
      </c>
      <c r="T2315">
        <v>-20.100000000000001</v>
      </c>
      <c r="U2315">
        <v>1.4</v>
      </c>
      <c r="V2315">
        <v>5.5</v>
      </c>
      <c r="W2315">
        <v>2.6</v>
      </c>
      <c r="X2315" t="s">
        <v>66</v>
      </c>
    </row>
    <row r="2316" spans="2:24" x14ac:dyDescent="0.3">
      <c r="B2316" t="s">
        <v>2409</v>
      </c>
      <c r="C2316" t="s">
        <v>106</v>
      </c>
      <c r="D2316" t="s">
        <v>7</v>
      </c>
      <c r="E2316" t="s">
        <v>14</v>
      </c>
      <c r="F2316" t="s">
        <v>10</v>
      </c>
      <c r="G2316" t="s">
        <v>112</v>
      </c>
      <c r="H2316">
        <v>2024</v>
      </c>
      <c r="I2316">
        <v>2748</v>
      </c>
      <c r="J2316">
        <v>3.2</v>
      </c>
      <c r="K2316" t="s">
        <v>23</v>
      </c>
      <c r="L2316">
        <v>5.0999999999999996</v>
      </c>
      <c r="M2316">
        <v>3.6</v>
      </c>
      <c r="N2316">
        <v>3914</v>
      </c>
      <c r="O2316" t="s">
        <v>55</v>
      </c>
      <c r="P2316">
        <v>37.9</v>
      </c>
      <c r="Q2316" t="s">
        <v>86</v>
      </c>
      <c r="R2316">
        <v>39.299999999999997</v>
      </c>
      <c r="S2316">
        <v>19.7</v>
      </c>
      <c r="T2316">
        <v>1.6</v>
      </c>
      <c r="U2316">
        <v>3.6</v>
      </c>
      <c r="V2316">
        <v>7.6</v>
      </c>
      <c r="W2316">
        <v>7.2</v>
      </c>
      <c r="X2316" t="s">
        <v>116</v>
      </c>
    </row>
    <row r="2317" spans="2:24" x14ac:dyDescent="0.3">
      <c r="B2317" t="s">
        <v>2410</v>
      </c>
      <c r="C2317" t="s">
        <v>90</v>
      </c>
      <c r="D2317" t="s">
        <v>6</v>
      </c>
      <c r="E2317" t="s">
        <v>17</v>
      </c>
      <c r="F2317" t="s">
        <v>11</v>
      </c>
      <c r="G2317" t="s">
        <v>78</v>
      </c>
      <c r="H2317">
        <v>2024</v>
      </c>
      <c r="I2317">
        <v>815</v>
      </c>
      <c r="J2317">
        <v>17</v>
      </c>
      <c r="K2317" t="s">
        <v>21</v>
      </c>
      <c r="L2317">
        <v>3.6</v>
      </c>
      <c r="M2317">
        <v>7.9</v>
      </c>
      <c r="N2317">
        <v>2473</v>
      </c>
      <c r="O2317" t="s">
        <v>64</v>
      </c>
      <c r="P2317">
        <v>29.7</v>
      </c>
      <c r="Q2317" t="s">
        <v>86</v>
      </c>
      <c r="R2317">
        <v>76.8</v>
      </c>
      <c r="S2317">
        <v>23</v>
      </c>
      <c r="T2317">
        <v>-2.6</v>
      </c>
      <c r="U2317">
        <v>4.8</v>
      </c>
      <c r="V2317">
        <v>7</v>
      </c>
      <c r="W2317">
        <v>4.8</v>
      </c>
      <c r="X2317" t="s">
        <v>116</v>
      </c>
    </row>
    <row r="2318" spans="2:24" x14ac:dyDescent="0.3">
      <c r="B2318" t="s">
        <v>2411</v>
      </c>
      <c r="C2318" t="s">
        <v>81</v>
      </c>
      <c r="D2318" t="s">
        <v>5</v>
      </c>
      <c r="E2318" t="s">
        <v>15</v>
      </c>
      <c r="F2318" t="s">
        <v>12</v>
      </c>
      <c r="G2318" t="s">
        <v>115</v>
      </c>
      <c r="H2318">
        <v>2024</v>
      </c>
      <c r="I2318">
        <v>1300</v>
      </c>
      <c r="J2318">
        <v>25.4</v>
      </c>
      <c r="K2318" t="s">
        <v>22</v>
      </c>
      <c r="L2318">
        <v>8</v>
      </c>
      <c r="M2318">
        <v>10</v>
      </c>
      <c r="N2318">
        <v>172</v>
      </c>
      <c r="O2318" t="s">
        <v>64</v>
      </c>
      <c r="P2318">
        <v>22.6</v>
      </c>
      <c r="Q2318" t="s">
        <v>65</v>
      </c>
      <c r="R2318">
        <v>-28</v>
      </c>
      <c r="S2318">
        <v>28.3</v>
      </c>
      <c r="T2318">
        <v>17.399999999999999</v>
      </c>
      <c r="U2318">
        <v>8.5</v>
      </c>
      <c r="V2318">
        <v>6.1</v>
      </c>
      <c r="W2318">
        <v>3.6</v>
      </c>
      <c r="X2318" t="s">
        <v>66</v>
      </c>
    </row>
    <row r="2319" spans="2:24" x14ac:dyDescent="0.3">
      <c r="B2319" t="s">
        <v>2412</v>
      </c>
      <c r="C2319" t="s">
        <v>83</v>
      </c>
      <c r="D2319" t="s">
        <v>4</v>
      </c>
      <c r="E2319" t="s">
        <v>15</v>
      </c>
      <c r="F2319" t="s">
        <v>12</v>
      </c>
      <c r="G2319" t="s">
        <v>63</v>
      </c>
      <c r="H2319">
        <v>2024</v>
      </c>
      <c r="I2319">
        <v>833</v>
      </c>
      <c r="J2319">
        <v>6.2</v>
      </c>
      <c r="K2319" t="s">
        <v>21</v>
      </c>
      <c r="L2319">
        <v>7.1</v>
      </c>
      <c r="M2319">
        <v>9.8000000000000007</v>
      </c>
      <c r="N2319">
        <v>696</v>
      </c>
      <c r="O2319" t="s">
        <v>55</v>
      </c>
      <c r="P2319">
        <v>17.5</v>
      </c>
      <c r="Q2319" t="s">
        <v>86</v>
      </c>
      <c r="R2319">
        <v>46.6</v>
      </c>
      <c r="S2319">
        <v>-13.1</v>
      </c>
      <c r="T2319">
        <v>2.7</v>
      </c>
      <c r="U2319">
        <v>8.4</v>
      </c>
      <c r="V2319">
        <v>5.8</v>
      </c>
      <c r="W2319">
        <v>5.5</v>
      </c>
      <c r="X2319" t="s">
        <v>57</v>
      </c>
    </row>
    <row r="2320" spans="2:24" x14ac:dyDescent="0.3">
      <c r="B2320" t="s">
        <v>2413</v>
      </c>
      <c r="C2320" t="s">
        <v>106</v>
      </c>
      <c r="D2320" t="s">
        <v>4</v>
      </c>
      <c r="E2320" t="s">
        <v>15</v>
      </c>
      <c r="F2320" t="s">
        <v>11</v>
      </c>
      <c r="G2320" t="s">
        <v>60</v>
      </c>
      <c r="H2320">
        <v>2025</v>
      </c>
      <c r="I2320">
        <v>1731</v>
      </c>
      <c r="J2320">
        <v>7.5</v>
      </c>
      <c r="K2320" t="s">
        <v>23</v>
      </c>
      <c r="L2320">
        <v>11.3</v>
      </c>
      <c r="M2320">
        <v>10</v>
      </c>
      <c r="N2320">
        <v>3752</v>
      </c>
      <c r="O2320" t="s">
        <v>55</v>
      </c>
      <c r="P2320">
        <v>57</v>
      </c>
      <c r="Q2320" t="s">
        <v>79</v>
      </c>
      <c r="R2320">
        <v>-44</v>
      </c>
      <c r="S2320">
        <v>29.1</v>
      </c>
      <c r="T2320">
        <v>20</v>
      </c>
      <c r="U2320">
        <v>7.3</v>
      </c>
      <c r="V2320">
        <v>8.9</v>
      </c>
      <c r="W2320">
        <v>6.5</v>
      </c>
      <c r="X2320" t="s">
        <v>116</v>
      </c>
    </row>
    <row r="2321" spans="2:24" x14ac:dyDescent="0.3">
      <c r="B2321" t="s">
        <v>2414</v>
      </c>
      <c r="C2321" t="s">
        <v>71</v>
      </c>
      <c r="D2321" t="s">
        <v>5</v>
      </c>
      <c r="E2321" t="s">
        <v>14</v>
      </c>
      <c r="F2321" t="s">
        <v>9</v>
      </c>
      <c r="G2321" t="s">
        <v>60</v>
      </c>
      <c r="H2321">
        <v>2025</v>
      </c>
      <c r="I2321">
        <v>5618</v>
      </c>
      <c r="J2321">
        <v>4.9000000000000004</v>
      </c>
      <c r="K2321" t="s">
        <v>21</v>
      </c>
      <c r="L2321">
        <v>9.5</v>
      </c>
      <c r="M2321">
        <v>9</v>
      </c>
      <c r="N2321">
        <v>699</v>
      </c>
      <c r="O2321" t="s">
        <v>55</v>
      </c>
      <c r="P2321">
        <v>41.6</v>
      </c>
      <c r="Q2321" t="s">
        <v>56</v>
      </c>
      <c r="R2321">
        <v>67.599999999999994</v>
      </c>
      <c r="S2321">
        <v>-11.3</v>
      </c>
      <c r="T2321">
        <v>2.6</v>
      </c>
      <c r="U2321">
        <v>8.6</v>
      </c>
      <c r="V2321">
        <v>4.9000000000000004</v>
      </c>
      <c r="W2321">
        <v>5.9</v>
      </c>
      <c r="X2321" t="s">
        <v>116</v>
      </c>
    </row>
    <row r="2322" spans="2:24" x14ac:dyDescent="0.3">
      <c r="B2322" t="s">
        <v>2415</v>
      </c>
      <c r="C2322" t="s">
        <v>62</v>
      </c>
      <c r="D2322" t="s">
        <v>2</v>
      </c>
      <c r="E2322" t="s">
        <v>15</v>
      </c>
      <c r="F2322" t="s">
        <v>12</v>
      </c>
      <c r="G2322" t="s">
        <v>98</v>
      </c>
      <c r="H2322">
        <v>2025</v>
      </c>
      <c r="I2322">
        <v>1876</v>
      </c>
      <c r="J2322">
        <v>8.3000000000000007</v>
      </c>
      <c r="K2322" t="s">
        <v>22</v>
      </c>
      <c r="L2322">
        <v>9.4</v>
      </c>
      <c r="M2322">
        <v>9.9</v>
      </c>
      <c r="N2322">
        <v>5086</v>
      </c>
      <c r="O2322" t="s">
        <v>55</v>
      </c>
      <c r="P2322">
        <v>10.8</v>
      </c>
      <c r="Q2322" t="s">
        <v>76</v>
      </c>
      <c r="R2322">
        <v>29.4</v>
      </c>
      <c r="S2322">
        <v>4.7</v>
      </c>
      <c r="T2322">
        <v>9.4</v>
      </c>
      <c r="U2322">
        <v>6.6</v>
      </c>
      <c r="V2322">
        <v>7.2</v>
      </c>
      <c r="W2322">
        <v>4.5999999999999996</v>
      </c>
      <c r="X2322" t="s">
        <v>57</v>
      </c>
    </row>
    <row r="2323" spans="2:24" x14ac:dyDescent="0.3">
      <c r="B2323" t="s">
        <v>2416</v>
      </c>
      <c r="C2323" t="s">
        <v>137</v>
      </c>
      <c r="D2323" t="s">
        <v>3</v>
      </c>
      <c r="E2323" t="s">
        <v>16</v>
      </c>
      <c r="F2323" t="s">
        <v>9</v>
      </c>
      <c r="G2323" t="s">
        <v>69</v>
      </c>
      <c r="H2323">
        <v>2026</v>
      </c>
      <c r="I2323">
        <v>1906</v>
      </c>
      <c r="J2323">
        <v>9.3000000000000007</v>
      </c>
      <c r="K2323" t="s">
        <v>25</v>
      </c>
      <c r="L2323">
        <v>3.4</v>
      </c>
      <c r="M2323">
        <v>4.5999999999999996</v>
      </c>
      <c r="N2323">
        <v>5026</v>
      </c>
      <c r="O2323" t="s">
        <v>64</v>
      </c>
      <c r="P2323">
        <v>54.5</v>
      </c>
      <c r="Q2323" t="s">
        <v>88</v>
      </c>
      <c r="R2323">
        <v>-44.6</v>
      </c>
      <c r="S2323">
        <v>51.1</v>
      </c>
      <c r="T2323">
        <v>25.7</v>
      </c>
      <c r="U2323">
        <v>2.2999999999999998</v>
      </c>
      <c r="V2323">
        <v>9.6</v>
      </c>
      <c r="W2323">
        <v>8</v>
      </c>
      <c r="X2323" t="s">
        <v>116</v>
      </c>
    </row>
    <row r="2324" spans="2:24" x14ac:dyDescent="0.3">
      <c r="B2324" t="s">
        <v>2417</v>
      </c>
      <c r="C2324" t="s">
        <v>142</v>
      </c>
      <c r="D2324" t="s">
        <v>8</v>
      </c>
      <c r="E2324" t="s">
        <v>16</v>
      </c>
      <c r="F2324" t="s">
        <v>11</v>
      </c>
      <c r="G2324" t="s">
        <v>98</v>
      </c>
      <c r="H2324">
        <v>2025</v>
      </c>
      <c r="I2324">
        <v>495</v>
      </c>
      <c r="J2324">
        <v>4.5</v>
      </c>
      <c r="K2324" t="s">
        <v>23</v>
      </c>
      <c r="L2324">
        <v>7.2</v>
      </c>
      <c r="M2324">
        <v>9.1999999999999993</v>
      </c>
      <c r="N2324">
        <v>3885</v>
      </c>
      <c r="O2324" t="s">
        <v>55</v>
      </c>
      <c r="P2324">
        <v>65.599999999999994</v>
      </c>
      <c r="Q2324" t="s">
        <v>65</v>
      </c>
      <c r="R2324">
        <v>34.799999999999997</v>
      </c>
      <c r="S2324">
        <v>11.6</v>
      </c>
      <c r="T2324">
        <v>0.2</v>
      </c>
      <c r="U2324">
        <v>7.2</v>
      </c>
      <c r="V2324">
        <v>5.4</v>
      </c>
      <c r="W2324">
        <v>6.6</v>
      </c>
      <c r="X2324" t="s">
        <v>57</v>
      </c>
    </row>
    <row r="2325" spans="2:24" x14ac:dyDescent="0.3">
      <c r="B2325" t="s">
        <v>2418</v>
      </c>
      <c r="C2325" t="s">
        <v>68</v>
      </c>
      <c r="D2325" t="s">
        <v>8</v>
      </c>
      <c r="E2325" t="s">
        <v>17</v>
      </c>
      <c r="F2325" t="s">
        <v>12</v>
      </c>
      <c r="G2325" t="s">
        <v>112</v>
      </c>
      <c r="H2325">
        <v>2026</v>
      </c>
      <c r="I2325">
        <v>983</v>
      </c>
      <c r="J2325">
        <v>8.9</v>
      </c>
      <c r="K2325" t="s">
        <v>21</v>
      </c>
      <c r="L2325">
        <v>9.9</v>
      </c>
      <c r="M2325">
        <v>4.9000000000000004</v>
      </c>
      <c r="N2325">
        <v>5654</v>
      </c>
      <c r="O2325" t="s">
        <v>118</v>
      </c>
      <c r="P2325">
        <v>88.3</v>
      </c>
      <c r="Q2325" t="s">
        <v>76</v>
      </c>
      <c r="R2325">
        <v>-18.899999999999999</v>
      </c>
      <c r="S2325">
        <v>19.7</v>
      </c>
      <c r="T2325">
        <v>3.1</v>
      </c>
      <c r="U2325">
        <v>7.4</v>
      </c>
      <c r="V2325">
        <v>8.4</v>
      </c>
      <c r="W2325">
        <v>5.8</v>
      </c>
      <c r="X2325" t="s">
        <v>116</v>
      </c>
    </row>
    <row r="2326" spans="2:24" x14ac:dyDescent="0.3">
      <c r="B2326" t="s">
        <v>2419</v>
      </c>
      <c r="C2326" t="s">
        <v>59</v>
      </c>
      <c r="D2326" t="s">
        <v>4</v>
      </c>
      <c r="E2326" t="s">
        <v>17</v>
      </c>
      <c r="F2326" t="s">
        <v>9</v>
      </c>
      <c r="G2326" t="s">
        <v>60</v>
      </c>
      <c r="H2326">
        <v>2025</v>
      </c>
      <c r="I2326">
        <v>4005</v>
      </c>
      <c r="J2326">
        <v>2.2999999999999998</v>
      </c>
      <c r="K2326" t="s">
        <v>23</v>
      </c>
      <c r="L2326">
        <v>9.1</v>
      </c>
      <c r="M2326">
        <v>6.6</v>
      </c>
      <c r="N2326">
        <v>3524</v>
      </c>
      <c r="O2326" t="s">
        <v>55</v>
      </c>
      <c r="P2326">
        <v>74.8</v>
      </c>
      <c r="Q2326" t="s">
        <v>65</v>
      </c>
      <c r="R2326">
        <v>44.5</v>
      </c>
      <c r="S2326">
        <v>11.3</v>
      </c>
      <c r="T2326">
        <v>15.6</v>
      </c>
      <c r="U2326">
        <v>7.3</v>
      </c>
      <c r="V2326">
        <v>8.5</v>
      </c>
      <c r="W2326">
        <v>6.3</v>
      </c>
      <c r="X2326" t="s">
        <v>116</v>
      </c>
    </row>
    <row r="2327" spans="2:24" x14ac:dyDescent="0.3">
      <c r="B2327" t="s">
        <v>2420</v>
      </c>
      <c r="C2327" t="s">
        <v>73</v>
      </c>
      <c r="D2327" t="s">
        <v>3</v>
      </c>
      <c r="E2327" t="s">
        <v>17</v>
      </c>
      <c r="F2327" t="s">
        <v>12</v>
      </c>
      <c r="G2327" t="s">
        <v>104</v>
      </c>
      <c r="H2327">
        <v>2024</v>
      </c>
      <c r="I2327">
        <v>10546</v>
      </c>
      <c r="J2327">
        <v>8.8000000000000007</v>
      </c>
      <c r="K2327" t="s">
        <v>23</v>
      </c>
      <c r="L2327">
        <v>3.4</v>
      </c>
      <c r="M2327">
        <v>4.0999999999999996</v>
      </c>
      <c r="N2327">
        <v>273</v>
      </c>
      <c r="O2327" t="s">
        <v>64</v>
      </c>
      <c r="P2327">
        <v>56.2</v>
      </c>
      <c r="Q2327" t="s">
        <v>76</v>
      </c>
      <c r="R2327">
        <v>-41.8</v>
      </c>
      <c r="S2327">
        <v>10.3</v>
      </c>
      <c r="T2327">
        <v>4.0999999999999996</v>
      </c>
      <c r="U2327">
        <v>4.9000000000000004</v>
      </c>
      <c r="V2327">
        <v>5.5</v>
      </c>
      <c r="W2327">
        <v>6.3</v>
      </c>
      <c r="X2327" t="s">
        <v>66</v>
      </c>
    </row>
    <row r="2328" spans="2:24" x14ac:dyDescent="0.3">
      <c r="B2328" t="s">
        <v>2421</v>
      </c>
      <c r="C2328" t="s">
        <v>27</v>
      </c>
      <c r="D2328" t="s">
        <v>2</v>
      </c>
      <c r="E2328" t="s">
        <v>16</v>
      </c>
      <c r="F2328" t="s">
        <v>9</v>
      </c>
      <c r="G2328" t="s">
        <v>78</v>
      </c>
      <c r="H2328">
        <v>2024</v>
      </c>
      <c r="I2328">
        <v>5725</v>
      </c>
      <c r="J2328">
        <v>17.600000000000001</v>
      </c>
      <c r="K2328" t="s">
        <v>21</v>
      </c>
      <c r="L2328">
        <v>8.4</v>
      </c>
      <c r="M2328">
        <v>10</v>
      </c>
      <c r="N2328">
        <v>5840</v>
      </c>
      <c r="O2328" t="s">
        <v>55</v>
      </c>
      <c r="P2328">
        <v>27.8</v>
      </c>
      <c r="Q2328" t="s">
        <v>76</v>
      </c>
      <c r="R2328">
        <v>-15.4</v>
      </c>
      <c r="S2328">
        <v>-10.1</v>
      </c>
      <c r="T2328">
        <v>-7.7</v>
      </c>
      <c r="U2328">
        <v>6.6</v>
      </c>
      <c r="V2328">
        <v>3.5</v>
      </c>
      <c r="W2328">
        <v>4.2</v>
      </c>
      <c r="X2328" t="s">
        <v>116</v>
      </c>
    </row>
    <row r="2329" spans="2:24" x14ac:dyDescent="0.3">
      <c r="B2329" t="s">
        <v>2422</v>
      </c>
      <c r="C2329" t="s">
        <v>137</v>
      </c>
      <c r="D2329" t="s">
        <v>4</v>
      </c>
      <c r="E2329" t="s">
        <v>18</v>
      </c>
      <c r="F2329" t="s">
        <v>9</v>
      </c>
      <c r="G2329" t="s">
        <v>104</v>
      </c>
      <c r="H2329">
        <v>2024</v>
      </c>
      <c r="I2329">
        <v>2612</v>
      </c>
      <c r="J2329">
        <v>17.100000000000001</v>
      </c>
      <c r="K2329" t="s">
        <v>24</v>
      </c>
      <c r="L2329">
        <v>8.6999999999999993</v>
      </c>
      <c r="M2329">
        <v>10</v>
      </c>
      <c r="N2329">
        <v>5282</v>
      </c>
      <c r="O2329" t="s">
        <v>55</v>
      </c>
      <c r="P2329">
        <v>48.8</v>
      </c>
      <c r="Q2329" t="s">
        <v>88</v>
      </c>
      <c r="R2329">
        <v>75.5</v>
      </c>
      <c r="S2329">
        <v>55.6</v>
      </c>
      <c r="T2329">
        <v>28.4</v>
      </c>
      <c r="U2329">
        <v>5.2</v>
      </c>
      <c r="V2329">
        <v>7.1</v>
      </c>
      <c r="W2329">
        <v>5.4</v>
      </c>
      <c r="X2329" t="s">
        <v>116</v>
      </c>
    </row>
    <row r="2330" spans="2:24" x14ac:dyDescent="0.3">
      <c r="B2330" t="s">
        <v>2423</v>
      </c>
      <c r="C2330" t="s">
        <v>90</v>
      </c>
      <c r="D2330" t="s">
        <v>2</v>
      </c>
      <c r="E2330" t="s">
        <v>18</v>
      </c>
      <c r="F2330" t="s">
        <v>10</v>
      </c>
      <c r="G2330" t="s">
        <v>74</v>
      </c>
      <c r="H2330">
        <v>2025</v>
      </c>
      <c r="I2330">
        <v>1229</v>
      </c>
      <c r="J2330">
        <v>1.1000000000000001</v>
      </c>
      <c r="K2330" t="s">
        <v>23</v>
      </c>
      <c r="L2330">
        <v>9.1999999999999993</v>
      </c>
      <c r="M2330">
        <v>6.5</v>
      </c>
      <c r="N2330">
        <v>7448</v>
      </c>
      <c r="O2330" t="s">
        <v>55</v>
      </c>
      <c r="P2330">
        <v>44.1</v>
      </c>
      <c r="Q2330" t="s">
        <v>76</v>
      </c>
      <c r="R2330">
        <v>87.2</v>
      </c>
      <c r="S2330">
        <v>33.6</v>
      </c>
      <c r="T2330">
        <v>8.6999999999999993</v>
      </c>
      <c r="U2330">
        <v>5.8</v>
      </c>
      <c r="V2330">
        <v>9.1</v>
      </c>
      <c r="W2330">
        <v>7.2</v>
      </c>
      <c r="X2330" t="s">
        <v>57</v>
      </c>
    </row>
    <row r="2331" spans="2:24" x14ac:dyDescent="0.3">
      <c r="B2331" t="s">
        <v>2424</v>
      </c>
      <c r="C2331" t="s">
        <v>59</v>
      </c>
      <c r="D2331" t="s">
        <v>4</v>
      </c>
      <c r="E2331" t="s">
        <v>15</v>
      </c>
      <c r="F2331" t="s">
        <v>11</v>
      </c>
      <c r="G2331" t="s">
        <v>131</v>
      </c>
      <c r="H2331">
        <v>2024</v>
      </c>
      <c r="I2331">
        <v>4067</v>
      </c>
      <c r="J2331">
        <v>8</v>
      </c>
      <c r="K2331" t="s">
        <v>24</v>
      </c>
      <c r="L2331">
        <v>10.5</v>
      </c>
      <c r="M2331">
        <v>6.5</v>
      </c>
      <c r="N2331">
        <v>2886</v>
      </c>
      <c r="O2331" t="s">
        <v>64</v>
      </c>
      <c r="P2331">
        <v>27</v>
      </c>
      <c r="Q2331" t="s">
        <v>65</v>
      </c>
      <c r="R2331">
        <v>25.2</v>
      </c>
      <c r="S2331">
        <v>-15.3</v>
      </c>
      <c r="T2331">
        <v>-1</v>
      </c>
      <c r="U2331">
        <v>6.5</v>
      </c>
      <c r="V2331">
        <v>7.5</v>
      </c>
      <c r="W2331">
        <v>6</v>
      </c>
      <c r="X2331" t="s">
        <v>116</v>
      </c>
    </row>
    <row r="2332" spans="2:24" x14ac:dyDescent="0.3">
      <c r="B2332" t="s">
        <v>2425</v>
      </c>
      <c r="C2332" t="s">
        <v>137</v>
      </c>
      <c r="D2332" t="s">
        <v>3</v>
      </c>
      <c r="E2332" t="s">
        <v>14</v>
      </c>
      <c r="F2332" t="s">
        <v>10</v>
      </c>
      <c r="G2332" t="s">
        <v>54</v>
      </c>
      <c r="H2332">
        <v>2026</v>
      </c>
      <c r="I2332">
        <v>4568</v>
      </c>
      <c r="J2332">
        <v>7.9</v>
      </c>
      <c r="K2332" t="s">
        <v>21</v>
      </c>
      <c r="L2332">
        <v>3.5</v>
      </c>
      <c r="M2332">
        <v>6.8</v>
      </c>
      <c r="N2332">
        <v>2602</v>
      </c>
      <c r="O2332" t="s">
        <v>64</v>
      </c>
      <c r="P2332">
        <v>13.8</v>
      </c>
      <c r="Q2332" t="s">
        <v>79</v>
      </c>
      <c r="R2332">
        <v>8.9</v>
      </c>
      <c r="S2332">
        <v>52.7</v>
      </c>
      <c r="T2332">
        <v>23.8</v>
      </c>
      <c r="U2332">
        <v>5.7</v>
      </c>
      <c r="V2332">
        <v>8.6999999999999993</v>
      </c>
      <c r="W2332">
        <v>7.5</v>
      </c>
      <c r="X2332" t="s">
        <v>116</v>
      </c>
    </row>
    <row r="2333" spans="2:24" x14ac:dyDescent="0.3">
      <c r="B2333" t="s">
        <v>2426</v>
      </c>
      <c r="C2333" t="s">
        <v>90</v>
      </c>
      <c r="D2333" t="s">
        <v>3</v>
      </c>
      <c r="E2333" t="s">
        <v>15</v>
      </c>
      <c r="F2333" t="s">
        <v>12</v>
      </c>
      <c r="G2333" t="s">
        <v>101</v>
      </c>
      <c r="H2333">
        <v>2024</v>
      </c>
      <c r="I2333">
        <v>3979</v>
      </c>
      <c r="J2333">
        <v>10.4</v>
      </c>
      <c r="K2333" t="s">
        <v>24</v>
      </c>
      <c r="L2333">
        <v>6.3</v>
      </c>
      <c r="M2333">
        <v>6.2</v>
      </c>
      <c r="N2333">
        <v>5230</v>
      </c>
      <c r="O2333" t="s">
        <v>64</v>
      </c>
      <c r="P2333">
        <v>54.9</v>
      </c>
      <c r="Q2333" t="s">
        <v>76</v>
      </c>
      <c r="R2333">
        <v>33.9</v>
      </c>
      <c r="S2333">
        <v>40.700000000000003</v>
      </c>
      <c r="T2333">
        <v>8.3000000000000007</v>
      </c>
      <c r="U2333">
        <v>4.0999999999999996</v>
      </c>
      <c r="V2333">
        <v>7.2</v>
      </c>
      <c r="W2333">
        <v>7.7</v>
      </c>
      <c r="X2333" t="s">
        <v>116</v>
      </c>
    </row>
    <row r="2334" spans="2:24" x14ac:dyDescent="0.3">
      <c r="B2334" t="s">
        <v>2427</v>
      </c>
      <c r="C2334" t="s">
        <v>94</v>
      </c>
      <c r="D2334" t="s">
        <v>6</v>
      </c>
      <c r="E2334" t="s">
        <v>19</v>
      </c>
      <c r="F2334" t="s">
        <v>12</v>
      </c>
      <c r="G2334" t="s">
        <v>104</v>
      </c>
      <c r="H2334">
        <v>2026</v>
      </c>
      <c r="I2334">
        <v>3154</v>
      </c>
      <c r="J2334">
        <v>10.1</v>
      </c>
      <c r="K2334" t="s">
        <v>21</v>
      </c>
      <c r="L2334">
        <v>8</v>
      </c>
      <c r="M2334">
        <v>10</v>
      </c>
      <c r="N2334">
        <v>1277</v>
      </c>
      <c r="O2334" t="s">
        <v>64</v>
      </c>
      <c r="P2334">
        <v>33.200000000000003</v>
      </c>
      <c r="Q2334" t="s">
        <v>125</v>
      </c>
      <c r="R2334">
        <v>79.599999999999994</v>
      </c>
      <c r="S2334">
        <v>4.5999999999999996</v>
      </c>
      <c r="T2334">
        <v>1.8</v>
      </c>
      <c r="U2334">
        <v>9.6</v>
      </c>
      <c r="V2334">
        <v>6</v>
      </c>
      <c r="W2334">
        <v>4.4000000000000004</v>
      </c>
      <c r="X2334" t="s">
        <v>66</v>
      </c>
    </row>
    <row r="2335" spans="2:24" x14ac:dyDescent="0.3">
      <c r="B2335" t="s">
        <v>2428</v>
      </c>
      <c r="C2335" t="s">
        <v>53</v>
      </c>
      <c r="D2335" t="s">
        <v>2</v>
      </c>
      <c r="E2335" t="s">
        <v>16</v>
      </c>
      <c r="F2335" t="s">
        <v>12</v>
      </c>
      <c r="G2335" t="s">
        <v>101</v>
      </c>
      <c r="H2335">
        <v>2026</v>
      </c>
      <c r="I2335">
        <v>4339</v>
      </c>
      <c r="J2335">
        <v>15.9</v>
      </c>
      <c r="K2335" t="s">
        <v>23</v>
      </c>
      <c r="L2335">
        <v>2.5</v>
      </c>
      <c r="M2335">
        <v>5.0999999999999996</v>
      </c>
      <c r="N2335">
        <v>6088</v>
      </c>
      <c r="O2335" t="s">
        <v>64</v>
      </c>
      <c r="P2335">
        <v>37.299999999999997</v>
      </c>
      <c r="Q2335" t="s">
        <v>56</v>
      </c>
      <c r="R2335">
        <v>48.3</v>
      </c>
      <c r="S2335">
        <v>6.7</v>
      </c>
      <c r="T2335">
        <v>-10.7</v>
      </c>
      <c r="U2335">
        <v>1.6</v>
      </c>
      <c r="V2335">
        <v>4.3</v>
      </c>
      <c r="W2335">
        <v>5.6</v>
      </c>
      <c r="X2335" t="s">
        <v>116</v>
      </c>
    </row>
    <row r="2336" spans="2:24" x14ac:dyDescent="0.3">
      <c r="B2336" t="s">
        <v>2429</v>
      </c>
      <c r="C2336" t="s">
        <v>27</v>
      </c>
      <c r="D2336" t="s">
        <v>2</v>
      </c>
      <c r="E2336" t="s">
        <v>19</v>
      </c>
      <c r="F2336" t="s">
        <v>12</v>
      </c>
      <c r="G2336" t="s">
        <v>101</v>
      </c>
      <c r="H2336">
        <v>2025</v>
      </c>
      <c r="I2336">
        <v>15359</v>
      </c>
      <c r="J2336">
        <v>17.8</v>
      </c>
      <c r="K2336" t="s">
        <v>24</v>
      </c>
      <c r="L2336">
        <v>8.4</v>
      </c>
      <c r="M2336">
        <v>10</v>
      </c>
      <c r="N2336">
        <v>5020</v>
      </c>
      <c r="O2336" t="s">
        <v>55</v>
      </c>
      <c r="P2336">
        <v>63.4</v>
      </c>
      <c r="Q2336" t="s">
        <v>56</v>
      </c>
      <c r="R2336">
        <v>-6.4</v>
      </c>
      <c r="S2336">
        <v>59.7</v>
      </c>
      <c r="T2336">
        <v>12.8</v>
      </c>
      <c r="U2336">
        <v>6</v>
      </c>
      <c r="V2336">
        <v>8.5</v>
      </c>
      <c r="W2336">
        <v>5.5</v>
      </c>
      <c r="X2336" t="s">
        <v>66</v>
      </c>
    </row>
    <row r="2337" spans="2:24" x14ac:dyDescent="0.3">
      <c r="B2337" t="s">
        <v>2430</v>
      </c>
      <c r="C2337" t="s">
        <v>71</v>
      </c>
      <c r="D2337" t="s">
        <v>6</v>
      </c>
      <c r="E2337" t="s">
        <v>14</v>
      </c>
      <c r="F2337" t="s">
        <v>12</v>
      </c>
      <c r="G2337" t="s">
        <v>98</v>
      </c>
      <c r="H2337">
        <v>2024</v>
      </c>
      <c r="I2337">
        <v>3464</v>
      </c>
      <c r="J2337">
        <v>9.1999999999999993</v>
      </c>
      <c r="K2337" t="s">
        <v>21</v>
      </c>
      <c r="L2337">
        <v>2.6</v>
      </c>
      <c r="M2337">
        <v>5.2</v>
      </c>
      <c r="N2337">
        <v>5618</v>
      </c>
      <c r="O2337" t="s">
        <v>55</v>
      </c>
      <c r="P2337">
        <v>64.400000000000006</v>
      </c>
      <c r="Q2337" t="s">
        <v>76</v>
      </c>
      <c r="R2337">
        <v>40.9</v>
      </c>
      <c r="S2337">
        <v>39.6</v>
      </c>
      <c r="T2337">
        <v>7.5</v>
      </c>
      <c r="U2337">
        <v>2</v>
      </c>
      <c r="V2337">
        <v>9.4</v>
      </c>
      <c r="W2337">
        <v>7.3</v>
      </c>
      <c r="X2337" t="s">
        <v>116</v>
      </c>
    </row>
    <row r="2338" spans="2:24" x14ac:dyDescent="0.3">
      <c r="B2338" t="s">
        <v>2431</v>
      </c>
      <c r="C2338" t="s">
        <v>73</v>
      </c>
      <c r="D2338" t="s">
        <v>3</v>
      </c>
      <c r="E2338" t="s">
        <v>19</v>
      </c>
      <c r="F2338" t="s">
        <v>12</v>
      </c>
      <c r="G2338" t="s">
        <v>98</v>
      </c>
      <c r="H2338">
        <v>2024</v>
      </c>
      <c r="I2338">
        <v>18704</v>
      </c>
      <c r="J2338">
        <v>15.7</v>
      </c>
      <c r="K2338" t="s">
        <v>25</v>
      </c>
      <c r="L2338">
        <v>5.7</v>
      </c>
      <c r="M2338">
        <v>6.4</v>
      </c>
      <c r="N2338">
        <v>1183</v>
      </c>
      <c r="O2338" t="s">
        <v>64</v>
      </c>
      <c r="P2338">
        <v>36.1</v>
      </c>
      <c r="Q2338" t="s">
        <v>56</v>
      </c>
      <c r="R2338">
        <v>31.1</v>
      </c>
      <c r="S2338">
        <v>-9.6999999999999993</v>
      </c>
      <c r="T2338">
        <v>-12.7</v>
      </c>
      <c r="U2338">
        <v>8.8000000000000007</v>
      </c>
      <c r="V2338">
        <v>3.5</v>
      </c>
      <c r="W2338">
        <v>5.8</v>
      </c>
      <c r="X2338" t="s">
        <v>66</v>
      </c>
    </row>
    <row r="2339" spans="2:24" x14ac:dyDescent="0.3">
      <c r="B2339" t="s">
        <v>2432</v>
      </c>
      <c r="C2339" t="s">
        <v>90</v>
      </c>
      <c r="D2339" t="s">
        <v>2</v>
      </c>
      <c r="E2339" t="s">
        <v>15</v>
      </c>
      <c r="F2339" t="s">
        <v>9</v>
      </c>
      <c r="G2339" t="s">
        <v>69</v>
      </c>
      <c r="H2339">
        <v>2026</v>
      </c>
      <c r="I2339">
        <v>2204</v>
      </c>
      <c r="J2339">
        <v>2.9</v>
      </c>
      <c r="K2339" t="s">
        <v>24</v>
      </c>
      <c r="L2339">
        <v>12.3</v>
      </c>
      <c r="M2339">
        <v>10</v>
      </c>
      <c r="N2339">
        <v>5271</v>
      </c>
      <c r="O2339" t="s">
        <v>118</v>
      </c>
      <c r="P2339">
        <v>85.7</v>
      </c>
      <c r="Q2339" t="s">
        <v>76</v>
      </c>
      <c r="R2339">
        <v>-28.8</v>
      </c>
      <c r="S2339">
        <v>-13.8</v>
      </c>
      <c r="T2339">
        <v>1.2</v>
      </c>
      <c r="U2339">
        <v>8.6999999999999993</v>
      </c>
      <c r="V2339">
        <v>4.7</v>
      </c>
      <c r="W2339">
        <v>5.5</v>
      </c>
      <c r="X2339" t="s">
        <v>57</v>
      </c>
    </row>
    <row r="2340" spans="2:24" x14ac:dyDescent="0.3">
      <c r="B2340" t="s">
        <v>2433</v>
      </c>
      <c r="C2340" t="s">
        <v>81</v>
      </c>
      <c r="D2340" t="s">
        <v>5</v>
      </c>
      <c r="E2340" t="s">
        <v>19</v>
      </c>
      <c r="F2340" t="s">
        <v>9</v>
      </c>
      <c r="G2340" t="s">
        <v>63</v>
      </c>
      <c r="H2340">
        <v>2026</v>
      </c>
      <c r="I2340">
        <v>1049</v>
      </c>
      <c r="J2340">
        <v>5.4</v>
      </c>
      <c r="K2340" t="s">
        <v>22</v>
      </c>
      <c r="L2340">
        <v>13.7</v>
      </c>
      <c r="M2340">
        <v>7.3</v>
      </c>
      <c r="N2340">
        <v>1371</v>
      </c>
      <c r="O2340" t="s">
        <v>55</v>
      </c>
      <c r="P2340">
        <v>70</v>
      </c>
      <c r="Q2340" t="s">
        <v>86</v>
      </c>
      <c r="R2340">
        <v>8.6</v>
      </c>
      <c r="S2340">
        <v>3.3</v>
      </c>
      <c r="T2340">
        <v>6.9</v>
      </c>
      <c r="U2340">
        <v>8.8000000000000007</v>
      </c>
      <c r="V2340">
        <v>6.4</v>
      </c>
      <c r="W2340">
        <v>5.2</v>
      </c>
      <c r="X2340" t="s">
        <v>57</v>
      </c>
    </row>
    <row r="2341" spans="2:24" x14ac:dyDescent="0.3">
      <c r="B2341" t="s">
        <v>2434</v>
      </c>
      <c r="C2341" t="s">
        <v>81</v>
      </c>
      <c r="D2341" t="s">
        <v>5</v>
      </c>
      <c r="E2341" t="s">
        <v>17</v>
      </c>
      <c r="F2341" t="s">
        <v>9</v>
      </c>
      <c r="G2341" t="s">
        <v>112</v>
      </c>
      <c r="H2341">
        <v>2024</v>
      </c>
      <c r="I2341">
        <v>1221</v>
      </c>
      <c r="J2341">
        <v>4.9000000000000004</v>
      </c>
      <c r="K2341" t="s">
        <v>24</v>
      </c>
      <c r="L2341">
        <v>2.8</v>
      </c>
      <c r="M2341">
        <v>7</v>
      </c>
      <c r="N2341">
        <v>4379</v>
      </c>
      <c r="O2341" t="s">
        <v>64</v>
      </c>
      <c r="P2341">
        <v>46.6</v>
      </c>
      <c r="Q2341" t="s">
        <v>65</v>
      </c>
      <c r="R2341">
        <v>-18.100000000000001</v>
      </c>
      <c r="S2341">
        <v>-20.5</v>
      </c>
      <c r="T2341">
        <v>-7.9</v>
      </c>
      <c r="U2341">
        <v>4.5</v>
      </c>
      <c r="V2341">
        <v>4.9000000000000004</v>
      </c>
      <c r="W2341">
        <v>5.6</v>
      </c>
      <c r="X2341" t="s">
        <v>57</v>
      </c>
    </row>
    <row r="2342" spans="2:24" x14ac:dyDescent="0.3">
      <c r="B2342" t="s">
        <v>2435</v>
      </c>
      <c r="C2342" t="s">
        <v>83</v>
      </c>
      <c r="D2342" t="s">
        <v>4</v>
      </c>
      <c r="E2342" t="s">
        <v>16</v>
      </c>
      <c r="F2342" t="s">
        <v>11</v>
      </c>
      <c r="G2342" t="s">
        <v>104</v>
      </c>
      <c r="H2342">
        <v>2024</v>
      </c>
      <c r="I2342">
        <v>1203</v>
      </c>
      <c r="J2342">
        <v>3.3</v>
      </c>
      <c r="K2342" t="s">
        <v>21</v>
      </c>
      <c r="L2342">
        <v>5.5</v>
      </c>
      <c r="M2342">
        <v>6.3</v>
      </c>
      <c r="N2342">
        <v>2244</v>
      </c>
      <c r="O2342" t="s">
        <v>55</v>
      </c>
      <c r="P2342">
        <v>43</v>
      </c>
      <c r="Q2342" t="s">
        <v>76</v>
      </c>
      <c r="R2342">
        <v>-36.200000000000003</v>
      </c>
      <c r="S2342">
        <v>10.5</v>
      </c>
      <c r="T2342">
        <v>-1.9</v>
      </c>
      <c r="U2342">
        <v>4.5999999999999996</v>
      </c>
      <c r="V2342">
        <v>5.0999999999999996</v>
      </c>
      <c r="W2342">
        <v>5.8</v>
      </c>
      <c r="X2342" t="s">
        <v>116</v>
      </c>
    </row>
    <row r="2343" spans="2:24" x14ac:dyDescent="0.3">
      <c r="B2343" t="s">
        <v>2436</v>
      </c>
      <c r="C2343" t="s">
        <v>90</v>
      </c>
      <c r="D2343" t="s">
        <v>5</v>
      </c>
      <c r="E2343" t="s">
        <v>18</v>
      </c>
      <c r="F2343" t="s">
        <v>10</v>
      </c>
      <c r="G2343" t="s">
        <v>60</v>
      </c>
      <c r="H2343">
        <v>2025</v>
      </c>
      <c r="I2343">
        <v>1810</v>
      </c>
      <c r="J2343">
        <v>9.1</v>
      </c>
      <c r="K2343" t="s">
        <v>25</v>
      </c>
      <c r="L2343">
        <v>12.7</v>
      </c>
      <c r="M2343">
        <v>10</v>
      </c>
      <c r="N2343">
        <v>5419</v>
      </c>
      <c r="O2343" t="s">
        <v>55</v>
      </c>
      <c r="P2343">
        <v>78.099999999999994</v>
      </c>
      <c r="Q2343" t="s">
        <v>125</v>
      </c>
      <c r="R2343">
        <v>87.2</v>
      </c>
      <c r="S2343">
        <v>-4.0999999999999996</v>
      </c>
      <c r="T2343">
        <v>-6.7</v>
      </c>
      <c r="U2343">
        <v>7.9</v>
      </c>
      <c r="V2343">
        <v>4.7</v>
      </c>
      <c r="W2343">
        <v>4.9000000000000004</v>
      </c>
      <c r="X2343" t="s">
        <v>57</v>
      </c>
    </row>
    <row r="2344" spans="2:24" x14ac:dyDescent="0.3">
      <c r="B2344" t="s">
        <v>2437</v>
      </c>
      <c r="C2344" t="s">
        <v>68</v>
      </c>
      <c r="D2344" t="s">
        <v>8</v>
      </c>
      <c r="E2344" t="s">
        <v>14</v>
      </c>
      <c r="F2344" t="s">
        <v>10</v>
      </c>
      <c r="G2344" t="s">
        <v>63</v>
      </c>
      <c r="H2344">
        <v>2026</v>
      </c>
      <c r="I2344">
        <v>9337</v>
      </c>
      <c r="J2344">
        <v>10.8</v>
      </c>
      <c r="K2344" t="s">
        <v>22</v>
      </c>
      <c r="L2344">
        <v>3.9</v>
      </c>
      <c r="M2344">
        <v>3.6</v>
      </c>
      <c r="N2344">
        <v>1312</v>
      </c>
      <c r="O2344" t="s">
        <v>64</v>
      </c>
      <c r="P2344">
        <v>25.7</v>
      </c>
      <c r="Q2344" t="s">
        <v>125</v>
      </c>
      <c r="R2344">
        <v>3.8</v>
      </c>
      <c r="S2344">
        <v>25</v>
      </c>
      <c r="T2344">
        <v>12.4</v>
      </c>
      <c r="U2344">
        <v>4.8</v>
      </c>
      <c r="V2344">
        <v>6.6</v>
      </c>
      <c r="W2344">
        <v>7.7</v>
      </c>
      <c r="X2344" t="s">
        <v>66</v>
      </c>
    </row>
    <row r="2345" spans="2:24" x14ac:dyDescent="0.3">
      <c r="B2345" t="s">
        <v>2438</v>
      </c>
      <c r="C2345" t="s">
        <v>53</v>
      </c>
      <c r="D2345" t="s">
        <v>2</v>
      </c>
      <c r="E2345" t="s">
        <v>19</v>
      </c>
      <c r="F2345" t="s">
        <v>11</v>
      </c>
      <c r="G2345" t="s">
        <v>54</v>
      </c>
      <c r="H2345">
        <v>2026</v>
      </c>
      <c r="I2345">
        <v>98</v>
      </c>
      <c r="J2345">
        <v>3.8</v>
      </c>
      <c r="K2345" t="s">
        <v>21</v>
      </c>
      <c r="L2345">
        <v>8.3000000000000007</v>
      </c>
      <c r="M2345">
        <v>5.0999999999999996</v>
      </c>
      <c r="N2345">
        <v>1483</v>
      </c>
      <c r="O2345" t="s">
        <v>64</v>
      </c>
      <c r="P2345">
        <v>24.4</v>
      </c>
      <c r="Q2345" t="s">
        <v>56</v>
      </c>
      <c r="R2345">
        <v>28.5</v>
      </c>
      <c r="S2345">
        <v>2.1</v>
      </c>
      <c r="T2345">
        <v>5.7</v>
      </c>
      <c r="U2345">
        <v>8.3000000000000007</v>
      </c>
      <c r="V2345">
        <v>6.6</v>
      </c>
      <c r="W2345">
        <v>6.2</v>
      </c>
      <c r="X2345" t="s">
        <v>57</v>
      </c>
    </row>
    <row r="2346" spans="2:24" x14ac:dyDescent="0.3">
      <c r="B2346" t="s">
        <v>2439</v>
      </c>
      <c r="C2346" t="s">
        <v>59</v>
      </c>
      <c r="D2346" t="s">
        <v>4</v>
      </c>
      <c r="E2346" t="s">
        <v>17</v>
      </c>
      <c r="F2346" t="s">
        <v>9</v>
      </c>
      <c r="G2346" t="s">
        <v>69</v>
      </c>
      <c r="H2346">
        <v>2025</v>
      </c>
      <c r="I2346">
        <v>1293</v>
      </c>
      <c r="J2346">
        <v>8.4</v>
      </c>
      <c r="K2346" t="s">
        <v>22</v>
      </c>
      <c r="L2346">
        <v>11</v>
      </c>
      <c r="M2346">
        <v>6.6</v>
      </c>
      <c r="N2346">
        <v>5733</v>
      </c>
      <c r="O2346" t="s">
        <v>55</v>
      </c>
      <c r="P2346">
        <v>34.799999999999997</v>
      </c>
      <c r="Q2346" t="s">
        <v>88</v>
      </c>
      <c r="R2346">
        <v>-32.200000000000003</v>
      </c>
      <c r="S2346">
        <v>33.200000000000003</v>
      </c>
      <c r="T2346">
        <v>8.1</v>
      </c>
      <c r="U2346">
        <v>8.6</v>
      </c>
      <c r="V2346">
        <v>6</v>
      </c>
      <c r="W2346">
        <v>6.5</v>
      </c>
      <c r="X2346" t="s">
        <v>57</v>
      </c>
    </row>
    <row r="2347" spans="2:24" x14ac:dyDescent="0.3">
      <c r="B2347" t="s">
        <v>2440</v>
      </c>
      <c r="C2347" t="s">
        <v>27</v>
      </c>
      <c r="D2347" t="s">
        <v>2</v>
      </c>
      <c r="E2347" t="s">
        <v>18</v>
      </c>
      <c r="F2347" t="s">
        <v>11</v>
      </c>
      <c r="G2347" t="s">
        <v>101</v>
      </c>
      <c r="H2347">
        <v>2026</v>
      </c>
      <c r="I2347">
        <v>3184</v>
      </c>
      <c r="J2347">
        <v>22.1</v>
      </c>
      <c r="K2347" t="s">
        <v>23</v>
      </c>
      <c r="L2347">
        <v>13.4</v>
      </c>
      <c r="M2347">
        <v>10</v>
      </c>
      <c r="N2347">
        <v>9247</v>
      </c>
      <c r="O2347" t="s">
        <v>55</v>
      </c>
      <c r="P2347">
        <v>43.4</v>
      </c>
      <c r="Q2347" t="s">
        <v>56</v>
      </c>
      <c r="R2347">
        <v>64.2</v>
      </c>
      <c r="S2347">
        <v>20.9</v>
      </c>
      <c r="T2347">
        <v>9.6999999999999993</v>
      </c>
      <c r="U2347">
        <v>9.5</v>
      </c>
      <c r="V2347">
        <v>6.8</v>
      </c>
      <c r="W2347">
        <v>5.2</v>
      </c>
      <c r="X2347" t="s">
        <v>66</v>
      </c>
    </row>
    <row r="2348" spans="2:24" x14ac:dyDescent="0.3">
      <c r="B2348" t="s">
        <v>2441</v>
      </c>
      <c r="C2348" t="s">
        <v>94</v>
      </c>
      <c r="D2348" t="s">
        <v>6</v>
      </c>
      <c r="E2348" t="s">
        <v>18</v>
      </c>
      <c r="F2348" t="s">
        <v>10</v>
      </c>
      <c r="G2348" t="s">
        <v>78</v>
      </c>
      <c r="H2348">
        <v>2026</v>
      </c>
      <c r="I2348">
        <v>294</v>
      </c>
      <c r="J2348">
        <v>2.5</v>
      </c>
      <c r="K2348" t="s">
        <v>24</v>
      </c>
      <c r="L2348">
        <v>14.3</v>
      </c>
      <c r="M2348">
        <v>10</v>
      </c>
      <c r="N2348">
        <v>4184</v>
      </c>
      <c r="O2348" t="s">
        <v>55</v>
      </c>
      <c r="P2348">
        <v>28.2</v>
      </c>
      <c r="Q2348" t="s">
        <v>125</v>
      </c>
      <c r="R2348">
        <v>-29.2</v>
      </c>
      <c r="S2348">
        <v>14.1</v>
      </c>
      <c r="T2348">
        <v>9.3000000000000007</v>
      </c>
      <c r="U2348">
        <v>8.8000000000000007</v>
      </c>
      <c r="V2348">
        <v>7.9</v>
      </c>
      <c r="W2348">
        <v>6.3</v>
      </c>
      <c r="X2348" t="s">
        <v>116</v>
      </c>
    </row>
    <row r="2349" spans="2:24" x14ac:dyDescent="0.3">
      <c r="B2349" t="s">
        <v>2442</v>
      </c>
      <c r="C2349" t="s">
        <v>137</v>
      </c>
      <c r="D2349" t="s">
        <v>4</v>
      </c>
      <c r="E2349" t="s">
        <v>16</v>
      </c>
      <c r="F2349" t="s">
        <v>10</v>
      </c>
      <c r="G2349" t="s">
        <v>54</v>
      </c>
      <c r="H2349">
        <v>2024</v>
      </c>
      <c r="I2349">
        <v>225</v>
      </c>
      <c r="J2349">
        <v>6.5</v>
      </c>
      <c r="K2349" t="s">
        <v>22</v>
      </c>
      <c r="L2349">
        <v>6.9</v>
      </c>
      <c r="M2349">
        <v>5.6</v>
      </c>
      <c r="N2349">
        <v>3145</v>
      </c>
      <c r="O2349" t="s">
        <v>64</v>
      </c>
      <c r="P2349">
        <v>12.9</v>
      </c>
      <c r="Q2349" t="s">
        <v>79</v>
      </c>
      <c r="R2349">
        <v>44.8</v>
      </c>
      <c r="S2349">
        <v>-6.3</v>
      </c>
      <c r="T2349">
        <v>-2.9</v>
      </c>
      <c r="U2349">
        <v>6.8</v>
      </c>
      <c r="V2349">
        <v>8</v>
      </c>
      <c r="W2349">
        <v>6.9</v>
      </c>
      <c r="X2349" t="s">
        <v>57</v>
      </c>
    </row>
    <row r="2350" spans="2:24" x14ac:dyDescent="0.3">
      <c r="B2350" t="s">
        <v>2443</v>
      </c>
      <c r="C2350" t="s">
        <v>122</v>
      </c>
      <c r="D2350" t="s">
        <v>2</v>
      </c>
      <c r="E2350" t="s">
        <v>19</v>
      </c>
      <c r="F2350" t="s">
        <v>11</v>
      </c>
      <c r="G2350" t="s">
        <v>131</v>
      </c>
      <c r="H2350">
        <v>2025</v>
      </c>
      <c r="I2350">
        <v>439</v>
      </c>
      <c r="J2350">
        <v>3.3</v>
      </c>
      <c r="K2350" t="s">
        <v>21</v>
      </c>
      <c r="L2350">
        <v>12.2</v>
      </c>
      <c r="M2350">
        <v>9.1999999999999993</v>
      </c>
      <c r="N2350">
        <v>5887</v>
      </c>
      <c r="O2350" t="s">
        <v>55</v>
      </c>
      <c r="P2350">
        <v>70.7</v>
      </c>
      <c r="Q2350" t="s">
        <v>56</v>
      </c>
      <c r="R2350">
        <v>-10.6</v>
      </c>
      <c r="S2350">
        <v>-2.1</v>
      </c>
      <c r="T2350">
        <v>1.6</v>
      </c>
      <c r="U2350">
        <v>8.5</v>
      </c>
      <c r="V2350">
        <v>5.6</v>
      </c>
      <c r="W2350">
        <v>6.4</v>
      </c>
      <c r="X2350" t="s">
        <v>57</v>
      </c>
    </row>
    <row r="2351" spans="2:24" x14ac:dyDescent="0.3">
      <c r="B2351" t="s">
        <v>2444</v>
      </c>
      <c r="C2351" t="s">
        <v>142</v>
      </c>
      <c r="D2351" t="s">
        <v>2</v>
      </c>
      <c r="E2351" t="s">
        <v>16</v>
      </c>
      <c r="F2351" t="s">
        <v>11</v>
      </c>
      <c r="G2351" t="s">
        <v>131</v>
      </c>
      <c r="H2351">
        <v>2024</v>
      </c>
      <c r="I2351">
        <v>953</v>
      </c>
      <c r="J2351">
        <v>7.1</v>
      </c>
      <c r="K2351" t="s">
        <v>24</v>
      </c>
      <c r="L2351">
        <v>4.8</v>
      </c>
      <c r="M2351">
        <v>6.2</v>
      </c>
      <c r="N2351">
        <v>2947</v>
      </c>
      <c r="O2351" t="s">
        <v>64</v>
      </c>
      <c r="P2351">
        <v>85.5</v>
      </c>
      <c r="Q2351" t="s">
        <v>76</v>
      </c>
      <c r="R2351">
        <v>82.1</v>
      </c>
      <c r="S2351">
        <v>-14.9</v>
      </c>
      <c r="T2351">
        <v>-13.5</v>
      </c>
      <c r="U2351">
        <v>5.2</v>
      </c>
      <c r="V2351">
        <v>5.0999999999999996</v>
      </c>
      <c r="W2351">
        <v>6.3</v>
      </c>
      <c r="X2351" t="s">
        <v>116</v>
      </c>
    </row>
    <row r="2352" spans="2:24" x14ac:dyDescent="0.3">
      <c r="B2352" t="s">
        <v>2445</v>
      </c>
      <c r="C2352" t="s">
        <v>27</v>
      </c>
      <c r="D2352" t="s">
        <v>2</v>
      </c>
      <c r="E2352" t="s">
        <v>15</v>
      </c>
      <c r="F2352" t="s">
        <v>11</v>
      </c>
      <c r="G2352" t="s">
        <v>104</v>
      </c>
      <c r="H2352">
        <v>2025</v>
      </c>
      <c r="I2352">
        <v>5921</v>
      </c>
      <c r="J2352">
        <v>5.7</v>
      </c>
      <c r="K2352" t="s">
        <v>24</v>
      </c>
      <c r="L2352">
        <v>2.5</v>
      </c>
      <c r="M2352">
        <v>4.3</v>
      </c>
      <c r="N2352">
        <v>5105</v>
      </c>
      <c r="O2352" t="s">
        <v>64</v>
      </c>
      <c r="P2352">
        <v>18.399999999999999</v>
      </c>
      <c r="Q2352" t="s">
        <v>56</v>
      </c>
      <c r="R2352">
        <v>16.8</v>
      </c>
      <c r="S2352">
        <v>-14.3</v>
      </c>
      <c r="T2352">
        <v>-4.7</v>
      </c>
      <c r="U2352">
        <v>4</v>
      </c>
      <c r="V2352">
        <v>6.9</v>
      </c>
      <c r="W2352">
        <v>5.6</v>
      </c>
      <c r="X2352" t="s">
        <v>116</v>
      </c>
    </row>
    <row r="2353" spans="2:24" x14ac:dyDescent="0.3">
      <c r="B2353" t="s">
        <v>2446</v>
      </c>
      <c r="C2353" t="s">
        <v>59</v>
      </c>
      <c r="D2353" t="s">
        <v>4</v>
      </c>
      <c r="E2353" t="s">
        <v>14</v>
      </c>
      <c r="F2353" t="s">
        <v>12</v>
      </c>
      <c r="G2353" t="s">
        <v>54</v>
      </c>
      <c r="H2353">
        <v>2024</v>
      </c>
      <c r="I2353">
        <v>11819</v>
      </c>
      <c r="J2353">
        <v>22.7</v>
      </c>
      <c r="K2353" t="s">
        <v>23</v>
      </c>
      <c r="L2353">
        <v>7.5</v>
      </c>
      <c r="M2353">
        <v>10</v>
      </c>
      <c r="N2353">
        <v>1866</v>
      </c>
      <c r="O2353" t="s">
        <v>64</v>
      </c>
      <c r="P2353">
        <v>24.4</v>
      </c>
      <c r="Q2353" t="s">
        <v>79</v>
      </c>
      <c r="R2353">
        <v>59.3</v>
      </c>
      <c r="S2353">
        <v>-16.7</v>
      </c>
      <c r="T2353">
        <v>-10.3</v>
      </c>
      <c r="U2353">
        <v>6.9</v>
      </c>
      <c r="V2353">
        <v>6.2</v>
      </c>
      <c r="W2353">
        <v>3.2</v>
      </c>
      <c r="X2353" t="s">
        <v>66</v>
      </c>
    </row>
    <row r="2354" spans="2:24" x14ac:dyDescent="0.3">
      <c r="B2354" t="s">
        <v>2447</v>
      </c>
      <c r="C2354" t="s">
        <v>92</v>
      </c>
      <c r="D2354" t="s">
        <v>7</v>
      </c>
      <c r="E2354" t="s">
        <v>18</v>
      </c>
      <c r="F2354" t="s">
        <v>11</v>
      </c>
      <c r="G2354" t="s">
        <v>98</v>
      </c>
      <c r="H2354">
        <v>2024</v>
      </c>
      <c r="I2354">
        <v>19861</v>
      </c>
      <c r="J2354">
        <v>10.6</v>
      </c>
      <c r="K2354" t="s">
        <v>25</v>
      </c>
      <c r="L2354">
        <v>3.8</v>
      </c>
      <c r="M2354">
        <v>5.8</v>
      </c>
      <c r="N2354">
        <v>1802</v>
      </c>
      <c r="O2354" t="s">
        <v>64</v>
      </c>
      <c r="P2354">
        <v>62.8</v>
      </c>
      <c r="Q2354" t="s">
        <v>76</v>
      </c>
      <c r="R2354">
        <v>86.8</v>
      </c>
      <c r="S2354">
        <v>44.1</v>
      </c>
      <c r="T2354">
        <v>20</v>
      </c>
      <c r="U2354">
        <v>5.5</v>
      </c>
      <c r="V2354">
        <v>9.1999999999999993</v>
      </c>
      <c r="W2354">
        <v>6.2</v>
      </c>
      <c r="X2354" t="s">
        <v>66</v>
      </c>
    </row>
    <row r="2355" spans="2:24" x14ac:dyDescent="0.3">
      <c r="B2355" t="s">
        <v>2448</v>
      </c>
      <c r="C2355" t="s">
        <v>100</v>
      </c>
      <c r="D2355" t="s">
        <v>3</v>
      </c>
      <c r="E2355" t="s">
        <v>18</v>
      </c>
      <c r="F2355" t="s">
        <v>12</v>
      </c>
      <c r="G2355" t="s">
        <v>101</v>
      </c>
      <c r="H2355">
        <v>2026</v>
      </c>
      <c r="I2355">
        <v>205</v>
      </c>
      <c r="J2355">
        <v>9.6999999999999993</v>
      </c>
      <c r="K2355" t="s">
        <v>22</v>
      </c>
      <c r="L2355">
        <v>10</v>
      </c>
      <c r="M2355">
        <v>8.1999999999999993</v>
      </c>
      <c r="N2355">
        <v>5543</v>
      </c>
      <c r="O2355" t="s">
        <v>55</v>
      </c>
      <c r="P2355">
        <v>23.1</v>
      </c>
      <c r="Q2355" t="s">
        <v>79</v>
      </c>
      <c r="R2355">
        <v>4</v>
      </c>
      <c r="S2355">
        <v>-21</v>
      </c>
      <c r="T2355">
        <v>-1.3</v>
      </c>
      <c r="U2355">
        <v>6</v>
      </c>
      <c r="V2355">
        <v>4.7</v>
      </c>
      <c r="W2355">
        <v>5.0999999999999996</v>
      </c>
      <c r="X2355" t="s">
        <v>57</v>
      </c>
    </row>
    <row r="2356" spans="2:24" x14ac:dyDescent="0.3">
      <c r="B2356" t="s">
        <v>2449</v>
      </c>
      <c r="C2356" t="s">
        <v>97</v>
      </c>
      <c r="D2356" t="s">
        <v>3</v>
      </c>
      <c r="E2356" t="s">
        <v>17</v>
      </c>
      <c r="F2356" t="s">
        <v>9</v>
      </c>
      <c r="G2356" t="s">
        <v>98</v>
      </c>
      <c r="H2356">
        <v>2024</v>
      </c>
      <c r="I2356">
        <v>3993</v>
      </c>
      <c r="J2356">
        <v>5.3</v>
      </c>
      <c r="K2356" t="s">
        <v>23</v>
      </c>
      <c r="L2356">
        <v>6.5</v>
      </c>
      <c r="M2356">
        <v>6.4</v>
      </c>
      <c r="N2356">
        <v>782</v>
      </c>
      <c r="O2356" t="s">
        <v>55</v>
      </c>
      <c r="P2356">
        <v>56.1</v>
      </c>
      <c r="Q2356" t="s">
        <v>88</v>
      </c>
      <c r="R2356">
        <v>29.8</v>
      </c>
      <c r="S2356">
        <v>27.4</v>
      </c>
      <c r="T2356">
        <v>4.5</v>
      </c>
      <c r="U2356">
        <v>8.8000000000000007</v>
      </c>
      <c r="V2356">
        <v>6.9</v>
      </c>
      <c r="W2356">
        <v>6.6</v>
      </c>
      <c r="X2356" t="s">
        <v>116</v>
      </c>
    </row>
    <row r="2357" spans="2:24" x14ac:dyDescent="0.3">
      <c r="B2357" t="s">
        <v>2450</v>
      </c>
      <c r="C2357" t="s">
        <v>159</v>
      </c>
      <c r="D2357" t="s">
        <v>7</v>
      </c>
      <c r="E2357" t="s">
        <v>14</v>
      </c>
      <c r="F2357" t="s">
        <v>9</v>
      </c>
      <c r="G2357" t="s">
        <v>131</v>
      </c>
      <c r="H2357">
        <v>2025</v>
      </c>
      <c r="I2357">
        <v>16609</v>
      </c>
      <c r="J2357">
        <v>10.7</v>
      </c>
      <c r="K2357" t="s">
        <v>25</v>
      </c>
      <c r="L2357">
        <v>15.6</v>
      </c>
      <c r="M2357">
        <v>10</v>
      </c>
      <c r="N2357">
        <v>1025</v>
      </c>
      <c r="O2357" t="s">
        <v>64</v>
      </c>
      <c r="P2357">
        <v>70.7</v>
      </c>
      <c r="Q2357" t="s">
        <v>79</v>
      </c>
      <c r="R2357">
        <v>64.099999999999994</v>
      </c>
      <c r="S2357">
        <v>15.5</v>
      </c>
      <c r="T2357">
        <v>15.1</v>
      </c>
      <c r="U2357">
        <v>9.6999999999999993</v>
      </c>
      <c r="V2357">
        <v>5.0999999999999996</v>
      </c>
      <c r="W2357">
        <v>5.4</v>
      </c>
      <c r="X2357" t="s">
        <v>66</v>
      </c>
    </row>
    <row r="2358" spans="2:24" x14ac:dyDescent="0.3">
      <c r="B2358" t="s">
        <v>2451</v>
      </c>
      <c r="C2358" t="s">
        <v>159</v>
      </c>
      <c r="D2358" t="s">
        <v>7</v>
      </c>
      <c r="E2358" t="s">
        <v>19</v>
      </c>
      <c r="F2358" t="s">
        <v>12</v>
      </c>
      <c r="G2358" t="s">
        <v>131</v>
      </c>
      <c r="H2358">
        <v>2026</v>
      </c>
      <c r="I2358">
        <v>2877</v>
      </c>
      <c r="J2358">
        <v>16.399999999999999</v>
      </c>
      <c r="K2358" t="s">
        <v>21</v>
      </c>
      <c r="L2358">
        <v>5.2</v>
      </c>
      <c r="M2358">
        <v>4.7</v>
      </c>
      <c r="N2358">
        <v>1375</v>
      </c>
      <c r="O2358" t="s">
        <v>64</v>
      </c>
      <c r="P2358">
        <v>86.4</v>
      </c>
      <c r="Q2358" t="s">
        <v>86</v>
      </c>
      <c r="R2358">
        <v>88.1</v>
      </c>
      <c r="S2358">
        <v>57.4</v>
      </c>
      <c r="T2358">
        <v>21.2</v>
      </c>
      <c r="U2358">
        <v>3.8</v>
      </c>
      <c r="V2358">
        <v>5.5</v>
      </c>
      <c r="W2358">
        <v>7.7</v>
      </c>
      <c r="X2358" t="s">
        <v>66</v>
      </c>
    </row>
    <row r="2359" spans="2:24" x14ac:dyDescent="0.3">
      <c r="B2359" t="s">
        <v>2452</v>
      </c>
      <c r="C2359" t="s">
        <v>122</v>
      </c>
      <c r="D2359" t="s">
        <v>2</v>
      </c>
      <c r="E2359" t="s">
        <v>18</v>
      </c>
      <c r="F2359" t="s">
        <v>12</v>
      </c>
      <c r="G2359" t="s">
        <v>131</v>
      </c>
      <c r="H2359">
        <v>2025</v>
      </c>
      <c r="I2359">
        <v>1952</v>
      </c>
      <c r="J2359">
        <v>4.7</v>
      </c>
      <c r="K2359" t="s">
        <v>23</v>
      </c>
      <c r="L2359">
        <v>6.4</v>
      </c>
      <c r="M2359">
        <v>3.3</v>
      </c>
      <c r="N2359">
        <v>6824</v>
      </c>
      <c r="O2359" t="s">
        <v>55</v>
      </c>
      <c r="P2359">
        <v>81.7</v>
      </c>
      <c r="Q2359" t="s">
        <v>56</v>
      </c>
      <c r="R2359">
        <v>50.6</v>
      </c>
      <c r="S2359">
        <v>-2.1</v>
      </c>
      <c r="T2359">
        <v>2</v>
      </c>
      <c r="U2359">
        <v>4.5999999999999996</v>
      </c>
      <c r="V2359">
        <v>7.3</v>
      </c>
      <c r="W2359">
        <v>6.4</v>
      </c>
      <c r="X2359" t="s">
        <v>116</v>
      </c>
    </row>
    <row r="2360" spans="2:24" x14ac:dyDescent="0.3">
      <c r="B2360" t="s">
        <v>2453</v>
      </c>
      <c r="C2360" t="s">
        <v>83</v>
      </c>
      <c r="D2360" t="s">
        <v>4</v>
      </c>
      <c r="E2360" t="s">
        <v>16</v>
      </c>
      <c r="F2360" t="s">
        <v>12</v>
      </c>
      <c r="G2360" t="s">
        <v>98</v>
      </c>
      <c r="H2360">
        <v>2024</v>
      </c>
      <c r="I2360">
        <v>2741</v>
      </c>
      <c r="J2360">
        <v>3.6</v>
      </c>
      <c r="K2360" t="s">
        <v>22</v>
      </c>
      <c r="L2360">
        <v>1.9</v>
      </c>
      <c r="M2360">
        <v>1.5</v>
      </c>
      <c r="N2360">
        <v>1135</v>
      </c>
      <c r="O2360" t="s">
        <v>64</v>
      </c>
      <c r="P2360">
        <v>29.1</v>
      </c>
      <c r="Q2360" t="s">
        <v>86</v>
      </c>
      <c r="R2360">
        <v>59.4</v>
      </c>
      <c r="S2360">
        <v>-19.5</v>
      </c>
      <c r="T2360">
        <v>-5.0999999999999996</v>
      </c>
      <c r="U2360">
        <v>1.5</v>
      </c>
      <c r="V2360">
        <v>4.9000000000000004</v>
      </c>
      <c r="W2360">
        <v>6.9</v>
      </c>
      <c r="X2360" t="s">
        <v>116</v>
      </c>
    </row>
    <row r="2361" spans="2:24" x14ac:dyDescent="0.3">
      <c r="B2361" t="s">
        <v>2454</v>
      </c>
      <c r="C2361" t="s">
        <v>90</v>
      </c>
      <c r="D2361" t="s">
        <v>5</v>
      </c>
      <c r="E2361" t="s">
        <v>15</v>
      </c>
      <c r="F2361" t="s">
        <v>12</v>
      </c>
      <c r="G2361" t="s">
        <v>63</v>
      </c>
      <c r="H2361">
        <v>2024</v>
      </c>
      <c r="I2361">
        <v>2024</v>
      </c>
      <c r="J2361">
        <v>2.4</v>
      </c>
      <c r="K2361" t="s">
        <v>24</v>
      </c>
      <c r="L2361">
        <v>3.4</v>
      </c>
      <c r="M2361">
        <v>1.5</v>
      </c>
      <c r="N2361">
        <v>460</v>
      </c>
      <c r="O2361" t="s">
        <v>64</v>
      </c>
      <c r="P2361">
        <v>14.6</v>
      </c>
      <c r="Q2361" t="s">
        <v>79</v>
      </c>
      <c r="R2361">
        <v>36.700000000000003</v>
      </c>
      <c r="S2361">
        <v>-24.4</v>
      </c>
      <c r="T2361">
        <v>-6.7</v>
      </c>
      <c r="U2361">
        <v>2</v>
      </c>
      <c r="V2361">
        <v>7</v>
      </c>
      <c r="W2361">
        <v>7.4</v>
      </c>
      <c r="X2361" t="s">
        <v>57</v>
      </c>
    </row>
    <row r="2362" spans="2:24" x14ac:dyDescent="0.3">
      <c r="B2362" t="s">
        <v>2455</v>
      </c>
      <c r="C2362" t="s">
        <v>122</v>
      </c>
      <c r="D2362" t="s">
        <v>2</v>
      </c>
      <c r="E2362" t="s">
        <v>19</v>
      </c>
      <c r="F2362" t="s">
        <v>11</v>
      </c>
      <c r="G2362" t="s">
        <v>131</v>
      </c>
      <c r="H2362">
        <v>2026</v>
      </c>
      <c r="I2362">
        <v>10750</v>
      </c>
      <c r="J2362">
        <v>37.6</v>
      </c>
      <c r="K2362" t="s">
        <v>21</v>
      </c>
      <c r="L2362">
        <v>7.1</v>
      </c>
      <c r="M2362">
        <v>10</v>
      </c>
      <c r="N2362">
        <v>6449</v>
      </c>
      <c r="O2362" t="s">
        <v>64</v>
      </c>
      <c r="P2362">
        <v>81.7</v>
      </c>
      <c r="Q2362" t="s">
        <v>76</v>
      </c>
      <c r="R2362">
        <v>65.599999999999994</v>
      </c>
      <c r="S2362">
        <v>49.2</v>
      </c>
      <c r="T2362">
        <v>19.7</v>
      </c>
      <c r="U2362">
        <v>5.2</v>
      </c>
      <c r="V2362">
        <v>5.7</v>
      </c>
      <c r="W2362">
        <v>3.8</v>
      </c>
      <c r="X2362" t="s">
        <v>66</v>
      </c>
    </row>
    <row r="2363" spans="2:24" x14ac:dyDescent="0.3">
      <c r="B2363" t="s">
        <v>2456</v>
      </c>
      <c r="C2363" t="s">
        <v>73</v>
      </c>
      <c r="D2363" t="s">
        <v>3</v>
      </c>
      <c r="E2363" t="s">
        <v>19</v>
      </c>
      <c r="F2363" t="s">
        <v>9</v>
      </c>
      <c r="G2363" t="s">
        <v>101</v>
      </c>
      <c r="H2363">
        <v>2024</v>
      </c>
      <c r="I2363">
        <v>145</v>
      </c>
      <c r="J2363">
        <v>8.3000000000000007</v>
      </c>
      <c r="K2363" t="s">
        <v>23</v>
      </c>
      <c r="L2363">
        <v>9.6999999999999993</v>
      </c>
      <c r="M2363">
        <v>9.8000000000000007</v>
      </c>
      <c r="N2363">
        <v>3585</v>
      </c>
      <c r="O2363" t="s">
        <v>55</v>
      </c>
      <c r="P2363">
        <v>86.6</v>
      </c>
      <c r="Q2363" t="s">
        <v>79</v>
      </c>
      <c r="R2363">
        <v>81.5</v>
      </c>
      <c r="S2363">
        <v>45.2</v>
      </c>
      <c r="T2363">
        <v>23.5</v>
      </c>
      <c r="U2363">
        <v>9</v>
      </c>
      <c r="V2363">
        <v>9.3000000000000007</v>
      </c>
      <c r="W2363">
        <v>5.8</v>
      </c>
      <c r="X2363" t="s">
        <v>57</v>
      </c>
    </row>
    <row r="2364" spans="2:24" x14ac:dyDescent="0.3">
      <c r="B2364" t="s">
        <v>2457</v>
      </c>
      <c r="C2364" t="s">
        <v>53</v>
      </c>
      <c r="D2364" t="s">
        <v>7</v>
      </c>
      <c r="E2364" t="s">
        <v>15</v>
      </c>
      <c r="F2364" t="s">
        <v>9</v>
      </c>
      <c r="G2364" t="s">
        <v>131</v>
      </c>
      <c r="H2364">
        <v>2026</v>
      </c>
      <c r="I2364">
        <v>323</v>
      </c>
      <c r="J2364">
        <v>2.7</v>
      </c>
      <c r="K2364" t="s">
        <v>25</v>
      </c>
      <c r="L2364">
        <v>9</v>
      </c>
      <c r="M2364">
        <v>10</v>
      </c>
      <c r="N2364">
        <v>3310</v>
      </c>
      <c r="O2364" t="s">
        <v>55</v>
      </c>
      <c r="P2364">
        <v>18.8</v>
      </c>
      <c r="Q2364" t="s">
        <v>76</v>
      </c>
      <c r="R2364">
        <v>36.299999999999997</v>
      </c>
      <c r="S2364">
        <v>40.1</v>
      </c>
      <c r="T2364">
        <v>12.1</v>
      </c>
      <c r="U2364">
        <v>7.4</v>
      </c>
      <c r="V2364">
        <v>8.3000000000000007</v>
      </c>
      <c r="W2364">
        <v>7.7</v>
      </c>
      <c r="X2364" t="s">
        <v>57</v>
      </c>
    </row>
    <row r="2365" spans="2:24" x14ac:dyDescent="0.3">
      <c r="B2365" t="s">
        <v>2458</v>
      </c>
      <c r="C2365" t="s">
        <v>106</v>
      </c>
      <c r="D2365" t="s">
        <v>7</v>
      </c>
      <c r="E2365" t="s">
        <v>17</v>
      </c>
      <c r="F2365" t="s">
        <v>10</v>
      </c>
      <c r="G2365" t="s">
        <v>78</v>
      </c>
      <c r="H2365">
        <v>2024</v>
      </c>
      <c r="I2365">
        <v>9150</v>
      </c>
      <c r="J2365">
        <v>8.4</v>
      </c>
      <c r="K2365" t="s">
        <v>25</v>
      </c>
      <c r="L2365">
        <v>2.8</v>
      </c>
      <c r="M2365">
        <v>5.6</v>
      </c>
      <c r="N2365">
        <v>1038</v>
      </c>
      <c r="O2365" t="s">
        <v>64</v>
      </c>
      <c r="P2365">
        <v>48.8</v>
      </c>
      <c r="Q2365" t="s">
        <v>86</v>
      </c>
      <c r="R2365">
        <v>3.9</v>
      </c>
      <c r="S2365">
        <v>-2.8</v>
      </c>
      <c r="T2365">
        <v>5.7</v>
      </c>
      <c r="U2365">
        <v>2.2999999999999998</v>
      </c>
      <c r="V2365">
        <v>6.1</v>
      </c>
      <c r="W2365">
        <v>6.5</v>
      </c>
      <c r="X2365" t="s">
        <v>66</v>
      </c>
    </row>
    <row r="2366" spans="2:24" x14ac:dyDescent="0.3">
      <c r="B2366" t="s">
        <v>2459</v>
      </c>
      <c r="C2366" t="s">
        <v>122</v>
      </c>
      <c r="D2366" t="s">
        <v>2</v>
      </c>
      <c r="E2366" t="s">
        <v>14</v>
      </c>
      <c r="F2366" t="s">
        <v>10</v>
      </c>
      <c r="G2366" t="s">
        <v>115</v>
      </c>
      <c r="H2366">
        <v>2026</v>
      </c>
      <c r="I2366">
        <v>3945</v>
      </c>
      <c r="J2366">
        <v>14.9</v>
      </c>
      <c r="K2366" t="s">
        <v>24</v>
      </c>
      <c r="L2366">
        <v>9.1999999999999993</v>
      </c>
      <c r="M2366">
        <v>8.8000000000000007</v>
      </c>
      <c r="N2366">
        <v>5090</v>
      </c>
      <c r="O2366" t="s">
        <v>55</v>
      </c>
      <c r="P2366">
        <v>74.2</v>
      </c>
      <c r="Q2366" t="s">
        <v>76</v>
      </c>
      <c r="R2366">
        <v>68.2</v>
      </c>
      <c r="S2366">
        <v>19.899999999999999</v>
      </c>
      <c r="T2366">
        <v>0.4</v>
      </c>
      <c r="U2366">
        <v>9.6</v>
      </c>
      <c r="V2366">
        <v>7.6</v>
      </c>
      <c r="W2366">
        <v>4.4000000000000004</v>
      </c>
      <c r="X2366" t="s">
        <v>116</v>
      </c>
    </row>
    <row r="2367" spans="2:24" x14ac:dyDescent="0.3">
      <c r="B2367" t="s">
        <v>2460</v>
      </c>
      <c r="C2367" t="s">
        <v>73</v>
      </c>
      <c r="D2367" t="s">
        <v>2</v>
      </c>
      <c r="E2367" t="s">
        <v>14</v>
      </c>
      <c r="F2367" t="s">
        <v>9</v>
      </c>
      <c r="G2367" t="s">
        <v>69</v>
      </c>
      <c r="H2367">
        <v>2026</v>
      </c>
      <c r="I2367">
        <v>5791</v>
      </c>
      <c r="J2367">
        <v>6.9</v>
      </c>
      <c r="K2367" t="s">
        <v>24</v>
      </c>
      <c r="L2367">
        <v>8.1</v>
      </c>
      <c r="M2367">
        <v>7.2</v>
      </c>
      <c r="N2367">
        <v>3731</v>
      </c>
      <c r="O2367" t="s">
        <v>55</v>
      </c>
      <c r="P2367">
        <v>33.9</v>
      </c>
      <c r="Q2367" t="s">
        <v>56</v>
      </c>
      <c r="R2367">
        <v>-17.3</v>
      </c>
      <c r="S2367">
        <v>10.9</v>
      </c>
      <c r="T2367">
        <v>0.6</v>
      </c>
      <c r="U2367">
        <v>5.6</v>
      </c>
      <c r="V2367">
        <v>4.8</v>
      </c>
      <c r="W2367">
        <v>5.2</v>
      </c>
      <c r="X2367" t="s">
        <v>116</v>
      </c>
    </row>
    <row r="2368" spans="2:24" x14ac:dyDescent="0.3">
      <c r="B2368" t="s">
        <v>2461</v>
      </c>
      <c r="C2368" t="s">
        <v>90</v>
      </c>
      <c r="D2368" t="s">
        <v>3</v>
      </c>
      <c r="E2368" t="s">
        <v>14</v>
      </c>
      <c r="F2368" t="s">
        <v>10</v>
      </c>
      <c r="G2368" t="s">
        <v>78</v>
      </c>
      <c r="H2368">
        <v>2024</v>
      </c>
      <c r="I2368">
        <v>6807</v>
      </c>
      <c r="J2368">
        <v>36</v>
      </c>
      <c r="K2368" t="s">
        <v>21</v>
      </c>
      <c r="L2368">
        <v>4.8</v>
      </c>
      <c r="M2368">
        <v>10</v>
      </c>
      <c r="N2368">
        <v>1562</v>
      </c>
      <c r="O2368" t="s">
        <v>75</v>
      </c>
      <c r="P2368">
        <v>51</v>
      </c>
      <c r="Q2368" t="s">
        <v>84</v>
      </c>
      <c r="R2368">
        <v>-42.9</v>
      </c>
      <c r="S2368">
        <v>42</v>
      </c>
      <c r="T2368">
        <v>7.2</v>
      </c>
      <c r="U2368">
        <v>3.6</v>
      </c>
      <c r="V2368">
        <v>5.5</v>
      </c>
      <c r="W2368">
        <v>2.9</v>
      </c>
      <c r="X2368" t="s">
        <v>66</v>
      </c>
    </row>
    <row r="2369" spans="2:24" x14ac:dyDescent="0.3">
      <c r="B2369" t="s">
        <v>2462</v>
      </c>
      <c r="C2369" t="s">
        <v>53</v>
      </c>
      <c r="D2369" t="s">
        <v>2</v>
      </c>
      <c r="E2369" t="s">
        <v>16</v>
      </c>
      <c r="F2369" t="s">
        <v>12</v>
      </c>
      <c r="G2369" t="s">
        <v>74</v>
      </c>
      <c r="H2369">
        <v>2025</v>
      </c>
      <c r="I2369">
        <v>1941</v>
      </c>
      <c r="J2369">
        <v>4.5999999999999996</v>
      </c>
      <c r="K2369" t="s">
        <v>25</v>
      </c>
      <c r="L2369">
        <v>10.1</v>
      </c>
      <c r="M2369">
        <v>7</v>
      </c>
      <c r="N2369">
        <v>4765</v>
      </c>
      <c r="O2369" t="s">
        <v>55</v>
      </c>
      <c r="P2369">
        <v>58.5</v>
      </c>
      <c r="Q2369" t="s">
        <v>76</v>
      </c>
      <c r="R2369">
        <v>75.3</v>
      </c>
      <c r="S2369">
        <v>36.6</v>
      </c>
      <c r="T2369">
        <v>16.5</v>
      </c>
      <c r="U2369">
        <v>7.7</v>
      </c>
      <c r="V2369">
        <v>8.1999999999999993</v>
      </c>
      <c r="W2369">
        <v>7.5</v>
      </c>
      <c r="X2369" t="s">
        <v>57</v>
      </c>
    </row>
    <row r="2370" spans="2:24" x14ac:dyDescent="0.3">
      <c r="B2370" t="s">
        <v>2463</v>
      </c>
      <c r="C2370" t="s">
        <v>73</v>
      </c>
      <c r="D2370" t="s">
        <v>3</v>
      </c>
      <c r="E2370" t="s">
        <v>14</v>
      </c>
      <c r="F2370" t="s">
        <v>9</v>
      </c>
      <c r="G2370" t="s">
        <v>101</v>
      </c>
      <c r="H2370">
        <v>2025</v>
      </c>
      <c r="I2370">
        <v>2440</v>
      </c>
      <c r="J2370">
        <v>0.4</v>
      </c>
      <c r="K2370" t="s">
        <v>25</v>
      </c>
      <c r="L2370">
        <v>4.5</v>
      </c>
      <c r="M2370">
        <v>3.2</v>
      </c>
      <c r="N2370">
        <v>346</v>
      </c>
      <c r="O2370" t="s">
        <v>55</v>
      </c>
      <c r="P2370">
        <v>46.1</v>
      </c>
      <c r="Q2370" t="s">
        <v>86</v>
      </c>
      <c r="R2370">
        <v>77.900000000000006</v>
      </c>
      <c r="S2370">
        <v>19.899999999999999</v>
      </c>
      <c r="T2370">
        <v>5.2</v>
      </c>
      <c r="U2370">
        <v>4.5</v>
      </c>
      <c r="V2370">
        <v>7.7</v>
      </c>
      <c r="W2370">
        <v>7.3</v>
      </c>
      <c r="X2370" t="s">
        <v>57</v>
      </c>
    </row>
    <row r="2371" spans="2:24" x14ac:dyDescent="0.3">
      <c r="B2371" t="s">
        <v>2464</v>
      </c>
      <c r="C2371" t="s">
        <v>92</v>
      </c>
      <c r="D2371" t="s">
        <v>7</v>
      </c>
      <c r="E2371" t="s">
        <v>14</v>
      </c>
      <c r="F2371" t="s">
        <v>10</v>
      </c>
      <c r="G2371" t="s">
        <v>131</v>
      </c>
      <c r="H2371">
        <v>2025</v>
      </c>
      <c r="I2371">
        <v>589</v>
      </c>
      <c r="J2371">
        <v>1.6</v>
      </c>
      <c r="K2371" t="s">
        <v>21</v>
      </c>
      <c r="L2371">
        <v>2</v>
      </c>
      <c r="M2371">
        <v>1</v>
      </c>
      <c r="N2371">
        <v>934</v>
      </c>
      <c r="O2371" t="s">
        <v>64</v>
      </c>
      <c r="P2371">
        <v>85.2</v>
      </c>
      <c r="Q2371" t="s">
        <v>79</v>
      </c>
      <c r="R2371">
        <v>-11.5</v>
      </c>
      <c r="S2371">
        <v>19</v>
      </c>
      <c r="T2371">
        <v>7.6</v>
      </c>
      <c r="U2371">
        <v>1.3</v>
      </c>
      <c r="V2371">
        <v>8.3000000000000007</v>
      </c>
      <c r="W2371">
        <v>8.4</v>
      </c>
      <c r="X2371" t="s">
        <v>57</v>
      </c>
    </row>
    <row r="2372" spans="2:24" x14ac:dyDescent="0.3">
      <c r="B2372" t="s">
        <v>2465</v>
      </c>
      <c r="C2372" t="s">
        <v>83</v>
      </c>
      <c r="D2372" t="s">
        <v>4</v>
      </c>
      <c r="E2372" t="s">
        <v>14</v>
      </c>
      <c r="F2372" t="s">
        <v>9</v>
      </c>
      <c r="G2372" t="s">
        <v>104</v>
      </c>
      <c r="H2372">
        <v>2026</v>
      </c>
      <c r="I2372">
        <v>2436</v>
      </c>
      <c r="J2372">
        <v>2.5</v>
      </c>
      <c r="K2372" t="s">
        <v>21</v>
      </c>
      <c r="L2372">
        <v>8.8000000000000007</v>
      </c>
      <c r="M2372">
        <v>10</v>
      </c>
      <c r="N2372">
        <v>478</v>
      </c>
      <c r="O2372" t="s">
        <v>55</v>
      </c>
      <c r="P2372">
        <v>66.599999999999994</v>
      </c>
      <c r="Q2372" t="s">
        <v>84</v>
      </c>
      <c r="R2372">
        <v>-21.1</v>
      </c>
      <c r="S2372">
        <v>6.7</v>
      </c>
      <c r="T2372">
        <v>-1.9</v>
      </c>
      <c r="U2372">
        <v>9.6999999999999993</v>
      </c>
      <c r="V2372">
        <v>6.1</v>
      </c>
      <c r="W2372">
        <v>6.8</v>
      </c>
      <c r="X2372" t="s">
        <v>57</v>
      </c>
    </row>
    <row r="2373" spans="2:24" x14ac:dyDescent="0.3">
      <c r="B2373" t="s">
        <v>2466</v>
      </c>
      <c r="C2373" t="s">
        <v>137</v>
      </c>
      <c r="D2373" t="s">
        <v>3</v>
      </c>
      <c r="E2373" t="s">
        <v>15</v>
      </c>
      <c r="F2373" t="s">
        <v>10</v>
      </c>
      <c r="G2373" t="s">
        <v>112</v>
      </c>
      <c r="H2373">
        <v>2026</v>
      </c>
      <c r="I2373">
        <v>2880</v>
      </c>
      <c r="J2373">
        <v>7.8</v>
      </c>
      <c r="K2373" t="s">
        <v>23</v>
      </c>
      <c r="L2373">
        <v>11</v>
      </c>
      <c r="M2373">
        <v>8.3000000000000007</v>
      </c>
      <c r="N2373">
        <v>5905</v>
      </c>
      <c r="O2373" t="s">
        <v>55</v>
      </c>
      <c r="P2373">
        <v>71.099999999999994</v>
      </c>
      <c r="Q2373" t="s">
        <v>88</v>
      </c>
      <c r="R2373">
        <v>22</v>
      </c>
      <c r="S2373">
        <v>55.9</v>
      </c>
      <c r="T2373">
        <v>20.7</v>
      </c>
      <c r="U2373">
        <v>8.5</v>
      </c>
      <c r="V2373">
        <v>7.6</v>
      </c>
      <c r="W2373">
        <v>7.4</v>
      </c>
      <c r="X2373" t="s">
        <v>116</v>
      </c>
    </row>
    <row r="2374" spans="2:24" x14ac:dyDescent="0.3">
      <c r="B2374" t="s">
        <v>2467</v>
      </c>
      <c r="C2374" t="s">
        <v>53</v>
      </c>
      <c r="D2374" t="s">
        <v>3</v>
      </c>
      <c r="E2374" t="s">
        <v>19</v>
      </c>
      <c r="F2374" t="s">
        <v>11</v>
      </c>
      <c r="G2374" t="s">
        <v>101</v>
      </c>
      <c r="H2374">
        <v>2025</v>
      </c>
      <c r="I2374">
        <v>4395</v>
      </c>
      <c r="J2374">
        <v>8.5</v>
      </c>
      <c r="K2374" t="s">
        <v>22</v>
      </c>
      <c r="L2374">
        <v>2.1</v>
      </c>
      <c r="M2374">
        <v>4.3</v>
      </c>
      <c r="N2374">
        <v>5120</v>
      </c>
      <c r="O2374" t="s">
        <v>55</v>
      </c>
      <c r="P2374">
        <v>67.7</v>
      </c>
      <c r="Q2374" t="s">
        <v>65</v>
      </c>
      <c r="R2374">
        <v>-32.6</v>
      </c>
      <c r="S2374">
        <v>-23.8</v>
      </c>
      <c r="T2374">
        <v>-9.4</v>
      </c>
      <c r="U2374">
        <v>3.3</v>
      </c>
      <c r="V2374">
        <v>7</v>
      </c>
      <c r="W2374">
        <v>4.5999999999999996</v>
      </c>
      <c r="X2374" t="s">
        <v>116</v>
      </c>
    </row>
    <row r="2375" spans="2:24" x14ac:dyDescent="0.3">
      <c r="B2375" t="s">
        <v>2468</v>
      </c>
      <c r="C2375" t="s">
        <v>53</v>
      </c>
      <c r="D2375" t="s">
        <v>4</v>
      </c>
      <c r="E2375" t="s">
        <v>19</v>
      </c>
      <c r="F2375" t="s">
        <v>9</v>
      </c>
      <c r="G2375" t="s">
        <v>101</v>
      </c>
      <c r="H2375">
        <v>2025</v>
      </c>
      <c r="I2375">
        <v>12456</v>
      </c>
      <c r="J2375">
        <v>27.2</v>
      </c>
      <c r="K2375" t="s">
        <v>23</v>
      </c>
      <c r="L2375">
        <v>5.9</v>
      </c>
      <c r="M2375">
        <v>10</v>
      </c>
      <c r="N2375">
        <v>527</v>
      </c>
      <c r="O2375" t="s">
        <v>64</v>
      </c>
      <c r="P2375">
        <v>49.5</v>
      </c>
      <c r="Q2375" t="s">
        <v>86</v>
      </c>
      <c r="R2375">
        <v>79.5</v>
      </c>
      <c r="S2375">
        <v>1.2</v>
      </c>
      <c r="T2375">
        <v>-9.4</v>
      </c>
      <c r="U2375">
        <v>6.2</v>
      </c>
      <c r="V2375">
        <v>5.4</v>
      </c>
      <c r="W2375">
        <v>4.2</v>
      </c>
      <c r="X2375" t="s">
        <v>66</v>
      </c>
    </row>
    <row r="2376" spans="2:24" x14ac:dyDescent="0.3">
      <c r="B2376" t="s">
        <v>2469</v>
      </c>
      <c r="C2376" t="s">
        <v>94</v>
      </c>
      <c r="D2376" t="s">
        <v>6</v>
      </c>
      <c r="E2376" t="s">
        <v>15</v>
      </c>
      <c r="F2376" t="s">
        <v>11</v>
      </c>
      <c r="G2376" t="s">
        <v>74</v>
      </c>
      <c r="H2376">
        <v>2026</v>
      </c>
      <c r="I2376">
        <v>1537</v>
      </c>
      <c r="J2376">
        <v>2.2999999999999998</v>
      </c>
      <c r="K2376" t="s">
        <v>25</v>
      </c>
      <c r="L2376">
        <v>2.9</v>
      </c>
      <c r="M2376">
        <v>3.7</v>
      </c>
      <c r="N2376">
        <v>1889</v>
      </c>
      <c r="O2376" t="s">
        <v>64</v>
      </c>
      <c r="P2376">
        <v>78</v>
      </c>
      <c r="Q2376" t="s">
        <v>76</v>
      </c>
      <c r="R2376">
        <v>-3.7</v>
      </c>
      <c r="S2376">
        <v>-18.600000000000001</v>
      </c>
      <c r="T2376">
        <v>-9.3000000000000007</v>
      </c>
      <c r="U2376">
        <v>3.3</v>
      </c>
      <c r="V2376">
        <v>7</v>
      </c>
      <c r="W2376">
        <v>6.6</v>
      </c>
      <c r="X2376" t="s">
        <v>116</v>
      </c>
    </row>
    <row r="2377" spans="2:24" x14ac:dyDescent="0.3">
      <c r="B2377" t="s">
        <v>2470</v>
      </c>
      <c r="C2377" t="s">
        <v>122</v>
      </c>
      <c r="D2377" t="s">
        <v>2</v>
      </c>
      <c r="E2377" t="s">
        <v>18</v>
      </c>
      <c r="F2377" t="s">
        <v>11</v>
      </c>
      <c r="G2377" t="s">
        <v>63</v>
      </c>
      <c r="H2377">
        <v>2025</v>
      </c>
      <c r="I2377">
        <v>169</v>
      </c>
      <c r="J2377">
        <v>3.2</v>
      </c>
      <c r="K2377" t="s">
        <v>24</v>
      </c>
      <c r="L2377">
        <v>7.5</v>
      </c>
      <c r="M2377">
        <v>9.3000000000000007</v>
      </c>
      <c r="N2377">
        <v>5544</v>
      </c>
      <c r="O2377" t="s">
        <v>55</v>
      </c>
      <c r="P2377">
        <v>34.1</v>
      </c>
      <c r="Q2377" t="s">
        <v>76</v>
      </c>
      <c r="R2377">
        <v>9.6</v>
      </c>
      <c r="S2377">
        <v>12.1</v>
      </c>
      <c r="T2377">
        <v>-0.2</v>
      </c>
      <c r="U2377">
        <v>5.3</v>
      </c>
      <c r="V2377">
        <v>6.9</v>
      </c>
      <c r="W2377">
        <v>7</v>
      </c>
      <c r="X2377" t="s">
        <v>57</v>
      </c>
    </row>
    <row r="2378" spans="2:24" x14ac:dyDescent="0.3">
      <c r="B2378" t="s">
        <v>2471</v>
      </c>
      <c r="C2378" t="s">
        <v>90</v>
      </c>
      <c r="D2378" t="s">
        <v>3</v>
      </c>
      <c r="E2378" t="s">
        <v>14</v>
      </c>
      <c r="F2378" t="s">
        <v>11</v>
      </c>
      <c r="G2378" t="s">
        <v>115</v>
      </c>
      <c r="H2378">
        <v>2026</v>
      </c>
      <c r="I2378">
        <v>4521</v>
      </c>
      <c r="J2378">
        <v>13.2</v>
      </c>
      <c r="K2378" t="s">
        <v>21</v>
      </c>
      <c r="L2378">
        <v>9.9</v>
      </c>
      <c r="M2378">
        <v>10</v>
      </c>
      <c r="N2378">
        <v>2089</v>
      </c>
      <c r="O2378" t="s">
        <v>55</v>
      </c>
      <c r="P2378">
        <v>25.1</v>
      </c>
      <c r="Q2378" t="s">
        <v>76</v>
      </c>
      <c r="R2378">
        <v>5.6</v>
      </c>
      <c r="S2378">
        <v>41.1</v>
      </c>
      <c r="T2378">
        <v>16.399999999999999</v>
      </c>
      <c r="U2378">
        <v>10</v>
      </c>
      <c r="V2378">
        <v>6.7</v>
      </c>
      <c r="W2378">
        <v>5.4</v>
      </c>
      <c r="X2378" t="s">
        <v>116</v>
      </c>
    </row>
    <row r="2379" spans="2:24" x14ac:dyDescent="0.3">
      <c r="B2379" t="s">
        <v>2472</v>
      </c>
      <c r="C2379" t="s">
        <v>106</v>
      </c>
      <c r="D2379" t="s">
        <v>7</v>
      </c>
      <c r="E2379" t="s">
        <v>18</v>
      </c>
      <c r="F2379" t="s">
        <v>11</v>
      </c>
      <c r="G2379" t="s">
        <v>101</v>
      </c>
      <c r="H2379">
        <v>2024</v>
      </c>
      <c r="I2379">
        <v>2544</v>
      </c>
      <c r="J2379">
        <v>13.1</v>
      </c>
      <c r="K2379" t="s">
        <v>25</v>
      </c>
      <c r="L2379">
        <v>3.7</v>
      </c>
      <c r="M2379">
        <v>10</v>
      </c>
      <c r="N2379">
        <v>1645</v>
      </c>
      <c r="O2379" t="s">
        <v>64</v>
      </c>
      <c r="P2379">
        <v>30.7</v>
      </c>
      <c r="Q2379" t="s">
        <v>125</v>
      </c>
      <c r="R2379">
        <v>-33.5</v>
      </c>
      <c r="S2379">
        <v>53.8</v>
      </c>
      <c r="T2379">
        <v>20.6</v>
      </c>
      <c r="U2379">
        <v>5.7</v>
      </c>
      <c r="V2379">
        <v>8.3000000000000007</v>
      </c>
      <c r="W2379">
        <v>5.5</v>
      </c>
      <c r="X2379" t="s">
        <v>116</v>
      </c>
    </row>
    <row r="2380" spans="2:24" x14ac:dyDescent="0.3">
      <c r="B2380" t="s">
        <v>2473</v>
      </c>
      <c r="C2380" t="s">
        <v>27</v>
      </c>
      <c r="D2380" t="s">
        <v>2</v>
      </c>
      <c r="E2380" t="s">
        <v>19</v>
      </c>
      <c r="F2380" t="s">
        <v>10</v>
      </c>
      <c r="G2380" t="s">
        <v>104</v>
      </c>
      <c r="H2380">
        <v>2026</v>
      </c>
      <c r="I2380">
        <v>3302</v>
      </c>
      <c r="J2380">
        <v>10.3</v>
      </c>
      <c r="K2380" t="s">
        <v>25</v>
      </c>
      <c r="L2380">
        <v>10.5</v>
      </c>
      <c r="M2380">
        <v>6.4</v>
      </c>
      <c r="N2380">
        <v>7617</v>
      </c>
      <c r="O2380" t="s">
        <v>55</v>
      </c>
      <c r="P2380">
        <v>15.7</v>
      </c>
      <c r="Q2380" t="s">
        <v>76</v>
      </c>
      <c r="R2380">
        <v>34.5</v>
      </c>
      <c r="S2380">
        <v>13.2</v>
      </c>
      <c r="T2380">
        <v>2.2000000000000002</v>
      </c>
      <c r="U2380">
        <v>6.3</v>
      </c>
      <c r="V2380">
        <v>5.2</v>
      </c>
      <c r="W2380">
        <v>6.5</v>
      </c>
      <c r="X2380" t="s">
        <v>116</v>
      </c>
    </row>
    <row r="2381" spans="2:24" x14ac:dyDescent="0.3">
      <c r="B2381" t="s">
        <v>2474</v>
      </c>
      <c r="C2381" t="s">
        <v>53</v>
      </c>
      <c r="D2381" t="s">
        <v>2</v>
      </c>
      <c r="E2381" t="s">
        <v>17</v>
      </c>
      <c r="F2381" t="s">
        <v>9</v>
      </c>
      <c r="G2381" t="s">
        <v>69</v>
      </c>
      <c r="H2381">
        <v>2025</v>
      </c>
      <c r="I2381">
        <v>3926</v>
      </c>
      <c r="J2381">
        <v>12.6</v>
      </c>
      <c r="K2381" t="s">
        <v>21</v>
      </c>
      <c r="L2381">
        <v>6.9</v>
      </c>
      <c r="M2381">
        <v>7.6</v>
      </c>
      <c r="N2381">
        <v>7475</v>
      </c>
      <c r="O2381" t="s">
        <v>55</v>
      </c>
      <c r="P2381">
        <v>38.1</v>
      </c>
      <c r="Q2381" t="s">
        <v>76</v>
      </c>
      <c r="R2381">
        <v>82.5</v>
      </c>
      <c r="S2381">
        <v>27.2</v>
      </c>
      <c r="T2381">
        <v>9.9</v>
      </c>
      <c r="U2381">
        <v>5.4</v>
      </c>
      <c r="V2381">
        <v>7.5</v>
      </c>
      <c r="W2381">
        <v>5.5</v>
      </c>
      <c r="X2381" t="s">
        <v>116</v>
      </c>
    </row>
    <row r="2382" spans="2:24" x14ac:dyDescent="0.3">
      <c r="B2382" t="s">
        <v>2475</v>
      </c>
      <c r="C2382" t="s">
        <v>159</v>
      </c>
      <c r="D2382" t="s">
        <v>7</v>
      </c>
      <c r="E2382" t="s">
        <v>18</v>
      </c>
      <c r="F2382" t="s">
        <v>11</v>
      </c>
      <c r="G2382" t="s">
        <v>101</v>
      </c>
      <c r="H2382">
        <v>2025</v>
      </c>
      <c r="I2382">
        <v>154</v>
      </c>
      <c r="J2382">
        <v>4.3</v>
      </c>
      <c r="K2382" t="s">
        <v>24</v>
      </c>
      <c r="L2382">
        <v>2.2000000000000002</v>
      </c>
      <c r="M2382">
        <v>2.8</v>
      </c>
      <c r="N2382">
        <v>4311</v>
      </c>
      <c r="O2382" t="s">
        <v>64</v>
      </c>
      <c r="P2382">
        <v>28.7</v>
      </c>
      <c r="Q2382" t="s">
        <v>56</v>
      </c>
      <c r="R2382">
        <v>33.200000000000003</v>
      </c>
      <c r="S2382">
        <v>29.4</v>
      </c>
      <c r="T2382">
        <v>2.4</v>
      </c>
      <c r="U2382">
        <v>1.8</v>
      </c>
      <c r="V2382">
        <v>5.8</v>
      </c>
      <c r="W2382">
        <v>8.3000000000000007</v>
      </c>
      <c r="X2382" t="s">
        <v>57</v>
      </c>
    </row>
    <row r="2383" spans="2:24" x14ac:dyDescent="0.3">
      <c r="B2383" t="s">
        <v>2476</v>
      </c>
      <c r="C2383" t="s">
        <v>106</v>
      </c>
      <c r="D2383" t="s">
        <v>8</v>
      </c>
      <c r="E2383" t="s">
        <v>18</v>
      </c>
      <c r="F2383" t="s">
        <v>11</v>
      </c>
      <c r="G2383" t="s">
        <v>115</v>
      </c>
      <c r="H2383">
        <v>2024</v>
      </c>
      <c r="I2383">
        <v>1853</v>
      </c>
      <c r="J2383">
        <v>6.8</v>
      </c>
      <c r="K2383" t="s">
        <v>25</v>
      </c>
      <c r="L2383">
        <v>3.3</v>
      </c>
      <c r="M2383">
        <v>5.2</v>
      </c>
      <c r="N2383">
        <v>2539</v>
      </c>
      <c r="O2383" t="s">
        <v>64</v>
      </c>
      <c r="P2383">
        <v>36.1</v>
      </c>
      <c r="Q2383" t="s">
        <v>84</v>
      </c>
      <c r="R2383">
        <v>23.1</v>
      </c>
      <c r="S2383">
        <v>43</v>
      </c>
      <c r="T2383">
        <v>25.7</v>
      </c>
      <c r="U2383">
        <v>4.9000000000000004</v>
      </c>
      <c r="V2383">
        <v>6.5</v>
      </c>
      <c r="W2383">
        <v>7.4</v>
      </c>
      <c r="X2383" t="s">
        <v>57</v>
      </c>
    </row>
    <row r="2384" spans="2:24" x14ac:dyDescent="0.3">
      <c r="B2384" t="s">
        <v>2477</v>
      </c>
      <c r="C2384" t="s">
        <v>106</v>
      </c>
      <c r="D2384" t="s">
        <v>4</v>
      </c>
      <c r="E2384" t="s">
        <v>18</v>
      </c>
      <c r="F2384" t="s">
        <v>9</v>
      </c>
      <c r="G2384" t="s">
        <v>60</v>
      </c>
      <c r="H2384">
        <v>2026</v>
      </c>
      <c r="I2384">
        <v>5669</v>
      </c>
      <c r="J2384">
        <v>17.100000000000001</v>
      </c>
      <c r="K2384" t="s">
        <v>24</v>
      </c>
      <c r="L2384">
        <v>1.4</v>
      </c>
      <c r="M2384">
        <v>4.9000000000000004</v>
      </c>
      <c r="N2384">
        <v>2748</v>
      </c>
      <c r="O2384" t="s">
        <v>75</v>
      </c>
      <c r="P2384">
        <v>14</v>
      </c>
      <c r="Q2384" t="s">
        <v>56</v>
      </c>
      <c r="R2384">
        <v>-5.8</v>
      </c>
      <c r="S2384">
        <v>48.6</v>
      </c>
      <c r="T2384">
        <v>18.2</v>
      </c>
      <c r="U2384">
        <v>1.4</v>
      </c>
      <c r="V2384">
        <v>5.7</v>
      </c>
      <c r="W2384">
        <v>6.3</v>
      </c>
      <c r="X2384" t="s">
        <v>116</v>
      </c>
    </row>
    <row r="2385" spans="2:24" x14ac:dyDescent="0.3">
      <c r="B2385" t="s">
        <v>2478</v>
      </c>
      <c r="C2385" t="s">
        <v>106</v>
      </c>
      <c r="D2385" t="s">
        <v>3</v>
      </c>
      <c r="E2385" t="s">
        <v>14</v>
      </c>
      <c r="F2385" t="s">
        <v>12</v>
      </c>
      <c r="G2385" t="s">
        <v>101</v>
      </c>
      <c r="H2385">
        <v>2026</v>
      </c>
      <c r="I2385">
        <v>5220</v>
      </c>
      <c r="J2385">
        <v>12.1</v>
      </c>
      <c r="K2385" t="s">
        <v>23</v>
      </c>
      <c r="L2385">
        <v>8.4</v>
      </c>
      <c r="M2385">
        <v>6.2</v>
      </c>
      <c r="N2385">
        <v>1927</v>
      </c>
      <c r="O2385" t="s">
        <v>55</v>
      </c>
      <c r="P2385">
        <v>76.900000000000006</v>
      </c>
      <c r="Q2385" t="s">
        <v>56</v>
      </c>
      <c r="R2385">
        <v>72.900000000000006</v>
      </c>
      <c r="S2385">
        <v>10</v>
      </c>
      <c r="T2385">
        <v>-2.5</v>
      </c>
      <c r="U2385">
        <v>7.7</v>
      </c>
      <c r="V2385">
        <v>7.5</v>
      </c>
      <c r="W2385">
        <v>5.9</v>
      </c>
      <c r="X2385" t="s">
        <v>66</v>
      </c>
    </row>
    <row r="2386" spans="2:24" x14ac:dyDescent="0.3">
      <c r="B2386" t="s">
        <v>2479</v>
      </c>
      <c r="C2386" t="s">
        <v>62</v>
      </c>
      <c r="D2386" t="s">
        <v>2</v>
      </c>
      <c r="E2386" t="s">
        <v>15</v>
      </c>
      <c r="F2386" t="s">
        <v>10</v>
      </c>
      <c r="G2386" t="s">
        <v>131</v>
      </c>
      <c r="H2386">
        <v>2026</v>
      </c>
      <c r="I2386">
        <v>1127</v>
      </c>
      <c r="J2386">
        <v>0.1</v>
      </c>
      <c r="K2386" t="s">
        <v>21</v>
      </c>
      <c r="L2386">
        <v>12.2</v>
      </c>
      <c r="M2386">
        <v>8.6</v>
      </c>
      <c r="N2386">
        <v>8992</v>
      </c>
      <c r="O2386" t="s">
        <v>118</v>
      </c>
      <c r="P2386">
        <v>41.8</v>
      </c>
      <c r="Q2386" t="s">
        <v>76</v>
      </c>
      <c r="R2386">
        <v>62.1</v>
      </c>
      <c r="S2386">
        <v>29.9</v>
      </c>
      <c r="T2386">
        <v>23.5</v>
      </c>
      <c r="U2386">
        <v>7.9</v>
      </c>
      <c r="V2386">
        <v>6</v>
      </c>
      <c r="W2386">
        <v>6.5</v>
      </c>
      <c r="X2386" t="s">
        <v>57</v>
      </c>
    </row>
    <row r="2387" spans="2:24" x14ac:dyDescent="0.3">
      <c r="B2387" t="s">
        <v>2480</v>
      </c>
      <c r="C2387" t="s">
        <v>59</v>
      </c>
      <c r="D2387" t="s">
        <v>4</v>
      </c>
      <c r="E2387" t="s">
        <v>18</v>
      </c>
      <c r="F2387" t="s">
        <v>12</v>
      </c>
      <c r="G2387" t="s">
        <v>54</v>
      </c>
      <c r="H2387">
        <v>2024</v>
      </c>
      <c r="I2387">
        <v>802</v>
      </c>
      <c r="J2387">
        <v>3.4</v>
      </c>
      <c r="K2387" t="s">
        <v>22</v>
      </c>
      <c r="L2387">
        <v>10.3</v>
      </c>
      <c r="M2387">
        <v>8.5</v>
      </c>
      <c r="N2387">
        <v>3886</v>
      </c>
      <c r="O2387" t="s">
        <v>55</v>
      </c>
      <c r="P2387">
        <v>80.599999999999994</v>
      </c>
      <c r="Q2387" t="s">
        <v>86</v>
      </c>
      <c r="R2387">
        <v>-12.2</v>
      </c>
      <c r="S2387">
        <v>0.9</v>
      </c>
      <c r="T2387">
        <v>-3.3</v>
      </c>
      <c r="U2387">
        <v>6.7</v>
      </c>
      <c r="V2387">
        <v>5.4</v>
      </c>
      <c r="W2387">
        <v>5.4</v>
      </c>
      <c r="X2387" t="s">
        <v>57</v>
      </c>
    </row>
    <row r="2388" spans="2:24" x14ac:dyDescent="0.3">
      <c r="B2388" t="s">
        <v>2481</v>
      </c>
      <c r="C2388" t="s">
        <v>53</v>
      </c>
      <c r="D2388" t="s">
        <v>7</v>
      </c>
      <c r="E2388" t="s">
        <v>16</v>
      </c>
      <c r="F2388" t="s">
        <v>11</v>
      </c>
      <c r="G2388" t="s">
        <v>98</v>
      </c>
      <c r="H2388">
        <v>2024</v>
      </c>
      <c r="I2388">
        <v>12633</v>
      </c>
      <c r="J2388">
        <v>9</v>
      </c>
      <c r="K2388" t="s">
        <v>24</v>
      </c>
      <c r="L2388">
        <v>4</v>
      </c>
      <c r="M2388">
        <v>5.5</v>
      </c>
      <c r="N2388">
        <v>222</v>
      </c>
      <c r="O2388" t="s">
        <v>64</v>
      </c>
      <c r="P2388">
        <v>11.1</v>
      </c>
      <c r="Q2388" t="s">
        <v>86</v>
      </c>
      <c r="R2388">
        <v>-16.3</v>
      </c>
      <c r="S2388">
        <v>-10.4</v>
      </c>
      <c r="T2388">
        <v>-9.3000000000000007</v>
      </c>
      <c r="U2388">
        <v>5</v>
      </c>
      <c r="V2388">
        <v>6.1</v>
      </c>
      <c r="W2388">
        <v>5.7</v>
      </c>
      <c r="X2388" t="s">
        <v>66</v>
      </c>
    </row>
    <row r="2389" spans="2:24" x14ac:dyDescent="0.3">
      <c r="B2389" t="s">
        <v>2482</v>
      </c>
      <c r="C2389" t="s">
        <v>100</v>
      </c>
      <c r="D2389" t="s">
        <v>3</v>
      </c>
      <c r="E2389" t="s">
        <v>16</v>
      </c>
      <c r="F2389" t="s">
        <v>11</v>
      </c>
      <c r="G2389" t="s">
        <v>63</v>
      </c>
      <c r="H2389">
        <v>2026</v>
      </c>
      <c r="I2389">
        <v>2088</v>
      </c>
      <c r="J2389">
        <v>20</v>
      </c>
      <c r="K2389" t="s">
        <v>23</v>
      </c>
      <c r="L2389">
        <v>11.2</v>
      </c>
      <c r="M2389">
        <v>10</v>
      </c>
      <c r="N2389">
        <v>294</v>
      </c>
      <c r="O2389" t="s">
        <v>64</v>
      </c>
      <c r="P2389">
        <v>66</v>
      </c>
      <c r="Q2389" t="s">
        <v>65</v>
      </c>
      <c r="R2389">
        <v>42.7</v>
      </c>
      <c r="S2389">
        <v>49.9</v>
      </c>
      <c r="T2389">
        <v>14.7</v>
      </c>
      <c r="U2389">
        <v>9.5</v>
      </c>
      <c r="V2389">
        <v>8.1999999999999993</v>
      </c>
      <c r="W2389">
        <v>5.8</v>
      </c>
      <c r="X2389" t="s">
        <v>66</v>
      </c>
    </row>
    <row r="2390" spans="2:24" x14ac:dyDescent="0.3">
      <c r="B2390" t="s">
        <v>2483</v>
      </c>
      <c r="C2390" t="s">
        <v>27</v>
      </c>
      <c r="D2390" t="s">
        <v>2</v>
      </c>
      <c r="E2390" t="s">
        <v>19</v>
      </c>
      <c r="F2390" t="s">
        <v>9</v>
      </c>
      <c r="G2390" t="s">
        <v>115</v>
      </c>
      <c r="H2390">
        <v>2025</v>
      </c>
      <c r="I2390">
        <v>6751</v>
      </c>
      <c r="J2390">
        <v>19.5</v>
      </c>
      <c r="K2390" t="s">
        <v>21</v>
      </c>
      <c r="L2390">
        <v>2.8</v>
      </c>
      <c r="M2390">
        <v>8.4</v>
      </c>
      <c r="N2390">
        <v>9283</v>
      </c>
      <c r="O2390" t="s">
        <v>55</v>
      </c>
      <c r="P2390">
        <v>68.900000000000006</v>
      </c>
      <c r="Q2390" t="s">
        <v>56</v>
      </c>
      <c r="R2390">
        <v>-14.9</v>
      </c>
      <c r="S2390">
        <v>-14.7</v>
      </c>
      <c r="T2390">
        <v>-5.8</v>
      </c>
      <c r="U2390">
        <v>4.3</v>
      </c>
      <c r="V2390">
        <v>5.0999999999999996</v>
      </c>
      <c r="W2390">
        <v>3.5</v>
      </c>
      <c r="X2390" t="s">
        <v>66</v>
      </c>
    </row>
    <row r="2391" spans="2:24" x14ac:dyDescent="0.3">
      <c r="B2391" t="s">
        <v>2484</v>
      </c>
      <c r="C2391" t="s">
        <v>90</v>
      </c>
      <c r="D2391" t="s">
        <v>2</v>
      </c>
      <c r="E2391" t="s">
        <v>19</v>
      </c>
      <c r="F2391" t="s">
        <v>10</v>
      </c>
      <c r="G2391" t="s">
        <v>101</v>
      </c>
      <c r="H2391">
        <v>2025</v>
      </c>
      <c r="I2391">
        <v>4965</v>
      </c>
      <c r="J2391">
        <v>13.8</v>
      </c>
      <c r="K2391" t="s">
        <v>23</v>
      </c>
      <c r="L2391">
        <v>6.8</v>
      </c>
      <c r="M2391">
        <v>10</v>
      </c>
      <c r="N2391">
        <v>7238</v>
      </c>
      <c r="O2391" t="s">
        <v>55</v>
      </c>
      <c r="P2391">
        <v>15.8</v>
      </c>
      <c r="Q2391" t="s">
        <v>76</v>
      </c>
      <c r="R2391">
        <v>9.1999999999999993</v>
      </c>
      <c r="S2391">
        <v>-15.9</v>
      </c>
      <c r="T2391">
        <v>0.7</v>
      </c>
      <c r="U2391">
        <v>6.7</v>
      </c>
      <c r="V2391">
        <v>5.4</v>
      </c>
      <c r="W2391">
        <v>4.9000000000000004</v>
      </c>
      <c r="X2391" t="s">
        <v>116</v>
      </c>
    </row>
    <row r="2392" spans="2:24" x14ac:dyDescent="0.3">
      <c r="B2392" t="s">
        <v>2485</v>
      </c>
      <c r="C2392" t="s">
        <v>97</v>
      </c>
      <c r="D2392" t="s">
        <v>3</v>
      </c>
      <c r="E2392" t="s">
        <v>15</v>
      </c>
      <c r="F2392" t="s">
        <v>9</v>
      </c>
      <c r="G2392" t="s">
        <v>60</v>
      </c>
      <c r="H2392">
        <v>2026</v>
      </c>
      <c r="I2392">
        <v>11950</v>
      </c>
      <c r="J2392">
        <v>11</v>
      </c>
      <c r="K2392" t="s">
        <v>25</v>
      </c>
      <c r="L2392">
        <v>6.4</v>
      </c>
      <c r="M2392">
        <v>7.6</v>
      </c>
      <c r="N2392">
        <v>568</v>
      </c>
      <c r="O2392" t="s">
        <v>64</v>
      </c>
      <c r="P2392">
        <v>57.8</v>
      </c>
      <c r="Q2392" t="s">
        <v>79</v>
      </c>
      <c r="R2392">
        <v>36.700000000000003</v>
      </c>
      <c r="S2392">
        <v>29.2</v>
      </c>
      <c r="T2392">
        <v>13.9</v>
      </c>
      <c r="U2392">
        <v>5.6</v>
      </c>
      <c r="V2392">
        <v>7.7</v>
      </c>
      <c r="W2392">
        <v>6.6</v>
      </c>
      <c r="X2392" t="s">
        <v>66</v>
      </c>
    </row>
    <row r="2393" spans="2:24" x14ac:dyDescent="0.3">
      <c r="B2393" t="s">
        <v>2486</v>
      </c>
      <c r="C2393" t="s">
        <v>106</v>
      </c>
      <c r="D2393" t="s">
        <v>7</v>
      </c>
      <c r="E2393" t="s">
        <v>18</v>
      </c>
      <c r="F2393" t="s">
        <v>10</v>
      </c>
      <c r="G2393" t="s">
        <v>101</v>
      </c>
      <c r="H2393">
        <v>2024</v>
      </c>
      <c r="I2393">
        <v>851</v>
      </c>
      <c r="J2393">
        <v>11.2</v>
      </c>
      <c r="K2393" t="s">
        <v>22</v>
      </c>
      <c r="L2393">
        <v>2</v>
      </c>
      <c r="M2393">
        <v>2.5</v>
      </c>
      <c r="N2393">
        <v>3552</v>
      </c>
      <c r="O2393" t="s">
        <v>64</v>
      </c>
      <c r="P2393">
        <v>49</v>
      </c>
      <c r="Q2393" t="s">
        <v>65</v>
      </c>
      <c r="R2393">
        <v>19.100000000000001</v>
      </c>
      <c r="S2393">
        <v>6.2</v>
      </c>
      <c r="T2393">
        <v>-0.5</v>
      </c>
      <c r="U2393">
        <v>1.2</v>
      </c>
      <c r="V2393">
        <v>5.4</v>
      </c>
      <c r="W2393">
        <v>5.9</v>
      </c>
      <c r="X2393" t="s">
        <v>116</v>
      </c>
    </row>
    <row r="2394" spans="2:24" x14ac:dyDescent="0.3">
      <c r="B2394" t="s">
        <v>2487</v>
      </c>
      <c r="C2394" t="s">
        <v>53</v>
      </c>
      <c r="D2394" t="s">
        <v>2</v>
      </c>
      <c r="E2394" t="s">
        <v>15</v>
      </c>
      <c r="F2394" t="s">
        <v>12</v>
      </c>
      <c r="G2394" t="s">
        <v>74</v>
      </c>
      <c r="H2394">
        <v>2025</v>
      </c>
      <c r="I2394">
        <v>3052</v>
      </c>
      <c r="J2394">
        <v>15.6</v>
      </c>
      <c r="K2394" t="s">
        <v>25</v>
      </c>
      <c r="L2394">
        <v>9</v>
      </c>
      <c r="M2394">
        <v>6.1</v>
      </c>
      <c r="N2394">
        <v>8930</v>
      </c>
      <c r="O2394" t="s">
        <v>55</v>
      </c>
      <c r="P2394">
        <v>72.7</v>
      </c>
      <c r="Q2394" t="s">
        <v>56</v>
      </c>
      <c r="R2394">
        <v>78.099999999999994</v>
      </c>
      <c r="S2394">
        <v>32.799999999999997</v>
      </c>
      <c r="T2394">
        <v>4.5</v>
      </c>
      <c r="U2394">
        <v>5.6</v>
      </c>
      <c r="V2394">
        <v>7.5</v>
      </c>
      <c r="W2394">
        <v>6.1</v>
      </c>
      <c r="X2394" t="s">
        <v>116</v>
      </c>
    </row>
    <row r="2395" spans="2:24" x14ac:dyDescent="0.3">
      <c r="B2395" t="s">
        <v>2488</v>
      </c>
      <c r="C2395" t="s">
        <v>71</v>
      </c>
      <c r="D2395" t="s">
        <v>6</v>
      </c>
      <c r="E2395" t="s">
        <v>16</v>
      </c>
      <c r="F2395" t="s">
        <v>10</v>
      </c>
      <c r="G2395" t="s">
        <v>115</v>
      </c>
      <c r="H2395">
        <v>2025</v>
      </c>
      <c r="I2395">
        <v>3343</v>
      </c>
      <c r="J2395">
        <v>25.5</v>
      </c>
      <c r="K2395" t="s">
        <v>23</v>
      </c>
      <c r="L2395">
        <v>13</v>
      </c>
      <c r="M2395">
        <v>9.1</v>
      </c>
      <c r="N2395">
        <v>166</v>
      </c>
      <c r="O2395" t="s">
        <v>64</v>
      </c>
      <c r="P2395">
        <v>43.1</v>
      </c>
      <c r="Q2395" t="s">
        <v>84</v>
      </c>
      <c r="R2395">
        <v>21.5</v>
      </c>
      <c r="S2395">
        <v>-13.8</v>
      </c>
      <c r="T2395">
        <v>-11.8</v>
      </c>
      <c r="U2395">
        <v>8.1999999999999993</v>
      </c>
      <c r="V2395">
        <v>5</v>
      </c>
      <c r="W2395">
        <v>3</v>
      </c>
      <c r="X2395" t="s">
        <v>66</v>
      </c>
    </row>
    <row r="2396" spans="2:24" x14ac:dyDescent="0.3">
      <c r="B2396" t="s">
        <v>2489</v>
      </c>
      <c r="C2396" t="s">
        <v>53</v>
      </c>
      <c r="D2396" t="s">
        <v>3</v>
      </c>
      <c r="E2396" t="s">
        <v>19</v>
      </c>
      <c r="F2396" t="s">
        <v>10</v>
      </c>
      <c r="G2396" t="s">
        <v>115</v>
      </c>
      <c r="H2396">
        <v>2025</v>
      </c>
      <c r="I2396">
        <v>4340</v>
      </c>
      <c r="J2396">
        <v>1.7</v>
      </c>
      <c r="K2396" t="s">
        <v>23</v>
      </c>
      <c r="L2396">
        <v>1.9</v>
      </c>
      <c r="M2396">
        <v>1</v>
      </c>
      <c r="N2396">
        <v>2688</v>
      </c>
      <c r="O2396" t="s">
        <v>55</v>
      </c>
      <c r="P2396">
        <v>42.8</v>
      </c>
      <c r="Q2396" t="s">
        <v>86</v>
      </c>
      <c r="R2396">
        <v>-35.1</v>
      </c>
      <c r="S2396">
        <v>39.6</v>
      </c>
      <c r="T2396">
        <v>10.4</v>
      </c>
      <c r="U2396">
        <v>1.1000000000000001</v>
      </c>
      <c r="V2396">
        <v>8.6999999999999993</v>
      </c>
      <c r="W2396">
        <v>9.4</v>
      </c>
      <c r="X2396" t="s">
        <v>116</v>
      </c>
    </row>
    <row r="2397" spans="2:24" x14ac:dyDescent="0.3">
      <c r="B2397" t="s">
        <v>2490</v>
      </c>
      <c r="C2397" t="s">
        <v>73</v>
      </c>
      <c r="D2397" t="s">
        <v>3</v>
      </c>
      <c r="E2397" t="s">
        <v>16</v>
      </c>
      <c r="F2397" t="s">
        <v>11</v>
      </c>
      <c r="G2397" t="s">
        <v>78</v>
      </c>
      <c r="H2397">
        <v>2024</v>
      </c>
      <c r="I2397">
        <v>14150</v>
      </c>
      <c r="J2397">
        <v>10.7</v>
      </c>
      <c r="K2397" t="s">
        <v>24</v>
      </c>
      <c r="L2397">
        <v>9.8000000000000007</v>
      </c>
      <c r="M2397">
        <v>6</v>
      </c>
      <c r="N2397">
        <v>1660</v>
      </c>
      <c r="O2397" t="s">
        <v>55</v>
      </c>
      <c r="P2397">
        <v>42.5</v>
      </c>
      <c r="Q2397" t="s">
        <v>125</v>
      </c>
      <c r="R2397">
        <v>17.899999999999999</v>
      </c>
      <c r="S2397">
        <v>51.2</v>
      </c>
      <c r="T2397">
        <v>23.4</v>
      </c>
      <c r="U2397">
        <v>5.8</v>
      </c>
      <c r="V2397">
        <v>9.4</v>
      </c>
      <c r="W2397">
        <v>7.4</v>
      </c>
      <c r="X2397" t="s">
        <v>66</v>
      </c>
    </row>
    <row r="2398" spans="2:24" x14ac:dyDescent="0.3">
      <c r="B2398" t="s">
        <v>2491</v>
      </c>
      <c r="C2398" t="s">
        <v>106</v>
      </c>
      <c r="D2398" t="s">
        <v>2</v>
      </c>
      <c r="E2398" t="s">
        <v>14</v>
      </c>
      <c r="F2398" t="s">
        <v>12</v>
      </c>
      <c r="G2398" t="s">
        <v>69</v>
      </c>
      <c r="H2398">
        <v>2024</v>
      </c>
      <c r="I2398">
        <v>8</v>
      </c>
      <c r="J2398">
        <v>1.2</v>
      </c>
      <c r="K2398" t="s">
        <v>21</v>
      </c>
      <c r="L2398">
        <v>11.5</v>
      </c>
      <c r="M2398">
        <v>9.5</v>
      </c>
      <c r="N2398">
        <v>7240</v>
      </c>
      <c r="O2398" t="s">
        <v>118</v>
      </c>
      <c r="P2398">
        <v>76.7</v>
      </c>
      <c r="Q2398" t="s">
        <v>56</v>
      </c>
      <c r="R2398">
        <v>28.5</v>
      </c>
      <c r="S2398">
        <v>48</v>
      </c>
      <c r="T2398">
        <v>14</v>
      </c>
      <c r="U2398">
        <v>7.7</v>
      </c>
      <c r="V2398">
        <v>7.7</v>
      </c>
      <c r="W2398">
        <v>7.2</v>
      </c>
      <c r="X2398" t="s">
        <v>57</v>
      </c>
    </row>
    <row r="2399" spans="2:24" x14ac:dyDescent="0.3">
      <c r="B2399" t="s">
        <v>2492</v>
      </c>
      <c r="C2399" t="s">
        <v>53</v>
      </c>
      <c r="D2399" t="s">
        <v>4</v>
      </c>
      <c r="E2399" t="s">
        <v>14</v>
      </c>
      <c r="F2399" t="s">
        <v>9</v>
      </c>
      <c r="G2399" t="s">
        <v>69</v>
      </c>
      <c r="H2399">
        <v>2024</v>
      </c>
      <c r="I2399">
        <v>3714</v>
      </c>
      <c r="J2399">
        <v>15.6</v>
      </c>
      <c r="K2399" t="s">
        <v>24</v>
      </c>
      <c r="L2399">
        <v>4.7</v>
      </c>
      <c r="M2399">
        <v>9.5</v>
      </c>
      <c r="N2399">
        <v>1725</v>
      </c>
      <c r="O2399" t="s">
        <v>64</v>
      </c>
      <c r="P2399">
        <v>12.5</v>
      </c>
      <c r="Q2399" t="s">
        <v>84</v>
      </c>
      <c r="R2399">
        <v>-18.3</v>
      </c>
      <c r="S2399">
        <v>56</v>
      </c>
      <c r="T2399">
        <v>12.7</v>
      </c>
      <c r="U2399">
        <v>7.1</v>
      </c>
      <c r="V2399">
        <v>9</v>
      </c>
      <c r="W2399">
        <v>5.5</v>
      </c>
      <c r="X2399" t="s">
        <v>116</v>
      </c>
    </row>
    <row r="2400" spans="2:24" x14ac:dyDescent="0.3">
      <c r="B2400" t="s">
        <v>2493</v>
      </c>
      <c r="C2400" t="s">
        <v>27</v>
      </c>
      <c r="D2400" t="s">
        <v>2</v>
      </c>
      <c r="E2400" t="s">
        <v>16</v>
      </c>
      <c r="F2400" t="s">
        <v>9</v>
      </c>
      <c r="G2400" t="s">
        <v>104</v>
      </c>
      <c r="H2400">
        <v>2026</v>
      </c>
      <c r="I2400">
        <v>5120</v>
      </c>
      <c r="J2400">
        <v>17</v>
      </c>
      <c r="K2400" t="s">
        <v>22</v>
      </c>
      <c r="L2400">
        <v>7.4</v>
      </c>
      <c r="M2400">
        <v>7.5</v>
      </c>
      <c r="N2400">
        <v>9150</v>
      </c>
      <c r="O2400" t="s">
        <v>55</v>
      </c>
      <c r="P2400">
        <v>53.5</v>
      </c>
      <c r="Q2400" t="s">
        <v>76</v>
      </c>
      <c r="R2400">
        <v>-23.8</v>
      </c>
      <c r="S2400">
        <v>-23.1</v>
      </c>
      <c r="T2400">
        <v>-14.9</v>
      </c>
      <c r="U2400">
        <v>4.4000000000000004</v>
      </c>
      <c r="V2400">
        <v>6.9</v>
      </c>
      <c r="W2400">
        <v>4.9000000000000004</v>
      </c>
      <c r="X2400" t="s">
        <v>116</v>
      </c>
    </row>
    <row r="2401" spans="2:24" x14ac:dyDescent="0.3">
      <c r="B2401" t="s">
        <v>2494</v>
      </c>
      <c r="C2401" t="s">
        <v>106</v>
      </c>
      <c r="D2401" t="s">
        <v>3</v>
      </c>
      <c r="E2401" t="s">
        <v>15</v>
      </c>
      <c r="F2401" t="s">
        <v>11</v>
      </c>
      <c r="G2401" t="s">
        <v>69</v>
      </c>
      <c r="H2401">
        <v>2024</v>
      </c>
      <c r="I2401">
        <v>2029</v>
      </c>
      <c r="J2401">
        <v>8.6999999999999993</v>
      </c>
      <c r="K2401" t="s">
        <v>25</v>
      </c>
      <c r="L2401">
        <v>11.1</v>
      </c>
      <c r="M2401">
        <v>10</v>
      </c>
      <c r="N2401">
        <v>1739</v>
      </c>
      <c r="O2401" t="s">
        <v>55</v>
      </c>
      <c r="P2401">
        <v>78.5</v>
      </c>
      <c r="Q2401" t="s">
        <v>79</v>
      </c>
      <c r="R2401">
        <v>-12.2</v>
      </c>
      <c r="S2401">
        <v>7.1</v>
      </c>
      <c r="T2401">
        <v>8.1</v>
      </c>
      <c r="U2401">
        <v>9.6999999999999993</v>
      </c>
      <c r="V2401">
        <v>6.4</v>
      </c>
      <c r="W2401">
        <v>5.5</v>
      </c>
      <c r="X2401" t="s">
        <v>57</v>
      </c>
    </row>
    <row r="2402" spans="2:24" x14ac:dyDescent="0.3">
      <c r="B2402" t="s">
        <v>2495</v>
      </c>
      <c r="C2402" t="s">
        <v>90</v>
      </c>
      <c r="D2402" t="s">
        <v>3</v>
      </c>
      <c r="E2402" t="s">
        <v>19</v>
      </c>
      <c r="F2402" t="s">
        <v>9</v>
      </c>
      <c r="G2402" t="s">
        <v>112</v>
      </c>
      <c r="H2402">
        <v>2026</v>
      </c>
      <c r="I2402">
        <v>383</v>
      </c>
      <c r="J2402">
        <v>17.3</v>
      </c>
      <c r="K2402" t="s">
        <v>23</v>
      </c>
      <c r="L2402">
        <v>5.0999999999999996</v>
      </c>
      <c r="M2402">
        <v>10</v>
      </c>
      <c r="N2402">
        <v>1650</v>
      </c>
      <c r="O2402" t="s">
        <v>64</v>
      </c>
      <c r="P2402">
        <v>27.1</v>
      </c>
      <c r="Q2402" t="s">
        <v>125</v>
      </c>
      <c r="R2402">
        <v>-30.2</v>
      </c>
      <c r="S2402">
        <v>15.4</v>
      </c>
      <c r="T2402">
        <v>9</v>
      </c>
      <c r="U2402">
        <v>6.4</v>
      </c>
      <c r="V2402">
        <v>7.7</v>
      </c>
      <c r="W2402">
        <v>5</v>
      </c>
      <c r="X2402" t="s">
        <v>116</v>
      </c>
    </row>
    <row r="2403" spans="2:24" x14ac:dyDescent="0.3">
      <c r="B2403" t="s">
        <v>2496</v>
      </c>
      <c r="C2403" t="s">
        <v>71</v>
      </c>
      <c r="D2403" t="s">
        <v>6</v>
      </c>
      <c r="E2403" t="s">
        <v>19</v>
      </c>
      <c r="F2403" t="s">
        <v>12</v>
      </c>
      <c r="G2403" t="s">
        <v>131</v>
      </c>
      <c r="H2403">
        <v>2025</v>
      </c>
      <c r="I2403">
        <v>1511</v>
      </c>
      <c r="J2403">
        <v>13.8</v>
      </c>
      <c r="K2403" t="s">
        <v>21</v>
      </c>
      <c r="L2403">
        <v>3.6</v>
      </c>
      <c r="M2403">
        <v>5.4</v>
      </c>
      <c r="N2403">
        <v>3469</v>
      </c>
      <c r="O2403" t="s">
        <v>64</v>
      </c>
      <c r="P2403">
        <v>53.5</v>
      </c>
      <c r="Q2403" t="s">
        <v>79</v>
      </c>
      <c r="R2403">
        <v>27.2</v>
      </c>
      <c r="S2403">
        <v>23.8</v>
      </c>
      <c r="T2403">
        <v>-2.2000000000000002</v>
      </c>
      <c r="U2403">
        <v>3.2</v>
      </c>
      <c r="V2403">
        <v>7.2</v>
      </c>
      <c r="W2403">
        <v>5.9</v>
      </c>
      <c r="X2403" t="s">
        <v>116</v>
      </c>
    </row>
    <row r="2404" spans="2:24" x14ac:dyDescent="0.3">
      <c r="B2404" t="s">
        <v>2497</v>
      </c>
      <c r="C2404" t="s">
        <v>142</v>
      </c>
      <c r="D2404" t="s">
        <v>2</v>
      </c>
      <c r="E2404" t="s">
        <v>19</v>
      </c>
      <c r="F2404" t="s">
        <v>11</v>
      </c>
      <c r="G2404" t="s">
        <v>69</v>
      </c>
      <c r="H2404">
        <v>2024</v>
      </c>
      <c r="I2404">
        <v>2114</v>
      </c>
      <c r="J2404">
        <v>9.5</v>
      </c>
      <c r="K2404" t="s">
        <v>25</v>
      </c>
      <c r="L2404">
        <v>5.2</v>
      </c>
      <c r="M2404">
        <v>5.0999999999999996</v>
      </c>
      <c r="N2404">
        <v>3801</v>
      </c>
      <c r="O2404" t="s">
        <v>55</v>
      </c>
      <c r="P2404">
        <v>66.400000000000006</v>
      </c>
      <c r="Q2404" t="s">
        <v>56</v>
      </c>
      <c r="R2404">
        <v>62.2</v>
      </c>
      <c r="S2404">
        <v>54.2</v>
      </c>
      <c r="T2404">
        <v>13.9</v>
      </c>
      <c r="U2404">
        <v>4.0999999999999996</v>
      </c>
      <c r="V2404">
        <v>9.3000000000000007</v>
      </c>
      <c r="W2404">
        <v>7.8</v>
      </c>
      <c r="X2404" t="s">
        <v>57</v>
      </c>
    </row>
    <row r="2405" spans="2:24" x14ac:dyDescent="0.3">
      <c r="B2405" t="s">
        <v>2498</v>
      </c>
      <c r="C2405" t="s">
        <v>92</v>
      </c>
      <c r="D2405" t="s">
        <v>7</v>
      </c>
      <c r="E2405" t="s">
        <v>15</v>
      </c>
      <c r="F2405" t="s">
        <v>12</v>
      </c>
      <c r="G2405" t="s">
        <v>74</v>
      </c>
      <c r="H2405">
        <v>2024</v>
      </c>
      <c r="I2405">
        <v>1620</v>
      </c>
      <c r="J2405">
        <v>7.8</v>
      </c>
      <c r="K2405" t="s">
        <v>22</v>
      </c>
      <c r="L2405">
        <v>12.4</v>
      </c>
      <c r="M2405">
        <v>10</v>
      </c>
      <c r="N2405">
        <v>2402</v>
      </c>
      <c r="O2405" t="s">
        <v>55</v>
      </c>
      <c r="P2405">
        <v>56.7</v>
      </c>
      <c r="Q2405" t="s">
        <v>125</v>
      </c>
      <c r="R2405">
        <v>0.1</v>
      </c>
      <c r="S2405">
        <v>45.5</v>
      </c>
      <c r="T2405">
        <v>14.2</v>
      </c>
      <c r="U2405">
        <v>7.4</v>
      </c>
      <c r="V2405">
        <v>7.5</v>
      </c>
      <c r="W2405">
        <v>5.8</v>
      </c>
      <c r="X2405" t="s">
        <v>57</v>
      </c>
    </row>
    <row r="2406" spans="2:24" x14ac:dyDescent="0.3">
      <c r="B2406" t="s">
        <v>2499</v>
      </c>
      <c r="C2406" t="s">
        <v>53</v>
      </c>
      <c r="D2406" t="s">
        <v>7</v>
      </c>
      <c r="E2406" t="s">
        <v>14</v>
      </c>
      <c r="F2406" t="s">
        <v>10</v>
      </c>
      <c r="G2406" t="s">
        <v>112</v>
      </c>
      <c r="H2406">
        <v>2025</v>
      </c>
      <c r="I2406">
        <v>4043</v>
      </c>
      <c r="J2406">
        <v>8.6999999999999993</v>
      </c>
      <c r="K2406" t="s">
        <v>22</v>
      </c>
      <c r="L2406">
        <v>2.8</v>
      </c>
      <c r="M2406">
        <v>4.3</v>
      </c>
      <c r="N2406">
        <v>2485</v>
      </c>
      <c r="O2406" t="s">
        <v>64</v>
      </c>
      <c r="P2406">
        <v>79.7</v>
      </c>
      <c r="Q2406" t="s">
        <v>86</v>
      </c>
      <c r="R2406">
        <v>17.100000000000001</v>
      </c>
      <c r="S2406">
        <v>41.7</v>
      </c>
      <c r="T2406">
        <v>6.6</v>
      </c>
      <c r="U2406">
        <v>2.4</v>
      </c>
      <c r="V2406">
        <v>6.7</v>
      </c>
      <c r="W2406">
        <v>6.7</v>
      </c>
      <c r="X2406" t="s">
        <v>116</v>
      </c>
    </row>
    <row r="2407" spans="2:24" x14ac:dyDescent="0.3">
      <c r="B2407" t="s">
        <v>2500</v>
      </c>
      <c r="C2407" t="s">
        <v>106</v>
      </c>
      <c r="D2407" t="s">
        <v>8</v>
      </c>
      <c r="E2407" t="s">
        <v>18</v>
      </c>
      <c r="F2407" t="s">
        <v>9</v>
      </c>
      <c r="G2407" t="s">
        <v>63</v>
      </c>
      <c r="H2407">
        <v>2024</v>
      </c>
      <c r="I2407">
        <v>8141</v>
      </c>
      <c r="J2407">
        <v>20.6</v>
      </c>
      <c r="K2407" t="s">
        <v>21</v>
      </c>
      <c r="L2407">
        <v>7.1</v>
      </c>
      <c r="M2407">
        <v>9.9</v>
      </c>
      <c r="N2407">
        <v>1509</v>
      </c>
      <c r="O2407" t="s">
        <v>64</v>
      </c>
      <c r="P2407">
        <v>77.5</v>
      </c>
      <c r="Q2407" t="s">
        <v>56</v>
      </c>
      <c r="R2407">
        <v>19.8</v>
      </c>
      <c r="S2407">
        <v>57.1</v>
      </c>
      <c r="T2407">
        <v>20</v>
      </c>
      <c r="U2407">
        <v>7.7</v>
      </c>
      <c r="V2407">
        <v>7.1</v>
      </c>
      <c r="W2407">
        <v>6.4</v>
      </c>
      <c r="X2407" t="s">
        <v>66</v>
      </c>
    </row>
    <row r="2408" spans="2:24" x14ac:dyDescent="0.3">
      <c r="B2408" t="s">
        <v>2501</v>
      </c>
      <c r="C2408" t="s">
        <v>53</v>
      </c>
      <c r="D2408" t="s">
        <v>4</v>
      </c>
      <c r="E2408" t="s">
        <v>18</v>
      </c>
      <c r="F2408" t="s">
        <v>12</v>
      </c>
      <c r="G2408" t="s">
        <v>63</v>
      </c>
      <c r="H2408">
        <v>2024</v>
      </c>
      <c r="I2408">
        <v>423</v>
      </c>
      <c r="J2408">
        <v>7.3</v>
      </c>
      <c r="K2408" t="s">
        <v>22</v>
      </c>
      <c r="L2408">
        <v>2.9</v>
      </c>
      <c r="M2408">
        <v>4.8</v>
      </c>
      <c r="N2408">
        <v>5229</v>
      </c>
      <c r="O2408" t="s">
        <v>55</v>
      </c>
      <c r="P2408">
        <v>20.7</v>
      </c>
      <c r="Q2408" t="s">
        <v>65</v>
      </c>
      <c r="R2408">
        <v>-20.9</v>
      </c>
      <c r="S2408">
        <v>30</v>
      </c>
      <c r="T2408">
        <v>13.8</v>
      </c>
      <c r="U2408">
        <v>2.1</v>
      </c>
      <c r="V2408">
        <v>9</v>
      </c>
      <c r="W2408">
        <v>6.6</v>
      </c>
      <c r="X2408" t="s">
        <v>116</v>
      </c>
    </row>
    <row r="2409" spans="2:24" x14ac:dyDescent="0.3">
      <c r="B2409" t="s">
        <v>2502</v>
      </c>
      <c r="C2409" t="s">
        <v>27</v>
      </c>
      <c r="D2409" t="s">
        <v>2</v>
      </c>
      <c r="E2409" t="s">
        <v>17</v>
      </c>
      <c r="F2409" t="s">
        <v>12</v>
      </c>
      <c r="G2409" t="s">
        <v>101</v>
      </c>
      <c r="H2409">
        <v>2025</v>
      </c>
      <c r="I2409">
        <v>2375</v>
      </c>
      <c r="J2409">
        <v>6.8</v>
      </c>
      <c r="K2409" t="s">
        <v>22</v>
      </c>
      <c r="L2409">
        <v>3.6</v>
      </c>
      <c r="M2409">
        <v>5.9</v>
      </c>
      <c r="N2409">
        <v>9715</v>
      </c>
      <c r="O2409" t="s">
        <v>55</v>
      </c>
      <c r="P2409">
        <v>70.900000000000006</v>
      </c>
      <c r="Q2409" t="s">
        <v>56</v>
      </c>
      <c r="R2409">
        <v>31</v>
      </c>
      <c r="S2409">
        <v>28</v>
      </c>
      <c r="T2409">
        <v>7.1</v>
      </c>
      <c r="U2409">
        <v>3.6</v>
      </c>
      <c r="V2409">
        <v>9.1</v>
      </c>
      <c r="W2409">
        <v>6.8</v>
      </c>
      <c r="X2409" t="s">
        <v>57</v>
      </c>
    </row>
    <row r="2410" spans="2:24" x14ac:dyDescent="0.3">
      <c r="B2410" t="s">
        <v>2503</v>
      </c>
      <c r="C2410" t="s">
        <v>106</v>
      </c>
      <c r="D2410" t="s">
        <v>7</v>
      </c>
      <c r="E2410" t="s">
        <v>17</v>
      </c>
      <c r="F2410" t="s">
        <v>11</v>
      </c>
      <c r="G2410" t="s">
        <v>54</v>
      </c>
      <c r="H2410">
        <v>2024</v>
      </c>
      <c r="I2410">
        <v>2044</v>
      </c>
      <c r="J2410">
        <v>1.7</v>
      </c>
      <c r="K2410" t="s">
        <v>23</v>
      </c>
      <c r="L2410">
        <v>2</v>
      </c>
      <c r="M2410">
        <v>4</v>
      </c>
      <c r="N2410">
        <v>1752</v>
      </c>
      <c r="O2410" t="s">
        <v>64</v>
      </c>
      <c r="P2410">
        <v>46.2</v>
      </c>
      <c r="Q2410" t="s">
        <v>56</v>
      </c>
      <c r="R2410">
        <v>-36.9</v>
      </c>
      <c r="S2410">
        <v>-15.9</v>
      </c>
      <c r="T2410">
        <v>1.6</v>
      </c>
      <c r="U2410">
        <v>1.9</v>
      </c>
      <c r="V2410">
        <v>6</v>
      </c>
      <c r="W2410">
        <v>7.1</v>
      </c>
      <c r="X2410" t="s">
        <v>116</v>
      </c>
    </row>
    <row r="2411" spans="2:24" x14ac:dyDescent="0.3">
      <c r="B2411" t="s">
        <v>2504</v>
      </c>
      <c r="C2411" t="s">
        <v>59</v>
      </c>
      <c r="D2411" t="s">
        <v>4</v>
      </c>
      <c r="E2411" t="s">
        <v>16</v>
      </c>
      <c r="F2411" t="s">
        <v>9</v>
      </c>
      <c r="G2411" t="s">
        <v>112</v>
      </c>
      <c r="H2411">
        <v>2024</v>
      </c>
      <c r="I2411">
        <v>867</v>
      </c>
      <c r="J2411">
        <v>4.3</v>
      </c>
      <c r="K2411" t="s">
        <v>22</v>
      </c>
      <c r="L2411">
        <v>7.1</v>
      </c>
      <c r="M2411">
        <v>9.9</v>
      </c>
      <c r="N2411">
        <v>1376</v>
      </c>
      <c r="O2411" t="s">
        <v>55</v>
      </c>
      <c r="P2411">
        <v>34.299999999999997</v>
      </c>
      <c r="Q2411" t="s">
        <v>79</v>
      </c>
      <c r="R2411">
        <v>3.2</v>
      </c>
      <c r="S2411">
        <v>8</v>
      </c>
      <c r="T2411">
        <v>1.3</v>
      </c>
      <c r="U2411">
        <v>9.6999999999999993</v>
      </c>
      <c r="V2411">
        <v>6</v>
      </c>
      <c r="W2411">
        <v>5</v>
      </c>
      <c r="X2411" t="s">
        <v>57</v>
      </c>
    </row>
    <row r="2412" spans="2:24" x14ac:dyDescent="0.3">
      <c r="B2412" t="s">
        <v>2505</v>
      </c>
      <c r="C2412" t="s">
        <v>90</v>
      </c>
      <c r="D2412" t="s">
        <v>3</v>
      </c>
      <c r="E2412" t="s">
        <v>16</v>
      </c>
      <c r="F2412" t="s">
        <v>12</v>
      </c>
      <c r="G2412" t="s">
        <v>63</v>
      </c>
      <c r="H2412">
        <v>2026</v>
      </c>
      <c r="I2412">
        <v>1234</v>
      </c>
      <c r="J2412">
        <v>7</v>
      </c>
      <c r="K2412" t="s">
        <v>23</v>
      </c>
      <c r="L2412">
        <v>6.5</v>
      </c>
      <c r="M2412">
        <v>10</v>
      </c>
      <c r="N2412">
        <v>2418</v>
      </c>
      <c r="O2412" t="s">
        <v>55</v>
      </c>
      <c r="P2412">
        <v>89.6</v>
      </c>
      <c r="Q2412" t="s">
        <v>56</v>
      </c>
      <c r="R2412">
        <v>18.2</v>
      </c>
      <c r="S2412">
        <v>-12.7</v>
      </c>
      <c r="T2412">
        <v>4.5</v>
      </c>
      <c r="U2412">
        <v>7.3</v>
      </c>
      <c r="V2412">
        <v>6.1</v>
      </c>
      <c r="W2412">
        <v>5</v>
      </c>
      <c r="X2412" t="s">
        <v>57</v>
      </c>
    </row>
    <row r="2413" spans="2:24" x14ac:dyDescent="0.3">
      <c r="B2413" t="s">
        <v>2506</v>
      </c>
      <c r="C2413" t="s">
        <v>142</v>
      </c>
      <c r="D2413" t="s">
        <v>8</v>
      </c>
      <c r="E2413" t="s">
        <v>17</v>
      </c>
      <c r="F2413" t="s">
        <v>9</v>
      </c>
      <c r="G2413" t="s">
        <v>60</v>
      </c>
      <c r="H2413">
        <v>2025</v>
      </c>
      <c r="I2413">
        <v>169</v>
      </c>
      <c r="J2413">
        <v>5.6</v>
      </c>
      <c r="K2413" t="s">
        <v>21</v>
      </c>
      <c r="L2413">
        <v>8</v>
      </c>
      <c r="M2413">
        <v>7</v>
      </c>
      <c r="N2413">
        <v>5615</v>
      </c>
      <c r="O2413" t="s">
        <v>55</v>
      </c>
      <c r="P2413">
        <v>10.199999999999999</v>
      </c>
      <c r="Q2413" t="s">
        <v>79</v>
      </c>
      <c r="R2413">
        <v>33.6</v>
      </c>
      <c r="S2413">
        <v>19.899999999999999</v>
      </c>
      <c r="T2413">
        <v>4.0999999999999996</v>
      </c>
      <c r="U2413">
        <v>5.7</v>
      </c>
      <c r="V2413">
        <v>8.8000000000000007</v>
      </c>
      <c r="W2413">
        <v>5.7</v>
      </c>
      <c r="X2413" t="s">
        <v>57</v>
      </c>
    </row>
    <row r="2414" spans="2:24" x14ac:dyDescent="0.3">
      <c r="B2414" t="s">
        <v>2507</v>
      </c>
      <c r="C2414" t="s">
        <v>90</v>
      </c>
      <c r="D2414" t="s">
        <v>3</v>
      </c>
      <c r="E2414" t="s">
        <v>16</v>
      </c>
      <c r="F2414" t="s">
        <v>11</v>
      </c>
      <c r="G2414" t="s">
        <v>115</v>
      </c>
      <c r="H2414">
        <v>2026</v>
      </c>
      <c r="I2414">
        <v>11125</v>
      </c>
      <c r="J2414">
        <v>34.200000000000003</v>
      </c>
      <c r="K2414" t="s">
        <v>21</v>
      </c>
      <c r="L2414">
        <v>3.6</v>
      </c>
      <c r="M2414">
        <v>9</v>
      </c>
      <c r="N2414">
        <v>1635</v>
      </c>
      <c r="O2414" t="s">
        <v>75</v>
      </c>
      <c r="P2414">
        <v>81.5</v>
      </c>
      <c r="Q2414" t="s">
        <v>79</v>
      </c>
      <c r="R2414">
        <v>56.4</v>
      </c>
      <c r="S2414">
        <v>-6.8</v>
      </c>
      <c r="T2414">
        <v>-20.3</v>
      </c>
      <c r="U2414">
        <v>3.2</v>
      </c>
      <c r="V2414">
        <v>4</v>
      </c>
      <c r="W2414">
        <v>2.9</v>
      </c>
      <c r="X2414" t="s">
        <v>66</v>
      </c>
    </row>
    <row r="2415" spans="2:24" x14ac:dyDescent="0.3">
      <c r="B2415" t="s">
        <v>2508</v>
      </c>
      <c r="C2415" t="s">
        <v>106</v>
      </c>
      <c r="D2415" t="s">
        <v>2</v>
      </c>
      <c r="E2415" t="s">
        <v>16</v>
      </c>
      <c r="F2415" t="s">
        <v>12</v>
      </c>
      <c r="G2415" t="s">
        <v>98</v>
      </c>
      <c r="H2415">
        <v>2026</v>
      </c>
      <c r="I2415">
        <v>18447</v>
      </c>
      <c r="J2415">
        <v>19.7</v>
      </c>
      <c r="K2415" t="s">
        <v>22</v>
      </c>
      <c r="L2415">
        <v>9</v>
      </c>
      <c r="M2415">
        <v>10</v>
      </c>
      <c r="N2415">
        <v>9161</v>
      </c>
      <c r="O2415" t="s">
        <v>55</v>
      </c>
      <c r="P2415">
        <v>58</v>
      </c>
      <c r="Q2415" t="s">
        <v>76</v>
      </c>
      <c r="R2415">
        <v>8.5</v>
      </c>
      <c r="S2415">
        <v>-2.6</v>
      </c>
      <c r="T2415">
        <v>-10.3</v>
      </c>
      <c r="U2415">
        <v>7.9</v>
      </c>
      <c r="V2415">
        <v>3.6</v>
      </c>
      <c r="W2415">
        <v>4.2</v>
      </c>
      <c r="X2415" t="s">
        <v>66</v>
      </c>
    </row>
    <row r="2416" spans="2:24" x14ac:dyDescent="0.3">
      <c r="B2416" t="s">
        <v>2509</v>
      </c>
      <c r="C2416" t="s">
        <v>71</v>
      </c>
      <c r="D2416" t="s">
        <v>6</v>
      </c>
      <c r="E2416" t="s">
        <v>19</v>
      </c>
      <c r="F2416" t="s">
        <v>9</v>
      </c>
      <c r="G2416" t="s">
        <v>115</v>
      </c>
      <c r="H2416">
        <v>2024</v>
      </c>
      <c r="I2416">
        <v>4524</v>
      </c>
      <c r="J2416">
        <v>9.9</v>
      </c>
      <c r="K2416" t="s">
        <v>23</v>
      </c>
      <c r="L2416">
        <v>1</v>
      </c>
      <c r="M2416">
        <v>4.3</v>
      </c>
      <c r="N2416">
        <v>656</v>
      </c>
      <c r="O2416" t="s">
        <v>75</v>
      </c>
      <c r="P2416">
        <v>12.6</v>
      </c>
      <c r="Q2416" t="s">
        <v>86</v>
      </c>
      <c r="R2416">
        <v>16.600000000000001</v>
      </c>
      <c r="S2416">
        <v>7.6</v>
      </c>
      <c r="T2416">
        <v>-3.3</v>
      </c>
      <c r="U2416">
        <v>1.6</v>
      </c>
      <c r="V2416">
        <v>5</v>
      </c>
      <c r="W2416">
        <v>5.9</v>
      </c>
      <c r="X2416" t="s">
        <v>66</v>
      </c>
    </row>
    <row r="2417" spans="2:24" x14ac:dyDescent="0.3">
      <c r="B2417" t="s">
        <v>2510</v>
      </c>
      <c r="C2417" t="s">
        <v>71</v>
      </c>
      <c r="D2417" t="s">
        <v>5</v>
      </c>
      <c r="E2417" t="s">
        <v>19</v>
      </c>
      <c r="F2417" t="s">
        <v>12</v>
      </c>
      <c r="G2417" t="s">
        <v>98</v>
      </c>
      <c r="H2417">
        <v>2025</v>
      </c>
      <c r="I2417">
        <v>882</v>
      </c>
      <c r="J2417">
        <v>2.2999999999999998</v>
      </c>
      <c r="K2417" t="s">
        <v>21</v>
      </c>
      <c r="L2417">
        <v>8.5</v>
      </c>
      <c r="M2417">
        <v>10</v>
      </c>
      <c r="N2417">
        <v>767</v>
      </c>
      <c r="O2417" t="s">
        <v>55</v>
      </c>
      <c r="P2417">
        <v>65.900000000000006</v>
      </c>
      <c r="Q2417" t="s">
        <v>84</v>
      </c>
      <c r="R2417">
        <v>70.400000000000006</v>
      </c>
      <c r="S2417">
        <v>-4.4000000000000004</v>
      </c>
      <c r="T2417">
        <v>4.3</v>
      </c>
      <c r="U2417">
        <v>8.1</v>
      </c>
      <c r="V2417">
        <v>5.9</v>
      </c>
      <c r="W2417">
        <v>4.7</v>
      </c>
      <c r="X2417" t="s">
        <v>57</v>
      </c>
    </row>
    <row r="2418" spans="2:24" x14ac:dyDescent="0.3">
      <c r="B2418" t="s">
        <v>2511</v>
      </c>
      <c r="C2418" t="s">
        <v>59</v>
      </c>
      <c r="D2418" t="s">
        <v>4</v>
      </c>
      <c r="E2418" t="s">
        <v>19</v>
      </c>
      <c r="F2418" t="s">
        <v>10</v>
      </c>
      <c r="G2418" t="s">
        <v>112</v>
      </c>
      <c r="H2418">
        <v>2025</v>
      </c>
      <c r="I2418">
        <v>6836</v>
      </c>
      <c r="J2418">
        <v>26</v>
      </c>
      <c r="K2418" t="s">
        <v>25</v>
      </c>
      <c r="L2418">
        <v>5.7</v>
      </c>
      <c r="M2418">
        <v>9.6</v>
      </c>
      <c r="N2418">
        <v>1964</v>
      </c>
      <c r="O2418" t="s">
        <v>64</v>
      </c>
      <c r="P2418">
        <v>43.1</v>
      </c>
      <c r="Q2418" t="s">
        <v>86</v>
      </c>
      <c r="R2418">
        <v>51.8</v>
      </c>
      <c r="S2418">
        <v>59.6</v>
      </c>
      <c r="T2418">
        <v>26.8</v>
      </c>
      <c r="U2418">
        <v>6.8</v>
      </c>
      <c r="V2418">
        <v>8.1999999999999993</v>
      </c>
      <c r="W2418">
        <v>5.0999999999999996</v>
      </c>
      <c r="X2418" t="s">
        <v>66</v>
      </c>
    </row>
    <row r="2419" spans="2:24" x14ac:dyDescent="0.3">
      <c r="B2419" t="s">
        <v>2512</v>
      </c>
      <c r="C2419" t="s">
        <v>159</v>
      </c>
      <c r="D2419" t="s">
        <v>2</v>
      </c>
      <c r="E2419" t="s">
        <v>16</v>
      </c>
      <c r="F2419" t="s">
        <v>11</v>
      </c>
      <c r="G2419" t="s">
        <v>98</v>
      </c>
      <c r="H2419">
        <v>2026</v>
      </c>
      <c r="I2419">
        <v>13146</v>
      </c>
      <c r="J2419">
        <v>23.9</v>
      </c>
      <c r="K2419" t="s">
        <v>22</v>
      </c>
      <c r="L2419">
        <v>14.8</v>
      </c>
      <c r="M2419">
        <v>9.8000000000000007</v>
      </c>
      <c r="N2419">
        <v>8865</v>
      </c>
      <c r="O2419" t="s">
        <v>55</v>
      </c>
      <c r="P2419">
        <v>61.2</v>
      </c>
      <c r="Q2419" t="s">
        <v>76</v>
      </c>
      <c r="R2419">
        <v>6.9</v>
      </c>
      <c r="S2419">
        <v>-13.3</v>
      </c>
      <c r="T2419">
        <v>-1.3</v>
      </c>
      <c r="U2419">
        <v>9.6</v>
      </c>
      <c r="V2419">
        <v>5.8</v>
      </c>
      <c r="W2419">
        <v>3.5</v>
      </c>
      <c r="X2419" t="s">
        <v>66</v>
      </c>
    </row>
    <row r="2420" spans="2:24" x14ac:dyDescent="0.3">
      <c r="B2420" t="s">
        <v>2513</v>
      </c>
      <c r="C2420" t="s">
        <v>73</v>
      </c>
      <c r="D2420" t="s">
        <v>2</v>
      </c>
      <c r="E2420" t="s">
        <v>18</v>
      </c>
      <c r="F2420" t="s">
        <v>11</v>
      </c>
      <c r="G2420" t="s">
        <v>104</v>
      </c>
      <c r="H2420">
        <v>2026</v>
      </c>
      <c r="I2420">
        <v>4369</v>
      </c>
      <c r="J2420">
        <v>13.1</v>
      </c>
      <c r="K2420" t="s">
        <v>22</v>
      </c>
      <c r="L2420">
        <v>1.7</v>
      </c>
      <c r="M2420">
        <v>3.6</v>
      </c>
      <c r="N2420">
        <v>4495</v>
      </c>
      <c r="O2420" t="s">
        <v>64</v>
      </c>
      <c r="P2420">
        <v>14</v>
      </c>
      <c r="Q2420" t="s">
        <v>76</v>
      </c>
      <c r="R2420">
        <v>67</v>
      </c>
      <c r="S2420">
        <v>57.6</v>
      </c>
      <c r="T2420">
        <v>14.6</v>
      </c>
      <c r="U2420">
        <v>1.5</v>
      </c>
      <c r="V2420">
        <v>9.1</v>
      </c>
      <c r="W2420">
        <v>7</v>
      </c>
      <c r="X2420" t="s">
        <v>66</v>
      </c>
    </row>
    <row r="2421" spans="2:24" x14ac:dyDescent="0.3">
      <c r="B2421" t="s">
        <v>2514</v>
      </c>
      <c r="C2421" t="s">
        <v>106</v>
      </c>
      <c r="D2421" t="s">
        <v>4</v>
      </c>
      <c r="E2421" t="s">
        <v>14</v>
      </c>
      <c r="F2421" t="s">
        <v>9</v>
      </c>
      <c r="G2421" t="s">
        <v>98</v>
      </c>
      <c r="H2421">
        <v>2024</v>
      </c>
      <c r="I2421">
        <v>4539</v>
      </c>
      <c r="J2421">
        <v>26.4</v>
      </c>
      <c r="K2421" t="s">
        <v>23</v>
      </c>
      <c r="L2421">
        <v>2.6</v>
      </c>
      <c r="M2421">
        <v>9.9</v>
      </c>
      <c r="N2421">
        <v>1008</v>
      </c>
      <c r="O2421" t="s">
        <v>75</v>
      </c>
      <c r="P2421">
        <v>34.5</v>
      </c>
      <c r="Q2421" t="s">
        <v>125</v>
      </c>
      <c r="R2421">
        <v>53.7</v>
      </c>
      <c r="S2421">
        <v>3.1</v>
      </c>
      <c r="T2421">
        <v>0.2</v>
      </c>
      <c r="U2421">
        <v>3.8</v>
      </c>
      <c r="V2421">
        <v>4</v>
      </c>
      <c r="W2421">
        <v>4.0999999999999996</v>
      </c>
      <c r="X2421" t="s">
        <v>66</v>
      </c>
    </row>
    <row r="2422" spans="2:24" x14ac:dyDescent="0.3">
      <c r="B2422" t="s">
        <v>2515</v>
      </c>
      <c r="C2422" t="s">
        <v>90</v>
      </c>
      <c r="D2422" t="s">
        <v>5</v>
      </c>
      <c r="E2422" t="s">
        <v>19</v>
      </c>
      <c r="F2422" t="s">
        <v>11</v>
      </c>
      <c r="G2422" t="s">
        <v>60</v>
      </c>
      <c r="H2422">
        <v>2025</v>
      </c>
      <c r="I2422">
        <v>1597</v>
      </c>
      <c r="J2422">
        <v>6.3</v>
      </c>
      <c r="K2422" t="s">
        <v>22</v>
      </c>
      <c r="L2422">
        <v>11.9</v>
      </c>
      <c r="M2422">
        <v>10</v>
      </c>
      <c r="N2422">
        <v>539</v>
      </c>
      <c r="O2422" t="s">
        <v>55</v>
      </c>
      <c r="P2422">
        <v>20.7</v>
      </c>
      <c r="Q2422" t="s">
        <v>56</v>
      </c>
      <c r="R2422">
        <v>-12.6</v>
      </c>
      <c r="S2422">
        <v>21.4</v>
      </c>
      <c r="T2422">
        <v>18.7</v>
      </c>
      <c r="U2422">
        <v>9.4</v>
      </c>
      <c r="V2422">
        <v>8</v>
      </c>
      <c r="W2422">
        <v>5.7</v>
      </c>
      <c r="X2422" t="s">
        <v>57</v>
      </c>
    </row>
    <row r="2423" spans="2:24" x14ac:dyDescent="0.3">
      <c r="B2423" t="s">
        <v>2516</v>
      </c>
      <c r="C2423" t="s">
        <v>90</v>
      </c>
      <c r="D2423" t="s">
        <v>6</v>
      </c>
      <c r="E2423" t="s">
        <v>16</v>
      </c>
      <c r="F2423" t="s">
        <v>9</v>
      </c>
      <c r="G2423" t="s">
        <v>69</v>
      </c>
      <c r="H2423">
        <v>2024</v>
      </c>
      <c r="I2423">
        <v>2431</v>
      </c>
      <c r="J2423">
        <v>4.5999999999999996</v>
      </c>
      <c r="K2423" t="s">
        <v>22</v>
      </c>
      <c r="L2423">
        <v>8.6</v>
      </c>
      <c r="M2423">
        <v>7.3</v>
      </c>
      <c r="N2423">
        <v>3936</v>
      </c>
      <c r="O2423" t="s">
        <v>55</v>
      </c>
      <c r="P2423">
        <v>77</v>
      </c>
      <c r="Q2423" t="s">
        <v>84</v>
      </c>
      <c r="R2423">
        <v>33.799999999999997</v>
      </c>
      <c r="S2423">
        <v>13.3</v>
      </c>
      <c r="T2423">
        <v>17.600000000000001</v>
      </c>
      <c r="U2423">
        <v>7.9</v>
      </c>
      <c r="V2423">
        <v>8.1999999999999993</v>
      </c>
      <c r="W2423">
        <v>7.3</v>
      </c>
      <c r="X2423" t="s">
        <v>57</v>
      </c>
    </row>
    <row r="2424" spans="2:24" x14ac:dyDescent="0.3">
      <c r="B2424" t="s">
        <v>2517</v>
      </c>
      <c r="C2424" t="s">
        <v>90</v>
      </c>
      <c r="D2424" t="s">
        <v>5</v>
      </c>
      <c r="E2424" t="s">
        <v>18</v>
      </c>
      <c r="F2424" t="s">
        <v>12</v>
      </c>
      <c r="G2424" t="s">
        <v>112</v>
      </c>
      <c r="H2424">
        <v>2024</v>
      </c>
      <c r="I2424">
        <v>7741</v>
      </c>
      <c r="J2424">
        <v>37.299999999999997</v>
      </c>
      <c r="K2424" t="s">
        <v>21</v>
      </c>
      <c r="L2424">
        <v>9.3000000000000007</v>
      </c>
      <c r="M2424">
        <v>10</v>
      </c>
      <c r="N2424">
        <v>1725</v>
      </c>
      <c r="O2424" t="s">
        <v>75</v>
      </c>
      <c r="P2424">
        <v>77.400000000000006</v>
      </c>
      <c r="Q2424" t="s">
        <v>65</v>
      </c>
      <c r="R2424">
        <v>70.7</v>
      </c>
      <c r="S2424">
        <v>58.3</v>
      </c>
      <c r="T2424">
        <v>17.600000000000001</v>
      </c>
      <c r="U2424">
        <v>6.1</v>
      </c>
      <c r="V2424">
        <v>6.6</v>
      </c>
      <c r="W2424">
        <v>3.9</v>
      </c>
      <c r="X2424" t="s">
        <v>66</v>
      </c>
    </row>
    <row r="2425" spans="2:24" x14ac:dyDescent="0.3">
      <c r="B2425" t="s">
        <v>2518</v>
      </c>
      <c r="C2425" t="s">
        <v>83</v>
      </c>
      <c r="D2425" t="s">
        <v>4</v>
      </c>
      <c r="E2425" t="s">
        <v>14</v>
      </c>
      <c r="F2425" t="s">
        <v>11</v>
      </c>
      <c r="G2425" t="s">
        <v>69</v>
      </c>
      <c r="H2425">
        <v>2026</v>
      </c>
      <c r="I2425">
        <v>755</v>
      </c>
      <c r="J2425">
        <v>1.9</v>
      </c>
      <c r="K2425" t="s">
        <v>24</v>
      </c>
      <c r="L2425">
        <v>11.1</v>
      </c>
      <c r="M2425">
        <v>5.3</v>
      </c>
      <c r="N2425">
        <v>3864</v>
      </c>
      <c r="O2425" t="s">
        <v>55</v>
      </c>
      <c r="P2425">
        <v>87.1</v>
      </c>
      <c r="Q2425" t="s">
        <v>84</v>
      </c>
      <c r="R2425">
        <v>26.9</v>
      </c>
      <c r="S2425">
        <v>15.6</v>
      </c>
      <c r="T2425">
        <v>7.3</v>
      </c>
      <c r="U2425">
        <v>7.3</v>
      </c>
      <c r="V2425">
        <v>6</v>
      </c>
      <c r="W2425">
        <v>7.5</v>
      </c>
      <c r="X2425" t="s">
        <v>57</v>
      </c>
    </row>
    <row r="2426" spans="2:24" x14ac:dyDescent="0.3">
      <c r="B2426" t="s">
        <v>2519</v>
      </c>
      <c r="C2426" t="s">
        <v>94</v>
      </c>
      <c r="D2426" t="s">
        <v>6</v>
      </c>
      <c r="E2426" t="s">
        <v>18</v>
      </c>
      <c r="F2426" t="s">
        <v>9</v>
      </c>
      <c r="G2426" t="s">
        <v>115</v>
      </c>
      <c r="H2426">
        <v>2024</v>
      </c>
      <c r="I2426">
        <v>8349</v>
      </c>
      <c r="J2426">
        <v>24</v>
      </c>
      <c r="K2426" t="s">
        <v>25</v>
      </c>
      <c r="L2426">
        <v>1.8</v>
      </c>
      <c r="M2426">
        <v>6.8</v>
      </c>
      <c r="N2426">
        <v>1267</v>
      </c>
      <c r="O2426" t="s">
        <v>75</v>
      </c>
      <c r="P2426">
        <v>49</v>
      </c>
      <c r="Q2426" t="s">
        <v>56</v>
      </c>
      <c r="R2426">
        <v>66.2</v>
      </c>
      <c r="S2426">
        <v>44.9</v>
      </c>
      <c r="T2426">
        <v>18.399999999999999</v>
      </c>
      <c r="U2426">
        <v>1.6</v>
      </c>
      <c r="V2426">
        <v>8.3000000000000007</v>
      </c>
      <c r="W2426">
        <v>5.2</v>
      </c>
      <c r="X2426" t="s">
        <v>66</v>
      </c>
    </row>
    <row r="2427" spans="2:24" x14ac:dyDescent="0.3">
      <c r="B2427" t="s">
        <v>2520</v>
      </c>
      <c r="C2427" t="s">
        <v>53</v>
      </c>
      <c r="D2427" t="s">
        <v>4</v>
      </c>
      <c r="E2427" t="s">
        <v>19</v>
      </c>
      <c r="F2427" t="s">
        <v>10</v>
      </c>
      <c r="G2427" t="s">
        <v>115</v>
      </c>
      <c r="H2427">
        <v>2024</v>
      </c>
      <c r="I2427">
        <v>1179</v>
      </c>
      <c r="J2427">
        <v>3.5</v>
      </c>
      <c r="K2427" t="s">
        <v>21</v>
      </c>
      <c r="L2427">
        <v>8.1</v>
      </c>
      <c r="M2427">
        <v>4.5</v>
      </c>
      <c r="N2427">
        <v>4360</v>
      </c>
      <c r="O2427" t="s">
        <v>55</v>
      </c>
      <c r="P2427">
        <v>52.1</v>
      </c>
      <c r="Q2427" t="s">
        <v>84</v>
      </c>
      <c r="R2427">
        <v>2.6</v>
      </c>
      <c r="S2427">
        <v>14.6</v>
      </c>
      <c r="T2427">
        <v>-1.3</v>
      </c>
      <c r="U2427">
        <v>7.4</v>
      </c>
      <c r="V2427">
        <v>7.6</v>
      </c>
      <c r="W2427">
        <v>6.3</v>
      </c>
      <c r="X2427" t="s">
        <v>116</v>
      </c>
    </row>
    <row r="2428" spans="2:24" x14ac:dyDescent="0.3">
      <c r="B2428" t="s">
        <v>2521</v>
      </c>
      <c r="C2428" t="s">
        <v>159</v>
      </c>
      <c r="D2428" t="s">
        <v>7</v>
      </c>
      <c r="E2428" t="s">
        <v>18</v>
      </c>
      <c r="F2428" t="s">
        <v>12</v>
      </c>
      <c r="G2428" t="s">
        <v>74</v>
      </c>
      <c r="H2428">
        <v>2024</v>
      </c>
      <c r="I2428">
        <v>5912</v>
      </c>
      <c r="J2428">
        <v>10.1</v>
      </c>
      <c r="K2428" t="s">
        <v>22</v>
      </c>
      <c r="L2428">
        <v>10.199999999999999</v>
      </c>
      <c r="M2428">
        <v>10</v>
      </c>
      <c r="N2428">
        <v>1938</v>
      </c>
      <c r="O2428" t="s">
        <v>55</v>
      </c>
      <c r="P2428">
        <v>75.2</v>
      </c>
      <c r="Q2428" t="s">
        <v>86</v>
      </c>
      <c r="R2428">
        <v>10.9</v>
      </c>
      <c r="S2428">
        <v>-23.7</v>
      </c>
      <c r="T2428">
        <v>-2.6</v>
      </c>
      <c r="U2428">
        <v>9.6999999999999993</v>
      </c>
      <c r="V2428">
        <v>4.2</v>
      </c>
      <c r="W2428">
        <v>3.6</v>
      </c>
      <c r="X2428" t="s">
        <v>66</v>
      </c>
    </row>
    <row r="2429" spans="2:24" x14ac:dyDescent="0.3">
      <c r="B2429" t="s">
        <v>2522</v>
      </c>
      <c r="C2429" t="s">
        <v>106</v>
      </c>
      <c r="D2429" t="s">
        <v>8</v>
      </c>
      <c r="E2429" t="s">
        <v>14</v>
      </c>
      <c r="F2429" t="s">
        <v>9</v>
      </c>
      <c r="G2429" t="s">
        <v>54</v>
      </c>
      <c r="H2429">
        <v>2025</v>
      </c>
      <c r="I2429">
        <v>19140</v>
      </c>
      <c r="J2429">
        <v>31.5</v>
      </c>
      <c r="K2429" t="s">
        <v>25</v>
      </c>
      <c r="L2429">
        <v>1.5</v>
      </c>
      <c r="M2429">
        <v>6.1</v>
      </c>
      <c r="N2429">
        <v>1107</v>
      </c>
      <c r="O2429" t="s">
        <v>75</v>
      </c>
      <c r="P2429">
        <v>47.5</v>
      </c>
      <c r="Q2429" t="s">
        <v>86</v>
      </c>
      <c r="R2429">
        <v>17.899999999999999</v>
      </c>
      <c r="S2429">
        <v>8.8000000000000007</v>
      </c>
      <c r="T2429">
        <v>-7.7</v>
      </c>
      <c r="U2429">
        <v>2.5</v>
      </c>
      <c r="V2429">
        <v>6.1</v>
      </c>
      <c r="W2429">
        <v>3.7</v>
      </c>
      <c r="X2429" t="s">
        <v>66</v>
      </c>
    </row>
    <row r="2430" spans="2:24" x14ac:dyDescent="0.3">
      <c r="B2430" t="s">
        <v>2523</v>
      </c>
      <c r="C2430" t="s">
        <v>142</v>
      </c>
      <c r="D2430" t="s">
        <v>8</v>
      </c>
      <c r="E2430" t="s">
        <v>18</v>
      </c>
      <c r="F2430" t="s">
        <v>12</v>
      </c>
      <c r="G2430" t="s">
        <v>63</v>
      </c>
      <c r="H2430">
        <v>2024</v>
      </c>
      <c r="I2430">
        <v>14824</v>
      </c>
      <c r="J2430">
        <v>23</v>
      </c>
      <c r="K2430" t="s">
        <v>23</v>
      </c>
      <c r="L2430">
        <v>4.7</v>
      </c>
      <c r="M2430">
        <v>10</v>
      </c>
      <c r="N2430">
        <v>947</v>
      </c>
      <c r="O2430" t="s">
        <v>64</v>
      </c>
      <c r="P2430">
        <v>15.8</v>
      </c>
      <c r="Q2430" t="s">
        <v>125</v>
      </c>
      <c r="R2430">
        <v>15.6</v>
      </c>
      <c r="S2430">
        <v>44.1</v>
      </c>
      <c r="T2430">
        <v>10.9</v>
      </c>
      <c r="U2430">
        <v>5.2</v>
      </c>
      <c r="V2430">
        <v>8.1999999999999993</v>
      </c>
      <c r="W2430">
        <v>4.7</v>
      </c>
      <c r="X2430" t="s">
        <v>66</v>
      </c>
    </row>
    <row r="2431" spans="2:24" x14ac:dyDescent="0.3">
      <c r="B2431" t="s">
        <v>2524</v>
      </c>
      <c r="C2431" t="s">
        <v>100</v>
      </c>
      <c r="D2431" t="s">
        <v>3</v>
      </c>
      <c r="E2431" t="s">
        <v>17</v>
      </c>
      <c r="F2431" t="s">
        <v>10</v>
      </c>
      <c r="G2431" t="s">
        <v>98</v>
      </c>
      <c r="H2431">
        <v>2026</v>
      </c>
      <c r="I2431">
        <v>1663</v>
      </c>
      <c r="J2431">
        <v>0.9</v>
      </c>
      <c r="K2431" t="s">
        <v>24</v>
      </c>
      <c r="L2431">
        <v>4.9000000000000004</v>
      </c>
      <c r="M2431">
        <v>7.2</v>
      </c>
      <c r="N2431">
        <v>1693</v>
      </c>
      <c r="O2431" t="s">
        <v>55</v>
      </c>
      <c r="P2431">
        <v>42.3</v>
      </c>
      <c r="Q2431" t="s">
        <v>86</v>
      </c>
      <c r="R2431">
        <v>26.7</v>
      </c>
      <c r="S2431">
        <v>54.9</v>
      </c>
      <c r="T2431">
        <v>16.100000000000001</v>
      </c>
      <c r="U2431">
        <v>6.9</v>
      </c>
      <c r="V2431">
        <v>9.3000000000000007</v>
      </c>
      <c r="W2431">
        <v>7.4</v>
      </c>
      <c r="X2431" t="s">
        <v>57</v>
      </c>
    </row>
    <row r="2432" spans="2:24" x14ac:dyDescent="0.3">
      <c r="B2432" t="s">
        <v>2525</v>
      </c>
      <c r="C2432" t="s">
        <v>53</v>
      </c>
      <c r="D2432" t="s">
        <v>3</v>
      </c>
      <c r="E2432" t="s">
        <v>14</v>
      </c>
      <c r="F2432" t="s">
        <v>11</v>
      </c>
      <c r="G2432" t="s">
        <v>78</v>
      </c>
      <c r="H2432">
        <v>2026</v>
      </c>
      <c r="I2432">
        <v>344</v>
      </c>
      <c r="J2432">
        <v>9.8000000000000007</v>
      </c>
      <c r="K2432" t="s">
        <v>21</v>
      </c>
      <c r="L2432">
        <v>9</v>
      </c>
      <c r="M2432">
        <v>7.6</v>
      </c>
      <c r="N2432">
        <v>3898</v>
      </c>
      <c r="O2432" t="s">
        <v>55</v>
      </c>
      <c r="P2432">
        <v>17.100000000000001</v>
      </c>
      <c r="Q2432" t="s">
        <v>76</v>
      </c>
      <c r="R2432">
        <v>63.5</v>
      </c>
      <c r="S2432">
        <v>49.1</v>
      </c>
      <c r="T2432">
        <v>24.8</v>
      </c>
      <c r="U2432">
        <v>6.2</v>
      </c>
      <c r="V2432">
        <v>7.6</v>
      </c>
      <c r="W2432">
        <v>8</v>
      </c>
      <c r="X2432" t="s">
        <v>57</v>
      </c>
    </row>
    <row r="2433" spans="2:24" x14ac:dyDescent="0.3">
      <c r="B2433" t="s">
        <v>2526</v>
      </c>
      <c r="C2433" t="s">
        <v>142</v>
      </c>
      <c r="D2433" t="s">
        <v>8</v>
      </c>
      <c r="E2433" t="s">
        <v>16</v>
      </c>
      <c r="F2433" t="s">
        <v>11</v>
      </c>
      <c r="G2433" t="s">
        <v>98</v>
      </c>
      <c r="H2433">
        <v>2024</v>
      </c>
      <c r="I2433">
        <v>1456</v>
      </c>
      <c r="J2433">
        <v>11.4</v>
      </c>
      <c r="K2433" t="s">
        <v>25</v>
      </c>
      <c r="L2433">
        <v>8.6</v>
      </c>
      <c r="M2433">
        <v>10</v>
      </c>
      <c r="N2433">
        <v>356</v>
      </c>
      <c r="O2433" t="s">
        <v>64</v>
      </c>
      <c r="P2433">
        <v>20.2</v>
      </c>
      <c r="Q2433" t="s">
        <v>76</v>
      </c>
      <c r="R2433">
        <v>-3.3</v>
      </c>
      <c r="S2433">
        <v>8.5</v>
      </c>
      <c r="T2433">
        <v>2.9</v>
      </c>
      <c r="U2433">
        <v>8</v>
      </c>
      <c r="V2433">
        <v>6.8</v>
      </c>
      <c r="W2433">
        <v>5.9</v>
      </c>
      <c r="X2433" t="s">
        <v>116</v>
      </c>
    </row>
    <row r="2434" spans="2:24" x14ac:dyDescent="0.3">
      <c r="B2434" t="s">
        <v>2527</v>
      </c>
      <c r="C2434" t="s">
        <v>90</v>
      </c>
      <c r="D2434" t="s">
        <v>6</v>
      </c>
      <c r="E2434" t="s">
        <v>18</v>
      </c>
      <c r="F2434" t="s">
        <v>9</v>
      </c>
      <c r="G2434" t="s">
        <v>60</v>
      </c>
      <c r="H2434">
        <v>2025</v>
      </c>
      <c r="I2434">
        <v>344</v>
      </c>
      <c r="J2434">
        <v>0.5</v>
      </c>
      <c r="K2434" t="s">
        <v>22</v>
      </c>
      <c r="L2434">
        <v>10.199999999999999</v>
      </c>
      <c r="M2434">
        <v>2.8</v>
      </c>
      <c r="N2434">
        <v>1646</v>
      </c>
      <c r="O2434" t="s">
        <v>55</v>
      </c>
      <c r="P2434">
        <v>36</v>
      </c>
      <c r="Q2434" t="s">
        <v>56</v>
      </c>
      <c r="R2434">
        <v>86</v>
      </c>
      <c r="S2434">
        <v>-19.8</v>
      </c>
      <c r="T2434">
        <v>-9.6999999999999993</v>
      </c>
      <c r="U2434">
        <v>9.1999999999999993</v>
      </c>
      <c r="V2434">
        <v>6.4</v>
      </c>
      <c r="W2434">
        <v>6</v>
      </c>
      <c r="X2434" t="s">
        <v>57</v>
      </c>
    </row>
    <row r="2435" spans="2:24" x14ac:dyDescent="0.3">
      <c r="B2435" t="s">
        <v>2528</v>
      </c>
      <c r="C2435" t="s">
        <v>53</v>
      </c>
      <c r="D2435" t="s">
        <v>2</v>
      </c>
      <c r="E2435" t="s">
        <v>14</v>
      </c>
      <c r="F2435" t="s">
        <v>10</v>
      </c>
      <c r="G2435" t="s">
        <v>54</v>
      </c>
      <c r="H2435">
        <v>2024</v>
      </c>
      <c r="I2435">
        <v>18305</v>
      </c>
      <c r="J2435">
        <v>26.1</v>
      </c>
      <c r="K2435" t="s">
        <v>24</v>
      </c>
      <c r="L2435">
        <v>8.6999999999999993</v>
      </c>
      <c r="M2435">
        <v>10</v>
      </c>
      <c r="N2435">
        <v>1283</v>
      </c>
      <c r="O2435" t="s">
        <v>64</v>
      </c>
      <c r="P2435">
        <v>38.700000000000003</v>
      </c>
      <c r="Q2435" t="s">
        <v>56</v>
      </c>
      <c r="R2435">
        <v>40.9</v>
      </c>
      <c r="S2435">
        <v>45.7</v>
      </c>
      <c r="T2435">
        <v>4.7</v>
      </c>
      <c r="U2435">
        <v>7.3</v>
      </c>
      <c r="V2435">
        <v>6.6</v>
      </c>
      <c r="W2435">
        <v>4.8</v>
      </c>
      <c r="X2435" t="s">
        <v>66</v>
      </c>
    </row>
    <row r="2436" spans="2:24" x14ac:dyDescent="0.3">
      <c r="B2436" t="s">
        <v>2529</v>
      </c>
      <c r="C2436" t="s">
        <v>159</v>
      </c>
      <c r="D2436" t="s">
        <v>2</v>
      </c>
      <c r="E2436" t="s">
        <v>15</v>
      </c>
      <c r="F2436" t="s">
        <v>12</v>
      </c>
      <c r="G2436" t="s">
        <v>101</v>
      </c>
      <c r="H2436">
        <v>2026</v>
      </c>
      <c r="I2436">
        <v>1794</v>
      </c>
      <c r="J2436">
        <v>8</v>
      </c>
      <c r="K2436" t="s">
        <v>25</v>
      </c>
      <c r="L2436">
        <v>5.4</v>
      </c>
      <c r="M2436">
        <v>6.7</v>
      </c>
      <c r="N2436">
        <v>9789</v>
      </c>
      <c r="O2436" t="s">
        <v>118</v>
      </c>
      <c r="P2436">
        <v>20.6</v>
      </c>
      <c r="Q2436" t="s">
        <v>76</v>
      </c>
      <c r="R2436">
        <v>85.7</v>
      </c>
      <c r="S2436">
        <v>19.8</v>
      </c>
      <c r="T2436">
        <v>9</v>
      </c>
      <c r="U2436">
        <v>3.3</v>
      </c>
      <c r="V2436">
        <v>6.6</v>
      </c>
      <c r="W2436">
        <v>7.2</v>
      </c>
      <c r="X2436" t="s">
        <v>57</v>
      </c>
    </row>
    <row r="2437" spans="2:24" x14ac:dyDescent="0.3">
      <c r="B2437" t="s">
        <v>2530</v>
      </c>
      <c r="C2437" t="s">
        <v>106</v>
      </c>
      <c r="D2437" t="s">
        <v>8</v>
      </c>
      <c r="E2437" t="s">
        <v>15</v>
      </c>
      <c r="F2437" t="s">
        <v>10</v>
      </c>
      <c r="G2437" t="s">
        <v>78</v>
      </c>
      <c r="H2437">
        <v>2026</v>
      </c>
      <c r="I2437">
        <v>1693</v>
      </c>
      <c r="J2437">
        <v>1.7</v>
      </c>
      <c r="K2437" t="s">
        <v>23</v>
      </c>
      <c r="L2437">
        <v>12.7</v>
      </c>
      <c r="M2437">
        <v>6.4</v>
      </c>
      <c r="N2437">
        <v>624</v>
      </c>
      <c r="O2437" t="s">
        <v>55</v>
      </c>
      <c r="P2437">
        <v>29.8</v>
      </c>
      <c r="Q2437" t="s">
        <v>86</v>
      </c>
      <c r="R2437">
        <v>54.1</v>
      </c>
      <c r="S2437">
        <v>-16.600000000000001</v>
      </c>
      <c r="T2437">
        <v>3.5</v>
      </c>
      <c r="U2437">
        <v>9.4</v>
      </c>
      <c r="V2437">
        <v>5.4</v>
      </c>
      <c r="W2437">
        <v>5.3</v>
      </c>
      <c r="X2437" t="s">
        <v>57</v>
      </c>
    </row>
    <row r="2438" spans="2:24" x14ac:dyDescent="0.3">
      <c r="B2438" t="s">
        <v>2531</v>
      </c>
      <c r="C2438" t="s">
        <v>106</v>
      </c>
      <c r="D2438" t="s">
        <v>8</v>
      </c>
      <c r="E2438" t="s">
        <v>17</v>
      </c>
      <c r="F2438" t="s">
        <v>12</v>
      </c>
      <c r="G2438" t="s">
        <v>78</v>
      </c>
      <c r="H2438">
        <v>2026</v>
      </c>
      <c r="I2438">
        <v>4765</v>
      </c>
      <c r="J2438">
        <v>2.1</v>
      </c>
      <c r="K2438" t="s">
        <v>23</v>
      </c>
      <c r="L2438">
        <v>12.6</v>
      </c>
      <c r="M2438">
        <v>5.8</v>
      </c>
      <c r="N2438">
        <v>3819</v>
      </c>
      <c r="O2438" t="s">
        <v>55</v>
      </c>
      <c r="P2438">
        <v>83</v>
      </c>
      <c r="Q2438" t="s">
        <v>79</v>
      </c>
      <c r="R2438">
        <v>16.600000000000001</v>
      </c>
      <c r="S2438">
        <v>-21.2</v>
      </c>
      <c r="T2438">
        <v>-1.7</v>
      </c>
      <c r="U2438">
        <v>7.4</v>
      </c>
      <c r="V2438">
        <v>6</v>
      </c>
      <c r="W2438">
        <v>6.6</v>
      </c>
      <c r="X2438" t="s">
        <v>116</v>
      </c>
    </row>
    <row r="2439" spans="2:24" x14ac:dyDescent="0.3">
      <c r="B2439" t="s">
        <v>2532</v>
      </c>
      <c r="C2439" t="s">
        <v>97</v>
      </c>
      <c r="D2439" t="s">
        <v>3</v>
      </c>
      <c r="E2439" t="s">
        <v>14</v>
      </c>
      <c r="F2439" t="s">
        <v>9</v>
      </c>
      <c r="G2439" t="s">
        <v>98</v>
      </c>
      <c r="H2439">
        <v>2026</v>
      </c>
      <c r="I2439">
        <v>12469</v>
      </c>
      <c r="J2439">
        <v>39</v>
      </c>
      <c r="K2439" t="s">
        <v>22</v>
      </c>
      <c r="L2439">
        <v>5</v>
      </c>
      <c r="M2439">
        <v>10</v>
      </c>
      <c r="N2439">
        <v>1188</v>
      </c>
      <c r="O2439" t="s">
        <v>75</v>
      </c>
      <c r="P2439">
        <v>43.7</v>
      </c>
      <c r="Q2439" t="s">
        <v>76</v>
      </c>
      <c r="R2439">
        <v>-29.7</v>
      </c>
      <c r="S2439">
        <v>12.8</v>
      </c>
      <c r="T2439">
        <v>-6.7</v>
      </c>
      <c r="U2439">
        <v>4.8</v>
      </c>
      <c r="V2439">
        <v>5.7</v>
      </c>
      <c r="W2439">
        <v>1.5</v>
      </c>
      <c r="X2439" t="s">
        <v>66</v>
      </c>
    </row>
    <row r="2440" spans="2:24" x14ac:dyDescent="0.3">
      <c r="B2440" t="s">
        <v>2533</v>
      </c>
      <c r="C2440" t="s">
        <v>68</v>
      </c>
      <c r="D2440" t="s">
        <v>8</v>
      </c>
      <c r="E2440" t="s">
        <v>19</v>
      </c>
      <c r="F2440" t="s">
        <v>10</v>
      </c>
      <c r="G2440" t="s">
        <v>54</v>
      </c>
      <c r="H2440">
        <v>2026</v>
      </c>
      <c r="I2440">
        <v>4462</v>
      </c>
      <c r="J2440">
        <v>16</v>
      </c>
      <c r="K2440" t="s">
        <v>24</v>
      </c>
      <c r="L2440">
        <v>7.2</v>
      </c>
      <c r="M2440">
        <v>10</v>
      </c>
      <c r="N2440">
        <v>791</v>
      </c>
      <c r="O2440" t="s">
        <v>64</v>
      </c>
      <c r="P2440">
        <v>29.1</v>
      </c>
      <c r="Q2440" t="s">
        <v>65</v>
      </c>
      <c r="R2440">
        <v>71.8</v>
      </c>
      <c r="S2440">
        <v>34</v>
      </c>
      <c r="T2440">
        <v>9.4</v>
      </c>
      <c r="U2440">
        <v>7.9</v>
      </c>
      <c r="V2440">
        <v>8.1999999999999993</v>
      </c>
      <c r="W2440">
        <v>4.5</v>
      </c>
      <c r="X2440" t="s">
        <v>116</v>
      </c>
    </row>
    <row r="2441" spans="2:24" x14ac:dyDescent="0.3">
      <c r="B2441" t="s">
        <v>2534</v>
      </c>
      <c r="C2441" t="s">
        <v>62</v>
      </c>
      <c r="D2441" t="s">
        <v>2</v>
      </c>
      <c r="E2441" t="s">
        <v>16</v>
      </c>
      <c r="F2441" t="s">
        <v>9</v>
      </c>
      <c r="G2441" t="s">
        <v>104</v>
      </c>
      <c r="H2441">
        <v>2025</v>
      </c>
      <c r="I2441">
        <v>3403</v>
      </c>
      <c r="J2441">
        <v>4.2</v>
      </c>
      <c r="K2441" t="s">
        <v>23</v>
      </c>
      <c r="L2441">
        <v>12.3</v>
      </c>
      <c r="M2441">
        <v>8.6</v>
      </c>
      <c r="N2441">
        <v>3645</v>
      </c>
      <c r="O2441" t="s">
        <v>64</v>
      </c>
      <c r="P2441">
        <v>89.6</v>
      </c>
      <c r="Q2441" t="s">
        <v>56</v>
      </c>
      <c r="R2441">
        <v>17.899999999999999</v>
      </c>
      <c r="S2441">
        <v>-5.5</v>
      </c>
      <c r="T2441">
        <v>-2.7</v>
      </c>
      <c r="U2441">
        <v>7.3</v>
      </c>
      <c r="V2441">
        <v>8</v>
      </c>
      <c r="W2441">
        <v>5.4</v>
      </c>
      <c r="X2441" t="s">
        <v>116</v>
      </c>
    </row>
    <row r="2442" spans="2:24" x14ac:dyDescent="0.3">
      <c r="B2442" t="s">
        <v>2535</v>
      </c>
      <c r="C2442" t="s">
        <v>106</v>
      </c>
      <c r="D2442" t="s">
        <v>8</v>
      </c>
      <c r="E2442" t="s">
        <v>17</v>
      </c>
      <c r="F2442" t="s">
        <v>11</v>
      </c>
      <c r="G2442" t="s">
        <v>104</v>
      </c>
      <c r="H2442">
        <v>2026</v>
      </c>
      <c r="I2442">
        <v>11304</v>
      </c>
      <c r="J2442">
        <v>20.399999999999999</v>
      </c>
      <c r="K2442" t="s">
        <v>21</v>
      </c>
      <c r="L2442">
        <v>9</v>
      </c>
      <c r="M2442">
        <v>10</v>
      </c>
      <c r="N2442">
        <v>1999</v>
      </c>
      <c r="O2442" t="s">
        <v>64</v>
      </c>
      <c r="P2442">
        <v>48.5</v>
      </c>
      <c r="Q2442" t="s">
        <v>86</v>
      </c>
      <c r="R2442">
        <v>72.7</v>
      </c>
      <c r="S2442">
        <v>-4</v>
      </c>
      <c r="T2442">
        <v>-8.1</v>
      </c>
      <c r="U2442">
        <v>7</v>
      </c>
      <c r="V2442">
        <v>5.7</v>
      </c>
      <c r="W2442">
        <v>2.9</v>
      </c>
      <c r="X2442" t="s">
        <v>66</v>
      </c>
    </row>
    <row r="2443" spans="2:24" x14ac:dyDescent="0.3">
      <c r="B2443" t="s">
        <v>2536</v>
      </c>
      <c r="C2443" t="s">
        <v>90</v>
      </c>
      <c r="D2443" t="s">
        <v>3</v>
      </c>
      <c r="E2443" t="s">
        <v>18</v>
      </c>
      <c r="F2443" t="s">
        <v>9</v>
      </c>
      <c r="G2443" t="s">
        <v>104</v>
      </c>
      <c r="H2443">
        <v>2025</v>
      </c>
      <c r="I2443">
        <v>32</v>
      </c>
      <c r="J2443">
        <v>7.7</v>
      </c>
      <c r="K2443" t="s">
        <v>23</v>
      </c>
      <c r="L2443">
        <v>8.4</v>
      </c>
      <c r="M2443">
        <v>8.1999999999999993</v>
      </c>
      <c r="N2443">
        <v>2033</v>
      </c>
      <c r="O2443" t="s">
        <v>55</v>
      </c>
      <c r="P2443">
        <v>68.400000000000006</v>
      </c>
      <c r="Q2443" t="s">
        <v>88</v>
      </c>
      <c r="R2443">
        <v>40.1</v>
      </c>
      <c r="S2443">
        <v>42.3</v>
      </c>
      <c r="T2443">
        <v>26.8</v>
      </c>
      <c r="U2443">
        <v>9.9</v>
      </c>
      <c r="V2443">
        <v>7.7</v>
      </c>
      <c r="W2443">
        <v>6.2</v>
      </c>
      <c r="X2443" t="s">
        <v>57</v>
      </c>
    </row>
    <row r="2444" spans="2:24" x14ac:dyDescent="0.3">
      <c r="B2444" t="s">
        <v>2537</v>
      </c>
      <c r="C2444" t="s">
        <v>68</v>
      </c>
      <c r="D2444" t="s">
        <v>8</v>
      </c>
      <c r="E2444" t="s">
        <v>15</v>
      </c>
      <c r="F2444" t="s">
        <v>9</v>
      </c>
      <c r="G2444" t="s">
        <v>115</v>
      </c>
      <c r="H2444">
        <v>2026</v>
      </c>
      <c r="I2444">
        <v>5515</v>
      </c>
      <c r="J2444">
        <v>4.7</v>
      </c>
      <c r="K2444" t="s">
        <v>23</v>
      </c>
      <c r="L2444">
        <v>10.6</v>
      </c>
      <c r="M2444">
        <v>8.8000000000000007</v>
      </c>
      <c r="N2444">
        <v>3452</v>
      </c>
      <c r="O2444" t="s">
        <v>55</v>
      </c>
      <c r="P2444">
        <v>85.9</v>
      </c>
      <c r="Q2444" t="s">
        <v>125</v>
      </c>
      <c r="R2444">
        <v>82.1</v>
      </c>
      <c r="S2444">
        <v>-6.3</v>
      </c>
      <c r="T2444">
        <v>5.0999999999999996</v>
      </c>
      <c r="U2444">
        <v>6.3</v>
      </c>
      <c r="V2444">
        <v>5.8</v>
      </c>
      <c r="W2444">
        <v>5</v>
      </c>
      <c r="X2444" t="s">
        <v>116</v>
      </c>
    </row>
    <row r="2445" spans="2:24" x14ac:dyDescent="0.3">
      <c r="B2445" t="s">
        <v>2538</v>
      </c>
      <c r="C2445" t="s">
        <v>53</v>
      </c>
      <c r="D2445" t="s">
        <v>7</v>
      </c>
      <c r="E2445" t="s">
        <v>15</v>
      </c>
      <c r="F2445" t="s">
        <v>12</v>
      </c>
      <c r="G2445" t="s">
        <v>60</v>
      </c>
      <c r="H2445">
        <v>2025</v>
      </c>
      <c r="I2445">
        <v>7992</v>
      </c>
      <c r="J2445">
        <v>8.8000000000000007</v>
      </c>
      <c r="K2445" t="s">
        <v>25</v>
      </c>
      <c r="L2445">
        <v>14.8</v>
      </c>
      <c r="M2445">
        <v>10</v>
      </c>
      <c r="N2445">
        <v>1348</v>
      </c>
      <c r="O2445" t="s">
        <v>55</v>
      </c>
      <c r="P2445">
        <v>21</v>
      </c>
      <c r="Q2445" t="s">
        <v>86</v>
      </c>
      <c r="R2445">
        <v>-28.9</v>
      </c>
      <c r="S2445">
        <v>2.7</v>
      </c>
      <c r="T2445">
        <v>-2.5</v>
      </c>
      <c r="U2445">
        <v>9.5</v>
      </c>
      <c r="V2445">
        <v>6.8</v>
      </c>
      <c r="W2445">
        <v>5.4</v>
      </c>
      <c r="X2445" t="s">
        <v>66</v>
      </c>
    </row>
    <row r="2446" spans="2:24" x14ac:dyDescent="0.3">
      <c r="B2446" t="s">
        <v>2539</v>
      </c>
      <c r="C2446" t="s">
        <v>90</v>
      </c>
      <c r="D2446" t="s">
        <v>3</v>
      </c>
      <c r="E2446" t="s">
        <v>18</v>
      </c>
      <c r="F2446" t="s">
        <v>11</v>
      </c>
      <c r="G2446" t="s">
        <v>131</v>
      </c>
      <c r="H2446">
        <v>2024</v>
      </c>
      <c r="I2446">
        <v>3182</v>
      </c>
      <c r="J2446">
        <v>3</v>
      </c>
      <c r="K2446" t="s">
        <v>23</v>
      </c>
      <c r="L2446">
        <v>14.8</v>
      </c>
      <c r="M2446">
        <v>8</v>
      </c>
      <c r="N2446">
        <v>4277</v>
      </c>
      <c r="O2446" t="s">
        <v>118</v>
      </c>
      <c r="P2446">
        <v>57.6</v>
      </c>
      <c r="Q2446" t="s">
        <v>56</v>
      </c>
      <c r="R2446">
        <v>87.4</v>
      </c>
      <c r="S2446">
        <v>56.7</v>
      </c>
      <c r="T2446">
        <v>32.6</v>
      </c>
      <c r="U2446">
        <v>9.9</v>
      </c>
      <c r="V2446">
        <v>10</v>
      </c>
      <c r="W2446">
        <v>8.3000000000000007</v>
      </c>
      <c r="X2446" t="s">
        <v>116</v>
      </c>
    </row>
    <row r="2447" spans="2:24" x14ac:dyDescent="0.3">
      <c r="B2447" t="s">
        <v>2540</v>
      </c>
      <c r="C2447" t="s">
        <v>94</v>
      </c>
      <c r="D2447" t="s">
        <v>6</v>
      </c>
      <c r="E2447" t="s">
        <v>18</v>
      </c>
      <c r="F2447" t="s">
        <v>11</v>
      </c>
      <c r="G2447" t="s">
        <v>69</v>
      </c>
      <c r="H2447">
        <v>2025</v>
      </c>
      <c r="I2447">
        <v>18312</v>
      </c>
      <c r="J2447">
        <v>28.9</v>
      </c>
      <c r="K2447" t="s">
        <v>25</v>
      </c>
      <c r="L2447">
        <v>3.3</v>
      </c>
      <c r="M2447">
        <v>8.6999999999999993</v>
      </c>
      <c r="N2447">
        <v>131</v>
      </c>
      <c r="O2447" t="s">
        <v>75</v>
      </c>
      <c r="P2447">
        <v>75.2</v>
      </c>
      <c r="Q2447" t="s">
        <v>84</v>
      </c>
      <c r="R2447">
        <v>-1.5</v>
      </c>
      <c r="S2447">
        <v>-13</v>
      </c>
      <c r="T2447">
        <v>-8.3000000000000007</v>
      </c>
      <c r="U2447">
        <v>3</v>
      </c>
      <c r="V2447">
        <v>3</v>
      </c>
      <c r="W2447">
        <v>3.1</v>
      </c>
      <c r="X2447" t="s">
        <v>66</v>
      </c>
    </row>
    <row r="2448" spans="2:24" x14ac:dyDescent="0.3">
      <c r="B2448" t="s">
        <v>2541</v>
      </c>
      <c r="C2448" t="s">
        <v>139</v>
      </c>
      <c r="D2448" t="s">
        <v>8</v>
      </c>
      <c r="E2448" t="s">
        <v>17</v>
      </c>
      <c r="F2448" t="s">
        <v>9</v>
      </c>
      <c r="G2448" t="s">
        <v>112</v>
      </c>
      <c r="H2448">
        <v>2026</v>
      </c>
      <c r="I2448">
        <v>1247</v>
      </c>
      <c r="J2448">
        <v>8.6</v>
      </c>
      <c r="K2448" t="s">
        <v>23</v>
      </c>
      <c r="L2448">
        <v>2.2000000000000002</v>
      </c>
      <c r="M2448">
        <v>2.5</v>
      </c>
      <c r="N2448">
        <v>2293</v>
      </c>
      <c r="O2448" t="s">
        <v>64</v>
      </c>
      <c r="P2448">
        <v>10</v>
      </c>
      <c r="Q2448" t="s">
        <v>84</v>
      </c>
      <c r="R2448">
        <v>44.5</v>
      </c>
      <c r="S2448">
        <v>49.3</v>
      </c>
      <c r="T2448">
        <v>24.6</v>
      </c>
      <c r="U2448">
        <v>2.1</v>
      </c>
      <c r="V2448">
        <v>7.2</v>
      </c>
      <c r="W2448">
        <v>7.9</v>
      </c>
      <c r="X2448" t="s">
        <v>57</v>
      </c>
    </row>
    <row r="2449" spans="2:24" x14ac:dyDescent="0.3">
      <c r="B2449" t="s">
        <v>2542</v>
      </c>
      <c r="C2449" t="s">
        <v>83</v>
      </c>
      <c r="D2449" t="s">
        <v>4</v>
      </c>
      <c r="E2449" t="s">
        <v>19</v>
      </c>
      <c r="F2449" t="s">
        <v>12</v>
      </c>
      <c r="G2449" t="s">
        <v>74</v>
      </c>
      <c r="H2449">
        <v>2025</v>
      </c>
      <c r="I2449">
        <v>11056</v>
      </c>
      <c r="J2449">
        <v>33.6</v>
      </c>
      <c r="K2449" t="s">
        <v>21</v>
      </c>
      <c r="L2449">
        <v>10</v>
      </c>
      <c r="M2449">
        <v>10</v>
      </c>
      <c r="N2449">
        <v>270</v>
      </c>
      <c r="O2449" t="s">
        <v>75</v>
      </c>
      <c r="P2449">
        <v>57.4</v>
      </c>
      <c r="Q2449" t="s">
        <v>88</v>
      </c>
      <c r="R2449">
        <v>35</v>
      </c>
      <c r="S2449">
        <v>49.3</v>
      </c>
      <c r="T2449">
        <v>17.899999999999999</v>
      </c>
      <c r="U2449">
        <v>9</v>
      </c>
      <c r="V2449">
        <v>5.8</v>
      </c>
      <c r="W2449">
        <v>4.0999999999999996</v>
      </c>
      <c r="X2449" t="s">
        <v>66</v>
      </c>
    </row>
    <row r="2450" spans="2:24" x14ac:dyDescent="0.3">
      <c r="B2450" t="s">
        <v>2543</v>
      </c>
      <c r="C2450" t="s">
        <v>137</v>
      </c>
      <c r="D2450" t="s">
        <v>3</v>
      </c>
      <c r="E2450" t="s">
        <v>17</v>
      </c>
      <c r="F2450" t="s">
        <v>11</v>
      </c>
      <c r="G2450" t="s">
        <v>63</v>
      </c>
      <c r="H2450">
        <v>2025</v>
      </c>
      <c r="I2450">
        <v>3011</v>
      </c>
      <c r="J2450">
        <v>11.2</v>
      </c>
      <c r="K2450" t="s">
        <v>22</v>
      </c>
      <c r="L2450">
        <v>10</v>
      </c>
      <c r="M2450">
        <v>9.1</v>
      </c>
      <c r="N2450">
        <v>5263</v>
      </c>
      <c r="O2450" t="s">
        <v>55</v>
      </c>
      <c r="P2450">
        <v>68.400000000000006</v>
      </c>
      <c r="Q2450" t="s">
        <v>56</v>
      </c>
      <c r="R2450">
        <v>39.299999999999997</v>
      </c>
      <c r="S2450">
        <v>53.6</v>
      </c>
      <c r="T2450">
        <v>23.8</v>
      </c>
      <c r="U2450">
        <v>8.5</v>
      </c>
      <c r="V2450">
        <v>6.9</v>
      </c>
      <c r="W2450">
        <v>7.6</v>
      </c>
      <c r="X2450" t="s">
        <v>116</v>
      </c>
    </row>
    <row r="2451" spans="2:24" x14ac:dyDescent="0.3">
      <c r="B2451" t="s">
        <v>2544</v>
      </c>
      <c r="C2451" t="s">
        <v>53</v>
      </c>
      <c r="D2451" t="s">
        <v>2</v>
      </c>
      <c r="E2451" t="s">
        <v>14</v>
      </c>
      <c r="F2451" t="s">
        <v>9</v>
      </c>
      <c r="G2451" t="s">
        <v>54</v>
      </c>
      <c r="H2451">
        <v>2024</v>
      </c>
      <c r="I2451">
        <v>3338</v>
      </c>
      <c r="J2451">
        <v>27</v>
      </c>
      <c r="K2451" t="s">
        <v>22</v>
      </c>
      <c r="L2451">
        <v>9</v>
      </c>
      <c r="M2451">
        <v>10</v>
      </c>
      <c r="N2451">
        <v>6051</v>
      </c>
      <c r="O2451" t="s">
        <v>64</v>
      </c>
      <c r="P2451">
        <v>68.099999999999994</v>
      </c>
      <c r="Q2451" t="s">
        <v>76</v>
      </c>
      <c r="R2451">
        <v>3.9</v>
      </c>
      <c r="S2451">
        <v>15.9</v>
      </c>
      <c r="T2451">
        <v>-7.1</v>
      </c>
      <c r="U2451">
        <v>8.3000000000000007</v>
      </c>
      <c r="V2451">
        <v>6.4</v>
      </c>
      <c r="W2451">
        <v>4.3</v>
      </c>
      <c r="X2451" t="s">
        <v>66</v>
      </c>
    </row>
    <row r="2452" spans="2:24" x14ac:dyDescent="0.3">
      <c r="B2452" t="s">
        <v>2545</v>
      </c>
      <c r="C2452" t="s">
        <v>53</v>
      </c>
      <c r="D2452" t="s">
        <v>7</v>
      </c>
      <c r="E2452" t="s">
        <v>15</v>
      </c>
      <c r="F2452" t="s">
        <v>11</v>
      </c>
      <c r="G2452" t="s">
        <v>78</v>
      </c>
      <c r="H2452">
        <v>2026</v>
      </c>
      <c r="I2452">
        <v>13761</v>
      </c>
      <c r="J2452">
        <v>33.4</v>
      </c>
      <c r="K2452" t="s">
        <v>22</v>
      </c>
      <c r="L2452">
        <v>12.2</v>
      </c>
      <c r="M2452">
        <v>10</v>
      </c>
      <c r="N2452">
        <v>516</v>
      </c>
      <c r="O2452" t="s">
        <v>75</v>
      </c>
      <c r="P2452">
        <v>81</v>
      </c>
      <c r="Q2452" t="s">
        <v>88</v>
      </c>
      <c r="R2452">
        <v>87.6</v>
      </c>
      <c r="S2452">
        <v>57.7</v>
      </c>
      <c r="T2452">
        <v>12.6</v>
      </c>
      <c r="U2452">
        <v>8.5</v>
      </c>
      <c r="V2452">
        <v>5.8</v>
      </c>
      <c r="W2452">
        <v>4.5</v>
      </c>
      <c r="X2452" t="s">
        <v>66</v>
      </c>
    </row>
    <row r="2453" spans="2:24" x14ac:dyDescent="0.3">
      <c r="B2453" t="s">
        <v>2546</v>
      </c>
      <c r="C2453" t="s">
        <v>73</v>
      </c>
      <c r="D2453" t="s">
        <v>3</v>
      </c>
      <c r="E2453" t="s">
        <v>18</v>
      </c>
      <c r="F2453" t="s">
        <v>9</v>
      </c>
      <c r="G2453" t="s">
        <v>101</v>
      </c>
      <c r="H2453">
        <v>2024</v>
      </c>
      <c r="I2453">
        <v>1490</v>
      </c>
      <c r="J2453">
        <v>2.4</v>
      </c>
      <c r="K2453" t="s">
        <v>21</v>
      </c>
      <c r="L2453">
        <v>4.2</v>
      </c>
      <c r="M2453">
        <v>7.2</v>
      </c>
      <c r="N2453">
        <v>1176</v>
      </c>
      <c r="O2453" t="s">
        <v>55</v>
      </c>
      <c r="P2453">
        <v>13.8</v>
      </c>
      <c r="Q2453" t="s">
        <v>86</v>
      </c>
      <c r="R2453">
        <v>70.900000000000006</v>
      </c>
      <c r="S2453">
        <v>-15</v>
      </c>
      <c r="T2453">
        <v>-13.4</v>
      </c>
      <c r="U2453">
        <v>4.9000000000000004</v>
      </c>
      <c r="V2453">
        <v>4.4000000000000004</v>
      </c>
      <c r="W2453">
        <v>5.0999999999999996</v>
      </c>
      <c r="X2453" t="s">
        <v>57</v>
      </c>
    </row>
    <row r="2454" spans="2:24" x14ac:dyDescent="0.3">
      <c r="B2454" t="s">
        <v>2547</v>
      </c>
      <c r="C2454" t="s">
        <v>142</v>
      </c>
      <c r="D2454" t="s">
        <v>8</v>
      </c>
      <c r="E2454" t="s">
        <v>17</v>
      </c>
      <c r="F2454" t="s">
        <v>10</v>
      </c>
      <c r="G2454" t="s">
        <v>101</v>
      </c>
      <c r="H2454">
        <v>2026</v>
      </c>
      <c r="I2454">
        <v>3398</v>
      </c>
      <c r="J2454">
        <v>4.9000000000000004</v>
      </c>
      <c r="K2454" t="s">
        <v>21</v>
      </c>
      <c r="L2454">
        <v>6.9</v>
      </c>
      <c r="M2454">
        <v>7.7</v>
      </c>
      <c r="N2454">
        <v>4025</v>
      </c>
      <c r="O2454" t="s">
        <v>55</v>
      </c>
      <c r="P2454">
        <v>81.900000000000006</v>
      </c>
      <c r="Q2454" t="s">
        <v>125</v>
      </c>
      <c r="R2454">
        <v>17.8</v>
      </c>
      <c r="S2454">
        <v>-1.4</v>
      </c>
      <c r="T2454">
        <v>-1.9</v>
      </c>
      <c r="U2454">
        <v>8.4</v>
      </c>
      <c r="V2454">
        <v>7.3</v>
      </c>
      <c r="W2454">
        <v>5.7</v>
      </c>
      <c r="X2454" t="s">
        <v>116</v>
      </c>
    </row>
    <row r="2455" spans="2:24" x14ac:dyDescent="0.3">
      <c r="B2455" t="s">
        <v>2548</v>
      </c>
      <c r="C2455" t="s">
        <v>71</v>
      </c>
      <c r="D2455" t="s">
        <v>6</v>
      </c>
      <c r="E2455" t="s">
        <v>14</v>
      </c>
      <c r="F2455" t="s">
        <v>11</v>
      </c>
      <c r="G2455" t="s">
        <v>54</v>
      </c>
      <c r="H2455">
        <v>2026</v>
      </c>
      <c r="I2455">
        <v>3009</v>
      </c>
      <c r="J2455">
        <v>13.1</v>
      </c>
      <c r="K2455" t="s">
        <v>21</v>
      </c>
      <c r="L2455">
        <v>6</v>
      </c>
      <c r="M2455">
        <v>5.0999999999999996</v>
      </c>
      <c r="N2455">
        <v>1470</v>
      </c>
      <c r="O2455" t="s">
        <v>64</v>
      </c>
      <c r="P2455">
        <v>37.799999999999997</v>
      </c>
      <c r="Q2455" t="s">
        <v>79</v>
      </c>
      <c r="R2455">
        <v>82</v>
      </c>
      <c r="S2455">
        <v>16.600000000000001</v>
      </c>
      <c r="T2455">
        <v>-2.5</v>
      </c>
      <c r="U2455">
        <v>4.7</v>
      </c>
      <c r="V2455">
        <v>8</v>
      </c>
      <c r="W2455">
        <v>6.1</v>
      </c>
      <c r="X2455" t="s">
        <v>66</v>
      </c>
    </row>
    <row r="2456" spans="2:24" x14ac:dyDescent="0.3">
      <c r="B2456" t="s">
        <v>2549</v>
      </c>
      <c r="C2456" t="s">
        <v>139</v>
      </c>
      <c r="D2456" t="s">
        <v>8</v>
      </c>
      <c r="E2456" t="s">
        <v>18</v>
      </c>
      <c r="F2456" t="s">
        <v>11</v>
      </c>
      <c r="G2456" t="s">
        <v>69</v>
      </c>
      <c r="H2456">
        <v>2026</v>
      </c>
      <c r="I2456">
        <v>619</v>
      </c>
      <c r="J2456">
        <v>8.9</v>
      </c>
      <c r="K2456" t="s">
        <v>24</v>
      </c>
      <c r="L2456">
        <v>6.6</v>
      </c>
      <c r="M2456">
        <v>8.4</v>
      </c>
      <c r="N2456">
        <v>5775</v>
      </c>
      <c r="O2456" t="s">
        <v>55</v>
      </c>
      <c r="P2456">
        <v>29.5</v>
      </c>
      <c r="Q2456" t="s">
        <v>56</v>
      </c>
      <c r="R2456">
        <v>33.6</v>
      </c>
      <c r="S2456">
        <v>-19.8</v>
      </c>
      <c r="T2456">
        <v>-16</v>
      </c>
      <c r="U2456">
        <v>5.6</v>
      </c>
      <c r="V2456">
        <v>5.3</v>
      </c>
      <c r="W2456">
        <v>5.0999999999999996</v>
      </c>
      <c r="X2456" t="s">
        <v>57</v>
      </c>
    </row>
    <row r="2457" spans="2:24" x14ac:dyDescent="0.3">
      <c r="B2457" t="s">
        <v>2550</v>
      </c>
      <c r="C2457" t="s">
        <v>100</v>
      </c>
      <c r="D2457" t="s">
        <v>3</v>
      </c>
      <c r="E2457" t="s">
        <v>16</v>
      </c>
      <c r="F2457" t="s">
        <v>10</v>
      </c>
      <c r="G2457" t="s">
        <v>78</v>
      </c>
      <c r="H2457">
        <v>2024</v>
      </c>
      <c r="I2457">
        <v>19433</v>
      </c>
      <c r="J2457">
        <v>36.799999999999997</v>
      </c>
      <c r="K2457" t="s">
        <v>25</v>
      </c>
      <c r="L2457">
        <v>6.6</v>
      </c>
      <c r="M2457">
        <v>10</v>
      </c>
      <c r="N2457">
        <v>1762</v>
      </c>
      <c r="O2457" t="s">
        <v>64</v>
      </c>
      <c r="P2457">
        <v>84.3</v>
      </c>
      <c r="Q2457" t="s">
        <v>79</v>
      </c>
      <c r="R2457">
        <v>-14.4</v>
      </c>
      <c r="S2457">
        <v>-6.2</v>
      </c>
      <c r="T2457">
        <v>-12.4</v>
      </c>
      <c r="U2457">
        <v>7.6</v>
      </c>
      <c r="V2457">
        <v>2.6</v>
      </c>
      <c r="W2457">
        <v>1.6</v>
      </c>
      <c r="X2457" t="s">
        <v>66</v>
      </c>
    </row>
    <row r="2458" spans="2:24" x14ac:dyDescent="0.3">
      <c r="B2458" t="s">
        <v>2551</v>
      </c>
      <c r="C2458" t="s">
        <v>71</v>
      </c>
      <c r="D2458" t="s">
        <v>5</v>
      </c>
      <c r="E2458" t="s">
        <v>16</v>
      </c>
      <c r="F2458" t="s">
        <v>9</v>
      </c>
      <c r="G2458" t="s">
        <v>101</v>
      </c>
      <c r="H2458">
        <v>2025</v>
      </c>
      <c r="I2458">
        <v>8578</v>
      </c>
      <c r="J2458">
        <v>39.9</v>
      </c>
      <c r="K2458" t="s">
        <v>21</v>
      </c>
      <c r="L2458">
        <v>6.6</v>
      </c>
      <c r="M2458">
        <v>10</v>
      </c>
      <c r="N2458">
        <v>760</v>
      </c>
      <c r="O2458" t="s">
        <v>75</v>
      </c>
      <c r="P2458">
        <v>71.3</v>
      </c>
      <c r="Q2458" t="s">
        <v>125</v>
      </c>
      <c r="R2458">
        <v>47.3</v>
      </c>
      <c r="S2458">
        <v>30.8</v>
      </c>
      <c r="T2458">
        <v>5.6</v>
      </c>
      <c r="U2458">
        <v>4.3</v>
      </c>
      <c r="V2458">
        <v>5.8</v>
      </c>
      <c r="W2458">
        <v>3.4</v>
      </c>
      <c r="X2458" t="s">
        <v>66</v>
      </c>
    </row>
    <row r="2459" spans="2:24" x14ac:dyDescent="0.3">
      <c r="B2459" t="s">
        <v>2552</v>
      </c>
      <c r="C2459" t="s">
        <v>81</v>
      </c>
      <c r="D2459" t="s">
        <v>5</v>
      </c>
      <c r="E2459" t="s">
        <v>16</v>
      </c>
      <c r="F2459" t="s">
        <v>10</v>
      </c>
      <c r="G2459" t="s">
        <v>63</v>
      </c>
      <c r="H2459">
        <v>2025</v>
      </c>
      <c r="I2459">
        <v>1288</v>
      </c>
      <c r="J2459">
        <v>4.2</v>
      </c>
      <c r="K2459" t="s">
        <v>24</v>
      </c>
      <c r="L2459">
        <v>9.3000000000000007</v>
      </c>
      <c r="M2459">
        <v>9.1999999999999993</v>
      </c>
      <c r="N2459">
        <v>2850</v>
      </c>
      <c r="O2459" t="s">
        <v>55</v>
      </c>
      <c r="P2459">
        <v>49</v>
      </c>
      <c r="Q2459" t="s">
        <v>88</v>
      </c>
      <c r="R2459">
        <v>70.599999999999994</v>
      </c>
      <c r="S2459">
        <v>-18.5</v>
      </c>
      <c r="T2459">
        <v>-13.7</v>
      </c>
      <c r="U2459">
        <v>6.4</v>
      </c>
      <c r="V2459">
        <v>7.8</v>
      </c>
      <c r="W2459">
        <v>5.2</v>
      </c>
      <c r="X2459" t="s">
        <v>57</v>
      </c>
    </row>
    <row r="2460" spans="2:24" x14ac:dyDescent="0.3">
      <c r="B2460" t="s">
        <v>2553</v>
      </c>
      <c r="C2460" t="s">
        <v>106</v>
      </c>
      <c r="D2460" t="s">
        <v>7</v>
      </c>
      <c r="E2460" t="s">
        <v>16</v>
      </c>
      <c r="F2460" t="s">
        <v>11</v>
      </c>
      <c r="G2460" t="s">
        <v>101</v>
      </c>
      <c r="H2460">
        <v>2026</v>
      </c>
      <c r="I2460">
        <v>8710</v>
      </c>
      <c r="J2460">
        <v>14.4</v>
      </c>
      <c r="K2460" t="s">
        <v>22</v>
      </c>
      <c r="L2460">
        <v>15.1</v>
      </c>
      <c r="M2460">
        <v>9.4</v>
      </c>
      <c r="N2460">
        <v>1961</v>
      </c>
      <c r="O2460" t="s">
        <v>55</v>
      </c>
      <c r="P2460">
        <v>37.700000000000003</v>
      </c>
      <c r="Q2460" t="s">
        <v>84</v>
      </c>
      <c r="R2460">
        <v>43.5</v>
      </c>
      <c r="S2460">
        <v>9.3000000000000007</v>
      </c>
      <c r="T2460">
        <v>-4.4000000000000004</v>
      </c>
      <c r="U2460">
        <v>9.4</v>
      </c>
      <c r="V2460">
        <v>6.6</v>
      </c>
      <c r="W2460">
        <v>4.0999999999999996</v>
      </c>
      <c r="X2460" t="s">
        <v>66</v>
      </c>
    </row>
    <row r="2461" spans="2:24" x14ac:dyDescent="0.3">
      <c r="B2461" t="s">
        <v>2554</v>
      </c>
      <c r="C2461" t="s">
        <v>83</v>
      </c>
      <c r="D2461" t="s">
        <v>4</v>
      </c>
      <c r="E2461" t="s">
        <v>17</v>
      </c>
      <c r="F2461" t="s">
        <v>12</v>
      </c>
      <c r="G2461" t="s">
        <v>63</v>
      </c>
      <c r="H2461">
        <v>2024</v>
      </c>
      <c r="I2461">
        <v>3815</v>
      </c>
      <c r="J2461">
        <v>15.1</v>
      </c>
      <c r="K2461" t="s">
        <v>24</v>
      </c>
      <c r="L2461">
        <v>6.6</v>
      </c>
      <c r="M2461">
        <v>10</v>
      </c>
      <c r="N2461">
        <v>209</v>
      </c>
      <c r="O2461" t="s">
        <v>64</v>
      </c>
      <c r="P2461">
        <v>80.5</v>
      </c>
      <c r="Q2461" t="s">
        <v>76</v>
      </c>
      <c r="R2461">
        <v>32.200000000000003</v>
      </c>
      <c r="S2461">
        <v>-3</v>
      </c>
      <c r="T2461">
        <v>7.7</v>
      </c>
      <c r="U2461">
        <v>7.8</v>
      </c>
      <c r="V2461">
        <v>4.0999999999999996</v>
      </c>
      <c r="W2461">
        <v>5</v>
      </c>
      <c r="X2461" t="s">
        <v>116</v>
      </c>
    </row>
    <row r="2462" spans="2:24" x14ac:dyDescent="0.3">
      <c r="B2462" t="s">
        <v>2555</v>
      </c>
      <c r="C2462" t="s">
        <v>142</v>
      </c>
      <c r="D2462" t="s">
        <v>2</v>
      </c>
      <c r="E2462" t="s">
        <v>17</v>
      </c>
      <c r="F2462" t="s">
        <v>12</v>
      </c>
      <c r="G2462" t="s">
        <v>104</v>
      </c>
      <c r="H2462">
        <v>2025</v>
      </c>
      <c r="I2462">
        <v>4966</v>
      </c>
      <c r="J2462">
        <v>9</v>
      </c>
      <c r="K2462" t="s">
        <v>23</v>
      </c>
      <c r="L2462">
        <v>8.9</v>
      </c>
      <c r="M2462">
        <v>7.2</v>
      </c>
      <c r="N2462">
        <v>1453</v>
      </c>
      <c r="O2462" t="s">
        <v>55</v>
      </c>
      <c r="P2462">
        <v>73.099999999999994</v>
      </c>
      <c r="Q2462" t="s">
        <v>56</v>
      </c>
      <c r="R2462">
        <v>17</v>
      </c>
      <c r="S2462">
        <v>30.1</v>
      </c>
      <c r="T2462">
        <v>17.2</v>
      </c>
      <c r="U2462">
        <v>5.4</v>
      </c>
      <c r="V2462">
        <v>7.1</v>
      </c>
      <c r="W2462">
        <v>6.4</v>
      </c>
      <c r="X2462" t="s">
        <v>116</v>
      </c>
    </row>
    <row r="2463" spans="2:24" x14ac:dyDescent="0.3">
      <c r="B2463" t="s">
        <v>2556</v>
      </c>
      <c r="C2463" t="s">
        <v>106</v>
      </c>
      <c r="D2463" t="s">
        <v>3</v>
      </c>
      <c r="E2463" t="s">
        <v>19</v>
      </c>
      <c r="F2463" t="s">
        <v>11</v>
      </c>
      <c r="G2463" t="s">
        <v>98</v>
      </c>
      <c r="H2463">
        <v>2024</v>
      </c>
      <c r="I2463">
        <v>5854</v>
      </c>
      <c r="J2463">
        <v>34.4</v>
      </c>
      <c r="K2463" t="s">
        <v>22</v>
      </c>
      <c r="L2463">
        <v>7</v>
      </c>
      <c r="M2463">
        <v>10</v>
      </c>
      <c r="N2463">
        <v>1483</v>
      </c>
      <c r="O2463" t="s">
        <v>64</v>
      </c>
      <c r="P2463">
        <v>35.1</v>
      </c>
      <c r="Q2463" t="s">
        <v>79</v>
      </c>
      <c r="R2463">
        <v>87.8</v>
      </c>
      <c r="S2463">
        <v>-22.3</v>
      </c>
      <c r="T2463">
        <v>-23.2</v>
      </c>
      <c r="U2463">
        <v>6.9</v>
      </c>
      <c r="V2463">
        <v>3.2</v>
      </c>
      <c r="W2463">
        <v>1</v>
      </c>
      <c r="X2463" t="s">
        <v>66</v>
      </c>
    </row>
    <row r="2464" spans="2:24" x14ac:dyDescent="0.3">
      <c r="B2464" t="s">
        <v>2557</v>
      </c>
      <c r="C2464" t="s">
        <v>73</v>
      </c>
      <c r="D2464" t="s">
        <v>3</v>
      </c>
      <c r="E2464" t="s">
        <v>19</v>
      </c>
      <c r="F2464" t="s">
        <v>9</v>
      </c>
      <c r="G2464" t="s">
        <v>78</v>
      </c>
      <c r="H2464">
        <v>2024</v>
      </c>
      <c r="I2464">
        <v>1974</v>
      </c>
      <c r="J2464">
        <v>7.8</v>
      </c>
      <c r="K2464" t="s">
        <v>24</v>
      </c>
      <c r="L2464">
        <v>10.1</v>
      </c>
      <c r="M2464">
        <v>8.1</v>
      </c>
      <c r="N2464">
        <v>1815</v>
      </c>
      <c r="O2464" t="s">
        <v>55</v>
      </c>
      <c r="P2464">
        <v>24.9</v>
      </c>
      <c r="Q2464" t="s">
        <v>65</v>
      </c>
      <c r="R2464">
        <v>65.7</v>
      </c>
      <c r="S2464">
        <v>6.2</v>
      </c>
      <c r="T2464">
        <v>1.5</v>
      </c>
      <c r="U2464">
        <v>7</v>
      </c>
      <c r="V2464">
        <v>7</v>
      </c>
      <c r="W2464">
        <v>5.6</v>
      </c>
      <c r="X2464" t="s">
        <v>57</v>
      </c>
    </row>
    <row r="2465" spans="2:24" x14ac:dyDescent="0.3">
      <c r="B2465" t="s">
        <v>2558</v>
      </c>
      <c r="C2465" t="s">
        <v>59</v>
      </c>
      <c r="D2465" t="s">
        <v>4</v>
      </c>
      <c r="E2465" t="s">
        <v>19</v>
      </c>
      <c r="F2465" t="s">
        <v>11</v>
      </c>
      <c r="G2465" t="s">
        <v>112</v>
      </c>
      <c r="H2465">
        <v>2024</v>
      </c>
      <c r="I2465">
        <v>1189</v>
      </c>
      <c r="J2465">
        <v>32.4</v>
      </c>
      <c r="K2465" t="s">
        <v>21</v>
      </c>
      <c r="L2465">
        <v>1.8</v>
      </c>
      <c r="M2465">
        <v>9.1</v>
      </c>
      <c r="N2465">
        <v>460</v>
      </c>
      <c r="O2465" t="s">
        <v>75</v>
      </c>
      <c r="P2465">
        <v>76.900000000000006</v>
      </c>
      <c r="Q2465" t="s">
        <v>76</v>
      </c>
      <c r="R2465">
        <v>-37.799999999999997</v>
      </c>
      <c r="S2465">
        <v>-6.2</v>
      </c>
      <c r="T2465">
        <v>-17.399999999999999</v>
      </c>
      <c r="U2465">
        <v>1.3</v>
      </c>
      <c r="V2465">
        <v>4.9000000000000004</v>
      </c>
      <c r="W2465">
        <v>2.7</v>
      </c>
      <c r="X2465" t="s">
        <v>66</v>
      </c>
    </row>
    <row r="2466" spans="2:24" x14ac:dyDescent="0.3">
      <c r="B2466" t="s">
        <v>2559</v>
      </c>
      <c r="C2466" t="s">
        <v>81</v>
      </c>
      <c r="D2466" t="s">
        <v>5</v>
      </c>
      <c r="E2466" t="s">
        <v>18</v>
      </c>
      <c r="F2466" t="s">
        <v>9</v>
      </c>
      <c r="G2466" t="s">
        <v>60</v>
      </c>
      <c r="H2466">
        <v>2025</v>
      </c>
      <c r="I2466">
        <v>18131</v>
      </c>
      <c r="J2466">
        <v>29.6</v>
      </c>
      <c r="K2466" t="s">
        <v>24</v>
      </c>
      <c r="L2466">
        <v>5.8</v>
      </c>
      <c r="M2466">
        <v>10</v>
      </c>
      <c r="N2466">
        <v>1737</v>
      </c>
      <c r="O2466" t="s">
        <v>64</v>
      </c>
      <c r="P2466">
        <v>82.9</v>
      </c>
      <c r="Q2466" t="s">
        <v>84</v>
      </c>
      <c r="R2466">
        <v>73.2</v>
      </c>
      <c r="S2466">
        <v>53.4</v>
      </c>
      <c r="T2466">
        <v>7.4</v>
      </c>
      <c r="U2466">
        <v>7.9</v>
      </c>
      <c r="V2466">
        <v>7.5</v>
      </c>
      <c r="W2466">
        <v>3.8</v>
      </c>
      <c r="X2466" t="s">
        <v>66</v>
      </c>
    </row>
    <row r="2467" spans="2:24" x14ac:dyDescent="0.3">
      <c r="B2467" t="s">
        <v>2560</v>
      </c>
      <c r="C2467" t="s">
        <v>100</v>
      </c>
      <c r="D2467" t="s">
        <v>3</v>
      </c>
      <c r="E2467" t="s">
        <v>19</v>
      </c>
      <c r="F2467" t="s">
        <v>11</v>
      </c>
      <c r="G2467" t="s">
        <v>112</v>
      </c>
      <c r="H2467">
        <v>2026</v>
      </c>
      <c r="I2467">
        <v>1891</v>
      </c>
      <c r="J2467">
        <v>1.7</v>
      </c>
      <c r="K2467" t="s">
        <v>21</v>
      </c>
      <c r="L2467">
        <v>7.2</v>
      </c>
      <c r="M2467">
        <v>10</v>
      </c>
      <c r="N2467">
        <v>1525</v>
      </c>
      <c r="O2467" t="s">
        <v>55</v>
      </c>
      <c r="P2467">
        <v>54.8</v>
      </c>
      <c r="Q2467" t="s">
        <v>88</v>
      </c>
      <c r="R2467">
        <v>67.7</v>
      </c>
      <c r="S2467">
        <v>-20.2</v>
      </c>
      <c r="T2467">
        <v>-6.5</v>
      </c>
      <c r="U2467">
        <v>7.4</v>
      </c>
      <c r="V2467">
        <v>6.8</v>
      </c>
      <c r="W2467">
        <v>4.4000000000000004</v>
      </c>
      <c r="X2467" t="s">
        <v>57</v>
      </c>
    </row>
    <row r="2468" spans="2:24" x14ac:dyDescent="0.3">
      <c r="B2468" t="s">
        <v>2561</v>
      </c>
      <c r="C2468" t="s">
        <v>59</v>
      </c>
      <c r="D2468" t="s">
        <v>4</v>
      </c>
      <c r="E2468" t="s">
        <v>14</v>
      </c>
      <c r="F2468" t="s">
        <v>10</v>
      </c>
      <c r="G2468" t="s">
        <v>98</v>
      </c>
      <c r="H2468">
        <v>2025</v>
      </c>
      <c r="I2468">
        <v>2189</v>
      </c>
      <c r="J2468">
        <v>4.0999999999999996</v>
      </c>
      <c r="K2468" t="s">
        <v>22</v>
      </c>
      <c r="L2468">
        <v>8.1999999999999993</v>
      </c>
      <c r="M2468">
        <v>6.4</v>
      </c>
      <c r="N2468">
        <v>890</v>
      </c>
      <c r="O2468" t="s">
        <v>64</v>
      </c>
      <c r="P2468">
        <v>46.9</v>
      </c>
      <c r="Q2468" t="s">
        <v>79</v>
      </c>
      <c r="R2468">
        <v>43.7</v>
      </c>
      <c r="S2468">
        <v>21</v>
      </c>
      <c r="T2468">
        <v>0.7</v>
      </c>
      <c r="U2468">
        <v>5.4</v>
      </c>
      <c r="V2468">
        <v>7.3</v>
      </c>
      <c r="W2468">
        <v>6</v>
      </c>
      <c r="X2468" t="s">
        <v>57</v>
      </c>
    </row>
    <row r="2469" spans="2:24" x14ac:dyDescent="0.3">
      <c r="B2469" t="s">
        <v>2562</v>
      </c>
      <c r="C2469" t="s">
        <v>100</v>
      </c>
      <c r="D2469" t="s">
        <v>3</v>
      </c>
      <c r="E2469" t="s">
        <v>15</v>
      </c>
      <c r="F2469" t="s">
        <v>12</v>
      </c>
      <c r="G2469" t="s">
        <v>112</v>
      </c>
      <c r="H2469">
        <v>2025</v>
      </c>
      <c r="I2469">
        <v>427</v>
      </c>
      <c r="J2469">
        <v>6.3</v>
      </c>
      <c r="K2469" t="s">
        <v>21</v>
      </c>
      <c r="L2469">
        <v>3.8</v>
      </c>
      <c r="M2469">
        <v>5.3</v>
      </c>
      <c r="N2469">
        <v>4294</v>
      </c>
      <c r="O2469" t="s">
        <v>64</v>
      </c>
      <c r="P2469">
        <v>25.8</v>
      </c>
      <c r="Q2469" t="s">
        <v>84</v>
      </c>
      <c r="R2469">
        <v>14.5</v>
      </c>
      <c r="S2469">
        <v>43.8</v>
      </c>
      <c r="T2469">
        <v>9.3000000000000007</v>
      </c>
      <c r="U2469">
        <v>3.9</v>
      </c>
      <c r="V2469">
        <v>9.1999999999999993</v>
      </c>
      <c r="W2469">
        <v>8.3000000000000007</v>
      </c>
      <c r="X2469" t="s">
        <v>116</v>
      </c>
    </row>
    <row r="2470" spans="2:24" x14ac:dyDescent="0.3">
      <c r="B2470" t="s">
        <v>2563</v>
      </c>
      <c r="C2470" t="s">
        <v>92</v>
      </c>
      <c r="D2470" t="s">
        <v>7</v>
      </c>
      <c r="E2470" t="s">
        <v>16</v>
      </c>
      <c r="F2470" t="s">
        <v>11</v>
      </c>
      <c r="G2470" t="s">
        <v>104</v>
      </c>
      <c r="H2470">
        <v>2026</v>
      </c>
      <c r="I2470">
        <v>2185</v>
      </c>
      <c r="J2470">
        <v>1.2</v>
      </c>
      <c r="K2470" t="s">
        <v>22</v>
      </c>
      <c r="L2470">
        <v>4</v>
      </c>
      <c r="M2470">
        <v>5.9</v>
      </c>
      <c r="N2470">
        <v>2313</v>
      </c>
      <c r="O2470" t="s">
        <v>55</v>
      </c>
      <c r="P2470">
        <v>45.6</v>
      </c>
      <c r="Q2470" t="s">
        <v>65</v>
      </c>
      <c r="R2470">
        <v>-39.700000000000003</v>
      </c>
      <c r="S2470">
        <v>-15</v>
      </c>
      <c r="T2470">
        <v>-10.1</v>
      </c>
      <c r="U2470">
        <v>6.5</v>
      </c>
      <c r="V2470">
        <v>6.8</v>
      </c>
      <c r="W2470">
        <v>6.3</v>
      </c>
      <c r="X2470" t="s">
        <v>116</v>
      </c>
    </row>
    <row r="2471" spans="2:24" x14ac:dyDescent="0.3">
      <c r="B2471" t="s">
        <v>2564</v>
      </c>
      <c r="C2471" t="s">
        <v>106</v>
      </c>
      <c r="D2471" t="s">
        <v>2</v>
      </c>
      <c r="E2471" t="s">
        <v>14</v>
      </c>
      <c r="F2471" t="s">
        <v>12</v>
      </c>
      <c r="G2471" t="s">
        <v>131</v>
      </c>
      <c r="H2471">
        <v>2026</v>
      </c>
      <c r="I2471">
        <v>404</v>
      </c>
      <c r="J2471">
        <v>6.9</v>
      </c>
      <c r="K2471" t="s">
        <v>22</v>
      </c>
      <c r="L2471">
        <v>3.7</v>
      </c>
      <c r="M2471">
        <v>3.4</v>
      </c>
      <c r="N2471">
        <v>6967</v>
      </c>
      <c r="O2471" t="s">
        <v>55</v>
      </c>
      <c r="P2471">
        <v>38.4</v>
      </c>
      <c r="Q2471" t="s">
        <v>76</v>
      </c>
      <c r="R2471">
        <v>47.6</v>
      </c>
      <c r="S2471">
        <v>26.8</v>
      </c>
      <c r="T2471">
        <v>17.5</v>
      </c>
      <c r="U2471">
        <v>3.8</v>
      </c>
      <c r="V2471">
        <v>7.5</v>
      </c>
      <c r="W2471">
        <v>7.2</v>
      </c>
      <c r="X2471" t="s">
        <v>116</v>
      </c>
    </row>
    <row r="2472" spans="2:24" x14ac:dyDescent="0.3">
      <c r="B2472" t="s">
        <v>2565</v>
      </c>
      <c r="C2472" t="s">
        <v>68</v>
      </c>
      <c r="D2472" t="s">
        <v>8</v>
      </c>
      <c r="E2472" t="s">
        <v>16</v>
      </c>
      <c r="F2472" t="s">
        <v>11</v>
      </c>
      <c r="G2472" t="s">
        <v>101</v>
      </c>
      <c r="H2472">
        <v>2025</v>
      </c>
      <c r="I2472">
        <v>11299</v>
      </c>
      <c r="J2472">
        <v>31.1</v>
      </c>
      <c r="K2472" t="s">
        <v>22</v>
      </c>
      <c r="L2472">
        <v>10.7</v>
      </c>
      <c r="M2472">
        <v>9.3000000000000007</v>
      </c>
      <c r="N2472">
        <v>1583</v>
      </c>
      <c r="O2472" t="s">
        <v>64</v>
      </c>
      <c r="P2472">
        <v>12</v>
      </c>
      <c r="Q2472" t="s">
        <v>65</v>
      </c>
      <c r="R2472">
        <v>16</v>
      </c>
      <c r="S2472">
        <v>11.5</v>
      </c>
      <c r="T2472">
        <v>-0.9</v>
      </c>
      <c r="U2472">
        <v>6.4</v>
      </c>
      <c r="V2472">
        <v>5.8</v>
      </c>
      <c r="W2472">
        <v>4.2</v>
      </c>
      <c r="X2472" t="s">
        <v>66</v>
      </c>
    </row>
    <row r="2473" spans="2:24" x14ac:dyDescent="0.3">
      <c r="B2473" t="s">
        <v>2566</v>
      </c>
      <c r="C2473" t="s">
        <v>90</v>
      </c>
      <c r="D2473" t="s">
        <v>3</v>
      </c>
      <c r="E2473" t="s">
        <v>14</v>
      </c>
      <c r="F2473" t="s">
        <v>11</v>
      </c>
      <c r="G2473" t="s">
        <v>115</v>
      </c>
      <c r="H2473">
        <v>2026</v>
      </c>
      <c r="I2473">
        <v>19249</v>
      </c>
      <c r="J2473">
        <v>9</v>
      </c>
      <c r="K2473" t="s">
        <v>24</v>
      </c>
      <c r="L2473">
        <v>5.8</v>
      </c>
      <c r="M2473">
        <v>10</v>
      </c>
      <c r="N2473">
        <v>1092</v>
      </c>
      <c r="O2473" t="s">
        <v>64</v>
      </c>
      <c r="P2473">
        <v>89.2</v>
      </c>
      <c r="Q2473" t="s">
        <v>76</v>
      </c>
      <c r="R2473">
        <v>60.2</v>
      </c>
      <c r="S2473">
        <v>6.2</v>
      </c>
      <c r="T2473">
        <v>9</v>
      </c>
      <c r="U2473">
        <v>7</v>
      </c>
      <c r="V2473">
        <v>6.3</v>
      </c>
      <c r="W2473">
        <v>5.8</v>
      </c>
      <c r="X2473" t="s">
        <v>66</v>
      </c>
    </row>
    <row r="2474" spans="2:24" x14ac:dyDescent="0.3">
      <c r="B2474" t="s">
        <v>2567</v>
      </c>
      <c r="C2474" t="s">
        <v>81</v>
      </c>
      <c r="D2474" t="s">
        <v>5</v>
      </c>
      <c r="E2474" t="s">
        <v>19</v>
      </c>
      <c r="F2474" t="s">
        <v>10</v>
      </c>
      <c r="G2474" t="s">
        <v>74</v>
      </c>
      <c r="H2474">
        <v>2025</v>
      </c>
      <c r="I2474">
        <v>10426</v>
      </c>
      <c r="J2474">
        <v>39.799999999999997</v>
      </c>
      <c r="K2474" t="s">
        <v>21</v>
      </c>
      <c r="L2474">
        <v>1.1000000000000001</v>
      </c>
      <c r="M2474">
        <v>7.8</v>
      </c>
      <c r="N2474">
        <v>780</v>
      </c>
      <c r="O2474" t="s">
        <v>75</v>
      </c>
      <c r="P2474">
        <v>22.3</v>
      </c>
      <c r="Q2474" t="s">
        <v>79</v>
      </c>
      <c r="R2474">
        <v>79.5</v>
      </c>
      <c r="S2474">
        <v>13.4</v>
      </c>
      <c r="T2474">
        <v>-12.7</v>
      </c>
      <c r="U2474">
        <v>1.6</v>
      </c>
      <c r="V2474">
        <v>4.2</v>
      </c>
      <c r="W2474">
        <v>2.1</v>
      </c>
      <c r="X2474" t="s">
        <v>66</v>
      </c>
    </row>
    <row r="2475" spans="2:24" x14ac:dyDescent="0.3">
      <c r="B2475" t="s">
        <v>2568</v>
      </c>
      <c r="C2475" t="s">
        <v>83</v>
      </c>
      <c r="D2475" t="s">
        <v>4</v>
      </c>
      <c r="E2475" t="s">
        <v>16</v>
      </c>
      <c r="F2475" t="s">
        <v>10</v>
      </c>
      <c r="G2475" t="s">
        <v>78</v>
      </c>
      <c r="H2475">
        <v>2026</v>
      </c>
      <c r="I2475">
        <v>4206</v>
      </c>
      <c r="J2475">
        <v>2.8</v>
      </c>
      <c r="K2475" t="s">
        <v>21</v>
      </c>
      <c r="L2475">
        <v>7.1</v>
      </c>
      <c r="M2475">
        <v>10</v>
      </c>
      <c r="N2475">
        <v>1015</v>
      </c>
      <c r="O2475" t="s">
        <v>55</v>
      </c>
      <c r="P2475">
        <v>87.8</v>
      </c>
      <c r="Q2475" t="s">
        <v>125</v>
      </c>
      <c r="R2475">
        <v>-16.399999999999999</v>
      </c>
      <c r="S2475">
        <v>37.4</v>
      </c>
      <c r="T2475">
        <v>24.4</v>
      </c>
      <c r="U2475">
        <v>9.6999999999999993</v>
      </c>
      <c r="V2475">
        <v>9.4</v>
      </c>
      <c r="W2475">
        <v>6.1</v>
      </c>
      <c r="X2475" t="s">
        <v>116</v>
      </c>
    </row>
    <row r="2476" spans="2:24" x14ac:dyDescent="0.3">
      <c r="B2476" t="s">
        <v>2569</v>
      </c>
      <c r="C2476" t="s">
        <v>68</v>
      </c>
      <c r="D2476" t="s">
        <v>8</v>
      </c>
      <c r="E2476" t="s">
        <v>19</v>
      </c>
      <c r="F2476" t="s">
        <v>10</v>
      </c>
      <c r="G2476" t="s">
        <v>104</v>
      </c>
      <c r="H2476">
        <v>2026</v>
      </c>
      <c r="I2476">
        <v>4286</v>
      </c>
      <c r="J2476">
        <v>12</v>
      </c>
      <c r="K2476" t="s">
        <v>24</v>
      </c>
      <c r="L2476">
        <v>6.4</v>
      </c>
      <c r="M2476">
        <v>10</v>
      </c>
      <c r="N2476">
        <v>711</v>
      </c>
      <c r="O2476" t="s">
        <v>64</v>
      </c>
      <c r="P2476">
        <v>36.200000000000003</v>
      </c>
      <c r="Q2476" t="s">
        <v>84</v>
      </c>
      <c r="R2476">
        <v>50.4</v>
      </c>
      <c r="S2476">
        <v>-5.3</v>
      </c>
      <c r="T2476">
        <v>-12.1</v>
      </c>
      <c r="U2476">
        <v>5.8</v>
      </c>
      <c r="V2476">
        <v>6.6</v>
      </c>
      <c r="W2476">
        <v>5.5</v>
      </c>
      <c r="X2476" t="s">
        <v>66</v>
      </c>
    </row>
    <row r="2477" spans="2:24" x14ac:dyDescent="0.3">
      <c r="B2477" t="s">
        <v>2570</v>
      </c>
      <c r="C2477" t="s">
        <v>142</v>
      </c>
      <c r="D2477" t="s">
        <v>2</v>
      </c>
      <c r="E2477" t="s">
        <v>18</v>
      </c>
      <c r="F2477" t="s">
        <v>11</v>
      </c>
      <c r="G2477" t="s">
        <v>104</v>
      </c>
      <c r="H2477">
        <v>2025</v>
      </c>
      <c r="I2477">
        <v>3629</v>
      </c>
      <c r="J2477">
        <v>13.5</v>
      </c>
      <c r="K2477" t="s">
        <v>21</v>
      </c>
      <c r="L2477">
        <v>3.2</v>
      </c>
      <c r="M2477">
        <v>7.5</v>
      </c>
      <c r="N2477">
        <v>7354</v>
      </c>
      <c r="O2477" t="s">
        <v>55</v>
      </c>
      <c r="P2477">
        <v>61.2</v>
      </c>
      <c r="Q2477" t="s">
        <v>76</v>
      </c>
      <c r="R2477">
        <v>24.9</v>
      </c>
      <c r="S2477">
        <v>-15.4</v>
      </c>
      <c r="T2477">
        <v>-1.6</v>
      </c>
      <c r="U2477">
        <v>4.9000000000000004</v>
      </c>
      <c r="V2477">
        <v>4.9000000000000004</v>
      </c>
      <c r="W2477">
        <v>5.0999999999999996</v>
      </c>
      <c r="X2477" t="s">
        <v>116</v>
      </c>
    </row>
    <row r="2478" spans="2:24" x14ac:dyDescent="0.3">
      <c r="B2478" t="s">
        <v>2571</v>
      </c>
      <c r="C2478" t="s">
        <v>73</v>
      </c>
      <c r="D2478" t="s">
        <v>2</v>
      </c>
      <c r="E2478" t="s">
        <v>19</v>
      </c>
      <c r="F2478" t="s">
        <v>11</v>
      </c>
      <c r="G2478" t="s">
        <v>115</v>
      </c>
      <c r="H2478">
        <v>2024</v>
      </c>
      <c r="I2478">
        <v>4597</v>
      </c>
      <c r="J2478">
        <v>7.2</v>
      </c>
      <c r="K2478" t="s">
        <v>21</v>
      </c>
      <c r="L2478">
        <v>1.5</v>
      </c>
      <c r="M2478">
        <v>1.2</v>
      </c>
      <c r="N2478">
        <v>1473</v>
      </c>
      <c r="O2478" t="s">
        <v>75</v>
      </c>
      <c r="P2478">
        <v>84.2</v>
      </c>
      <c r="Q2478" t="s">
        <v>56</v>
      </c>
      <c r="R2478">
        <v>23.8</v>
      </c>
      <c r="S2478">
        <v>17.7</v>
      </c>
      <c r="T2478">
        <v>-1.2</v>
      </c>
      <c r="U2478">
        <v>2</v>
      </c>
      <c r="V2478">
        <v>7.3</v>
      </c>
      <c r="W2478">
        <v>7.6</v>
      </c>
      <c r="X2478" t="s">
        <v>116</v>
      </c>
    </row>
    <row r="2479" spans="2:24" x14ac:dyDescent="0.3">
      <c r="B2479" t="s">
        <v>2572</v>
      </c>
      <c r="C2479" t="s">
        <v>122</v>
      </c>
      <c r="D2479" t="s">
        <v>2</v>
      </c>
      <c r="E2479" t="s">
        <v>15</v>
      </c>
      <c r="F2479" t="s">
        <v>9</v>
      </c>
      <c r="G2479" t="s">
        <v>69</v>
      </c>
      <c r="H2479">
        <v>2026</v>
      </c>
      <c r="I2479">
        <v>8819</v>
      </c>
      <c r="J2479">
        <v>25.8</v>
      </c>
      <c r="K2479" t="s">
        <v>23</v>
      </c>
      <c r="L2479">
        <v>3.3</v>
      </c>
      <c r="M2479">
        <v>6.7</v>
      </c>
      <c r="N2479">
        <v>7800</v>
      </c>
      <c r="O2479" t="s">
        <v>64</v>
      </c>
      <c r="P2479">
        <v>74.2</v>
      </c>
      <c r="Q2479" t="s">
        <v>56</v>
      </c>
      <c r="R2479">
        <v>39.5</v>
      </c>
      <c r="S2479">
        <v>33.5</v>
      </c>
      <c r="T2479">
        <v>16.899999999999999</v>
      </c>
      <c r="U2479">
        <v>3.1</v>
      </c>
      <c r="V2479">
        <v>4.3</v>
      </c>
      <c r="W2479">
        <v>4.8</v>
      </c>
      <c r="X2479" t="s">
        <v>66</v>
      </c>
    </row>
    <row r="2480" spans="2:24" x14ac:dyDescent="0.3">
      <c r="B2480" t="s">
        <v>2573</v>
      </c>
      <c r="C2480" t="s">
        <v>90</v>
      </c>
      <c r="D2480" t="s">
        <v>6</v>
      </c>
      <c r="E2480" t="s">
        <v>15</v>
      </c>
      <c r="F2480" t="s">
        <v>11</v>
      </c>
      <c r="G2480" t="s">
        <v>112</v>
      </c>
      <c r="H2480">
        <v>2026</v>
      </c>
      <c r="I2480">
        <v>2212</v>
      </c>
      <c r="J2480">
        <v>14.3</v>
      </c>
      <c r="K2480" t="s">
        <v>23</v>
      </c>
      <c r="L2480">
        <v>8.1</v>
      </c>
      <c r="M2480">
        <v>10</v>
      </c>
      <c r="N2480">
        <v>5813</v>
      </c>
      <c r="O2480" t="s">
        <v>55</v>
      </c>
      <c r="P2480">
        <v>45.5</v>
      </c>
      <c r="Q2480" t="s">
        <v>65</v>
      </c>
      <c r="R2480">
        <v>38.799999999999997</v>
      </c>
      <c r="S2480">
        <v>8.9</v>
      </c>
      <c r="T2480">
        <v>7.5</v>
      </c>
      <c r="U2480">
        <v>9.5</v>
      </c>
      <c r="V2480">
        <v>4.8</v>
      </c>
      <c r="W2480">
        <v>5.8</v>
      </c>
      <c r="X2480" t="s">
        <v>116</v>
      </c>
    </row>
    <row r="2481" spans="2:24" x14ac:dyDescent="0.3">
      <c r="B2481" t="s">
        <v>2574</v>
      </c>
      <c r="C2481" t="s">
        <v>137</v>
      </c>
      <c r="D2481" t="s">
        <v>3</v>
      </c>
      <c r="E2481" t="s">
        <v>14</v>
      </c>
      <c r="F2481" t="s">
        <v>10</v>
      </c>
      <c r="G2481" t="s">
        <v>98</v>
      </c>
      <c r="H2481">
        <v>2026</v>
      </c>
      <c r="I2481">
        <v>1405</v>
      </c>
      <c r="J2481">
        <v>1.3</v>
      </c>
      <c r="K2481" t="s">
        <v>23</v>
      </c>
      <c r="L2481">
        <v>1.4</v>
      </c>
      <c r="M2481">
        <v>1</v>
      </c>
      <c r="N2481">
        <v>4447</v>
      </c>
      <c r="O2481" t="s">
        <v>64</v>
      </c>
      <c r="P2481">
        <v>14.6</v>
      </c>
      <c r="Q2481" t="s">
        <v>65</v>
      </c>
      <c r="R2481">
        <v>-10.199999999999999</v>
      </c>
      <c r="S2481">
        <v>24.8</v>
      </c>
      <c r="T2481">
        <v>4.9000000000000004</v>
      </c>
      <c r="U2481">
        <v>1.3</v>
      </c>
      <c r="V2481">
        <v>6.6</v>
      </c>
      <c r="W2481">
        <v>8.1</v>
      </c>
      <c r="X2481" t="s">
        <v>57</v>
      </c>
    </row>
    <row r="2482" spans="2:24" x14ac:dyDescent="0.3">
      <c r="B2482" t="s">
        <v>2575</v>
      </c>
      <c r="C2482" t="s">
        <v>137</v>
      </c>
      <c r="D2482" t="s">
        <v>3</v>
      </c>
      <c r="E2482" t="s">
        <v>18</v>
      </c>
      <c r="F2482" t="s">
        <v>10</v>
      </c>
      <c r="G2482" t="s">
        <v>63</v>
      </c>
      <c r="H2482">
        <v>2024</v>
      </c>
      <c r="I2482">
        <v>156</v>
      </c>
      <c r="J2482">
        <v>1.2</v>
      </c>
      <c r="K2482" t="s">
        <v>21</v>
      </c>
      <c r="L2482">
        <v>5.9</v>
      </c>
      <c r="M2482">
        <v>3.8</v>
      </c>
      <c r="N2482">
        <v>4596</v>
      </c>
      <c r="O2482" t="s">
        <v>55</v>
      </c>
      <c r="P2482">
        <v>10.5</v>
      </c>
      <c r="Q2482" t="s">
        <v>76</v>
      </c>
      <c r="R2482">
        <v>-39.4</v>
      </c>
      <c r="S2482">
        <v>4.5</v>
      </c>
      <c r="T2482">
        <v>-0.7</v>
      </c>
      <c r="U2482">
        <v>4.5999999999999996</v>
      </c>
      <c r="V2482">
        <v>6.7</v>
      </c>
      <c r="W2482">
        <v>6.9</v>
      </c>
      <c r="X2482" t="s">
        <v>57</v>
      </c>
    </row>
    <row r="2483" spans="2:24" x14ac:dyDescent="0.3">
      <c r="B2483" t="s">
        <v>2576</v>
      </c>
      <c r="C2483" t="s">
        <v>106</v>
      </c>
      <c r="D2483" t="s">
        <v>4</v>
      </c>
      <c r="E2483" t="s">
        <v>16</v>
      </c>
      <c r="F2483" t="s">
        <v>12</v>
      </c>
      <c r="G2483" t="s">
        <v>115</v>
      </c>
      <c r="H2483">
        <v>2025</v>
      </c>
      <c r="I2483">
        <v>3630</v>
      </c>
      <c r="J2483">
        <v>33.4</v>
      </c>
      <c r="K2483" t="s">
        <v>23</v>
      </c>
      <c r="L2483">
        <v>13.1</v>
      </c>
      <c r="M2483">
        <v>10</v>
      </c>
      <c r="N2483">
        <v>1874</v>
      </c>
      <c r="O2483" t="s">
        <v>64</v>
      </c>
      <c r="P2483">
        <v>76.5</v>
      </c>
      <c r="Q2483" t="s">
        <v>125</v>
      </c>
      <c r="R2483">
        <v>38.799999999999997</v>
      </c>
      <c r="S2483">
        <v>40.200000000000003</v>
      </c>
      <c r="T2483">
        <v>11.4</v>
      </c>
      <c r="U2483">
        <v>8.9</v>
      </c>
      <c r="V2483">
        <v>6.7</v>
      </c>
      <c r="W2483">
        <v>4.0999999999999996</v>
      </c>
      <c r="X2483" t="s">
        <v>66</v>
      </c>
    </row>
    <row r="2484" spans="2:24" x14ac:dyDescent="0.3">
      <c r="B2484" t="s">
        <v>2577</v>
      </c>
      <c r="C2484" t="s">
        <v>90</v>
      </c>
      <c r="D2484" t="s">
        <v>6</v>
      </c>
      <c r="E2484" t="s">
        <v>19</v>
      </c>
      <c r="F2484" t="s">
        <v>9</v>
      </c>
      <c r="G2484" t="s">
        <v>74</v>
      </c>
      <c r="H2484">
        <v>2024</v>
      </c>
      <c r="I2484">
        <v>11618</v>
      </c>
      <c r="J2484">
        <v>8.8000000000000007</v>
      </c>
      <c r="K2484" t="s">
        <v>21</v>
      </c>
      <c r="L2484">
        <v>3.3</v>
      </c>
      <c r="M2484">
        <v>5.2</v>
      </c>
      <c r="N2484">
        <v>1932</v>
      </c>
      <c r="O2484" t="s">
        <v>64</v>
      </c>
      <c r="P2484">
        <v>24.6</v>
      </c>
      <c r="Q2484" t="s">
        <v>56</v>
      </c>
      <c r="R2484">
        <v>56</v>
      </c>
      <c r="S2484">
        <v>31.1</v>
      </c>
      <c r="T2484">
        <v>18.399999999999999</v>
      </c>
      <c r="U2484">
        <v>2.4</v>
      </c>
      <c r="V2484">
        <v>5.3</v>
      </c>
      <c r="W2484">
        <v>7.5</v>
      </c>
      <c r="X2484" t="s">
        <v>66</v>
      </c>
    </row>
    <row r="2485" spans="2:24" x14ac:dyDescent="0.3">
      <c r="B2485" t="s">
        <v>2578</v>
      </c>
      <c r="C2485" t="s">
        <v>59</v>
      </c>
      <c r="D2485" t="s">
        <v>4</v>
      </c>
      <c r="E2485" t="s">
        <v>17</v>
      </c>
      <c r="F2485" t="s">
        <v>10</v>
      </c>
      <c r="G2485" t="s">
        <v>112</v>
      </c>
      <c r="H2485">
        <v>2025</v>
      </c>
      <c r="I2485">
        <v>1679</v>
      </c>
      <c r="J2485">
        <v>9</v>
      </c>
      <c r="K2485" t="s">
        <v>25</v>
      </c>
      <c r="L2485">
        <v>7.3</v>
      </c>
      <c r="M2485">
        <v>9.5</v>
      </c>
      <c r="N2485">
        <v>1129</v>
      </c>
      <c r="O2485" t="s">
        <v>64</v>
      </c>
      <c r="P2485">
        <v>74.599999999999994</v>
      </c>
      <c r="Q2485" t="s">
        <v>86</v>
      </c>
      <c r="R2485">
        <v>88.4</v>
      </c>
      <c r="S2485">
        <v>-24.3</v>
      </c>
      <c r="T2485">
        <v>-4.3</v>
      </c>
      <c r="U2485">
        <v>6.9</v>
      </c>
      <c r="V2485">
        <v>5.9</v>
      </c>
      <c r="W2485">
        <v>3.6</v>
      </c>
      <c r="X2485" t="s">
        <v>57</v>
      </c>
    </row>
    <row r="2486" spans="2:24" x14ac:dyDescent="0.3">
      <c r="B2486" t="s">
        <v>2579</v>
      </c>
      <c r="C2486" t="s">
        <v>27</v>
      </c>
      <c r="D2486" t="s">
        <v>2</v>
      </c>
      <c r="E2486" t="s">
        <v>16</v>
      </c>
      <c r="F2486" t="s">
        <v>11</v>
      </c>
      <c r="G2486" t="s">
        <v>78</v>
      </c>
      <c r="H2486">
        <v>2024</v>
      </c>
      <c r="I2486">
        <v>1972</v>
      </c>
      <c r="J2486">
        <v>1.3</v>
      </c>
      <c r="K2486" t="s">
        <v>25</v>
      </c>
      <c r="L2486">
        <v>5.6</v>
      </c>
      <c r="M2486">
        <v>3.3</v>
      </c>
      <c r="N2486">
        <v>8842</v>
      </c>
      <c r="O2486" t="s">
        <v>55</v>
      </c>
      <c r="P2486">
        <v>54.4</v>
      </c>
      <c r="Q2486" t="s">
        <v>56</v>
      </c>
      <c r="R2486">
        <v>6.3</v>
      </c>
      <c r="S2486">
        <v>29.4</v>
      </c>
      <c r="T2486">
        <v>8</v>
      </c>
      <c r="U2486">
        <v>4.4000000000000004</v>
      </c>
      <c r="V2486">
        <v>6.4</v>
      </c>
      <c r="W2486">
        <v>8</v>
      </c>
      <c r="X2486" t="s">
        <v>116</v>
      </c>
    </row>
    <row r="2487" spans="2:24" x14ac:dyDescent="0.3">
      <c r="B2487" t="s">
        <v>2580</v>
      </c>
      <c r="C2487" t="s">
        <v>100</v>
      </c>
      <c r="D2487" t="s">
        <v>3</v>
      </c>
      <c r="E2487" t="s">
        <v>15</v>
      </c>
      <c r="F2487" t="s">
        <v>11</v>
      </c>
      <c r="G2487" t="s">
        <v>63</v>
      </c>
      <c r="H2487">
        <v>2026</v>
      </c>
      <c r="I2487">
        <v>5933</v>
      </c>
      <c r="J2487">
        <v>11.9</v>
      </c>
      <c r="K2487" t="s">
        <v>21</v>
      </c>
      <c r="L2487">
        <v>10.199999999999999</v>
      </c>
      <c r="M2487">
        <v>10</v>
      </c>
      <c r="N2487">
        <v>5673</v>
      </c>
      <c r="O2487" t="s">
        <v>55</v>
      </c>
      <c r="P2487">
        <v>64.400000000000006</v>
      </c>
      <c r="Q2487" t="s">
        <v>79</v>
      </c>
      <c r="R2487">
        <v>-29.2</v>
      </c>
      <c r="S2487">
        <v>38.6</v>
      </c>
      <c r="T2487">
        <v>22</v>
      </c>
      <c r="U2487">
        <v>9.5</v>
      </c>
      <c r="V2487">
        <v>5.9</v>
      </c>
      <c r="W2487">
        <v>5.8</v>
      </c>
      <c r="X2487" t="s">
        <v>116</v>
      </c>
    </row>
    <row r="2488" spans="2:24" x14ac:dyDescent="0.3">
      <c r="B2488" t="s">
        <v>2581</v>
      </c>
      <c r="C2488" t="s">
        <v>159</v>
      </c>
      <c r="D2488" t="s">
        <v>7</v>
      </c>
      <c r="E2488" t="s">
        <v>19</v>
      </c>
      <c r="F2488" t="s">
        <v>9</v>
      </c>
      <c r="G2488" t="s">
        <v>112</v>
      </c>
      <c r="H2488">
        <v>2024</v>
      </c>
      <c r="I2488">
        <v>395</v>
      </c>
      <c r="J2488">
        <v>13.1</v>
      </c>
      <c r="K2488" t="s">
        <v>22</v>
      </c>
      <c r="L2488">
        <v>3.9</v>
      </c>
      <c r="M2488">
        <v>7.8</v>
      </c>
      <c r="N2488">
        <v>4345</v>
      </c>
      <c r="O2488" t="s">
        <v>55</v>
      </c>
      <c r="P2488">
        <v>49.6</v>
      </c>
      <c r="Q2488" t="s">
        <v>88</v>
      </c>
      <c r="R2488">
        <v>-18.7</v>
      </c>
      <c r="S2488">
        <v>37.700000000000003</v>
      </c>
      <c r="T2488">
        <v>14.4</v>
      </c>
      <c r="U2488">
        <v>6.1</v>
      </c>
      <c r="V2488">
        <v>6.8</v>
      </c>
      <c r="W2488">
        <v>6.1</v>
      </c>
      <c r="X2488" t="s">
        <v>116</v>
      </c>
    </row>
    <row r="2489" spans="2:24" x14ac:dyDescent="0.3">
      <c r="B2489" t="s">
        <v>2582</v>
      </c>
      <c r="C2489" t="s">
        <v>90</v>
      </c>
      <c r="D2489" t="s">
        <v>2</v>
      </c>
      <c r="E2489" t="s">
        <v>19</v>
      </c>
      <c r="F2489" t="s">
        <v>9</v>
      </c>
      <c r="G2489" t="s">
        <v>101</v>
      </c>
      <c r="H2489">
        <v>2025</v>
      </c>
      <c r="I2489">
        <v>1246</v>
      </c>
      <c r="J2489">
        <v>3.3</v>
      </c>
      <c r="K2489" t="s">
        <v>22</v>
      </c>
      <c r="L2489">
        <v>10.199999999999999</v>
      </c>
      <c r="M2489">
        <v>9.1</v>
      </c>
      <c r="N2489">
        <v>7726</v>
      </c>
      <c r="O2489" t="s">
        <v>55</v>
      </c>
      <c r="P2489">
        <v>67.900000000000006</v>
      </c>
      <c r="Q2489" t="s">
        <v>56</v>
      </c>
      <c r="R2489">
        <v>22.3</v>
      </c>
      <c r="S2489">
        <v>4.2</v>
      </c>
      <c r="T2489">
        <v>2.2000000000000002</v>
      </c>
      <c r="U2489">
        <v>6</v>
      </c>
      <c r="V2489">
        <v>8.1</v>
      </c>
      <c r="W2489">
        <v>6</v>
      </c>
      <c r="X2489" t="s">
        <v>57</v>
      </c>
    </row>
    <row r="2490" spans="2:24" x14ac:dyDescent="0.3">
      <c r="B2490" t="s">
        <v>2583</v>
      </c>
      <c r="C2490" t="s">
        <v>73</v>
      </c>
      <c r="D2490" t="s">
        <v>3</v>
      </c>
      <c r="E2490" t="s">
        <v>17</v>
      </c>
      <c r="F2490" t="s">
        <v>10</v>
      </c>
      <c r="G2490" t="s">
        <v>131</v>
      </c>
      <c r="H2490">
        <v>2026</v>
      </c>
      <c r="I2490">
        <v>2401</v>
      </c>
      <c r="J2490">
        <v>4.5</v>
      </c>
      <c r="K2490" t="s">
        <v>22</v>
      </c>
      <c r="L2490">
        <v>4.7</v>
      </c>
      <c r="M2490">
        <v>10</v>
      </c>
      <c r="N2490">
        <v>3375</v>
      </c>
      <c r="O2490" t="s">
        <v>55</v>
      </c>
      <c r="P2490">
        <v>38.299999999999997</v>
      </c>
      <c r="Q2490" t="s">
        <v>76</v>
      </c>
      <c r="R2490">
        <v>59.7</v>
      </c>
      <c r="S2490">
        <v>31.2</v>
      </c>
      <c r="T2490">
        <v>23.6</v>
      </c>
      <c r="U2490">
        <v>7</v>
      </c>
      <c r="V2490">
        <v>8.1999999999999993</v>
      </c>
      <c r="W2490">
        <v>6.2</v>
      </c>
      <c r="X2490" t="s">
        <v>57</v>
      </c>
    </row>
    <row r="2491" spans="2:24" x14ac:dyDescent="0.3">
      <c r="B2491" t="s">
        <v>2584</v>
      </c>
      <c r="C2491" t="s">
        <v>97</v>
      </c>
      <c r="D2491" t="s">
        <v>3</v>
      </c>
      <c r="E2491" t="s">
        <v>19</v>
      </c>
      <c r="F2491" t="s">
        <v>9</v>
      </c>
      <c r="G2491" t="s">
        <v>69</v>
      </c>
      <c r="H2491">
        <v>2025</v>
      </c>
      <c r="I2491">
        <v>10601</v>
      </c>
      <c r="J2491">
        <v>29.4</v>
      </c>
      <c r="K2491" t="s">
        <v>23</v>
      </c>
      <c r="L2491">
        <v>7.8</v>
      </c>
      <c r="M2491">
        <v>10</v>
      </c>
      <c r="N2491">
        <v>1290</v>
      </c>
      <c r="O2491" t="s">
        <v>64</v>
      </c>
      <c r="P2491">
        <v>22.9</v>
      </c>
      <c r="Q2491" t="s">
        <v>65</v>
      </c>
      <c r="R2491">
        <v>71.400000000000006</v>
      </c>
      <c r="S2491">
        <v>40.200000000000003</v>
      </c>
      <c r="T2491">
        <v>9.5</v>
      </c>
      <c r="U2491">
        <v>7.1</v>
      </c>
      <c r="V2491">
        <v>6.3</v>
      </c>
      <c r="W2491">
        <v>3.8</v>
      </c>
      <c r="X2491" t="s">
        <v>66</v>
      </c>
    </row>
    <row r="2492" spans="2:24" x14ac:dyDescent="0.3">
      <c r="B2492" t="s">
        <v>2585</v>
      </c>
      <c r="C2492" t="s">
        <v>106</v>
      </c>
      <c r="D2492" t="s">
        <v>2</v>
      </c>
      <c r="E2492" t="s">
        <v>14</v>
      </c>
      <c r="F2492" t="s">
        <v>11</v>
      </c>
      <c r="G2492" t="s">
        <v>115</v>
      </c>
      <c r="H2492">
        <v>2026</v>
      </c>
      <c r="I2492">
        <v>2404</v>
      </c>
      <c r="J2492">
        <v>6.1</v>
      </c>
      <c r="K2492" t="s">
        <v>22</v>
      </c>
      <c r="L2492">
        <v>10.199999999999999</v>
      </c>
      <c r="M2492">
        <v>10</v>
      </c>
      <c r="N2492">
        <v>2145</v>
      </c>
      <c r="O2492" t="s">
        <v>55</v>
      </c>
      <c r="P2492">
        <v>64.5</v>
      </c>
      <c r="Q2492" t="s">
        <v>76</v>
      </c>
      <c r="R2492">
        <v>83.9</v>
      </c>
      <c r="S2492">
        <v>15.5</v>
      </c>
      <c r="T2492">
        <v>9.9</v>
      </c>
      <c r="U2492">
        <v>9</v>
      </c>
      <c r="V2492">
        <v>8</v>
      </c>
      <c r="W2492">
        <v>6.5</v>
      </c>
      <c r="X2492" t="s">
        <v>57</v>
      </c>
    </row>
    <row r="2493" spans="2:24" x14ac:dyDescent="0.3">
      <c r="B2493" t="s">
        <v>2586</v>
      </c>
      <c r="C2493" t="s">
        <v>62</v>
      </c>
      <c r="D2493" t="s">
        <v>2</v>
      </c>
      <c r="E2493" t="s">
        <v>17</v>
      </c>
      <c r="F2493" t="s">
        <v>9</v>
      </c>
      <c r="G2493" t="s">
        <v>78</v>
      </c>
      <c r="H2493">
        <v>2026</v>
      </c>
      <c r="I2493">
        <v>3271</v>
      </c>
      <c r="J2493">
        <v>39.200000000000003</v>
      </c>
      <c r="K2493" t="s">
        <v>24</v>
      </c>
      <c r="L2493">
        <v>4.7</v>
      </c>
      <c r="M2493">
        <v>10</v>
      </c>
      <c r="N2493">
        <v>9699</v>
      </c>
      <c r="O2493" t="s">
        <v>64</v>
      </c>
      <c r="P2493">
        <v>16.3</v>
      </c>
      <c r="Q2493" t="s">
        <v>76</v>
      </c>
      <c r="R2493">
        <v>-22.8</v>
      </c>
      <c r="S2493">
        <v>11.8</v>
      </c>
      <c r="T2493">
        <v>3.7</v>
      </c>
      <c r="U2493">
        <v>6.8</v>
      </c>
      <c r="V2493">
        <v>3.7</v>
      </c>
      <c r="W2493">
        <v>2</v>
      </c>
      <c r="X2493" t="s">
        <v>66</v>
      </c>
    </row>
    <row r="2494" spans="2:24" x14ac:dyDescent="0.3">
      <c r="B2494" t="s">
        <v>2587</v>
      </c>
      <c r="C2494" t="s">
        <v>27</v>
      </c>
      <c r="D2494" t="s">
        <v>3</v>
      </c>
      <c r="E2494" t="s">
        <v>17</v>
      </c>
      <c r="F2494" t="s">
        <v>11</v>
      </c>
      <c r="G2494" t="s">
        <v>69</v>
      </c>
      <c r="H2494">
        <v>2025</v>
      </c>
      <c r="I2494">
        <v>2622</v>
      </c>
      <c r="J2494">
        <v>9</v>
      </c>
      <c r="K2494" t="s">
        <v>25</v>
      </c>
      <c r="L2494">
        <v>6.3</v>
      </c>
      <c r="M2494">
        <v>10</v>
      </c>
      <c r="N2494">
        <v>5395</v>
      </c>
      <c r="O2494" t="s">
        <v>55</v>
      </c>
      <c r="P2494">
        <v>88.2</v>
      </c>
      <c r="Q2494" t="s">
        <v>84</v>
      </c>
      <c r="R2494">
        <v>88.4</v>
      </c>
      <c r="S2494">
        <v>29.8</v>
      </c>
      <c r="T2494">
        <v>22.3</v>
      </c>
      <c r="U2494">
        <v>8.1</v>
      </c>
      <c r="V2494">
        <v>5.9</v>
      </c>
      <c r="W2494">
        <v>5.9</v>
      </c>
      <c r="X2494" t="s">
        <v>116</v>
      </c>
    </row>
    <row r="2495" spans="2:24" x14ac:dyDescent="0.3">
      <c r="B2495" t="s">
        <v>2588</v>
      </c>
      <c r="C2495" t="s">
        <v>142</v>
      </c>
      <c r="D2495" t="s">
        <v>2</v>
      </c>
      <c r="E2495" t="s">
        <v>16</v>
      </c>
      <c r="F2495" t="s">
        <v>11</v>
      </c>
      <c r="G2495" t="s">
        <v>115</v>
      </c>
      <c r="H2495">
        <v>2024</v>
      </c>
      <c r="I2495">
        <v>16950</v>
      </c>
      <c r="J2495">
        <v>24.1</v>
      </c>
      <c r="K2495" t="s">
        <v>25</v>
      </c>
      <c r="L2495">
        <v>2.1</v>
      </c>
      <c r="M2495">
        <v>8</v>
      </c>
      <c r="N2495">
        <v>3419</v>
      </c>
      <c r="O2495" t="s">
        <v>75</v>
      </c>
      <c r="P2495">
        <v>19</v>
      </c>
      <c r="Q2495" t="s">
        <v>76</v>
      </c>
      <c r="R2495">
        <v>-16.5</v>
      </c>
      <c r="S2495">
        <v>40.200000000000003</v>
      </c>
      <c r="T2495">
        <v>12</v>
      </c>
      <c r="U2495">
        <v>1.7</v>
      </c>
      <c r="V2495">
        <v>7.2</v>
      </c>
      <c r="W2495">
        <v>6.1</v>
      </c>
      <c r="X2495" t="s">
        <v>66</v>
      </c>
    </row>
    <row r="2496" spans="2:24" x14ac:dyDescent="0.3">
      <c r="B2496" t="s">
        <v>2589</v>
      </c>
      <c r="C2496" t="s">
        <v>106</v>
      </c>
      <c r="D2496" t="s">
        <v>3</v>
      </c>
      <c r="E2496" t="s">
        <v>18</v>
      </c>
      <c r="F2496" t="s">
        <v>10</v>
      </c>
      <c r="G2496" t="s">
        <v>69</v>
      </c>
      <c r="H2496">
        <v>2025</v>
      </c>
      <c r="I2496">
        <v>16039</v>
      </c>
      <c r="J2496">
        <v>12.3</v>
      </c>
      <c r="K2496" t="s">
        <v>24</v>
      </c>
      <c r="L2496">
        <v>4.7</v>
      </c>
      <c r="M2496">
        <v>5.5</v>
      </c>
      <c r="N2496">
        <v>648</v>
      </c>
      <c r="O2496" t="s">
        <v>64</v>
      </c>
      <c r="P2496">
        <v>22.7</v>
      </c>
      <c r="Q2496" t="s">
        <v>125</v>
      </c>
      <c r="R2496">
        <v>79.8</v>
      </c>
      <c r="S2496">
        <v>-24</v>
      </c>
      <c r="T2496">
        <v>-10.9</v>
      </c>
      <c r="U2496">
        <v>3.3</v>
      </c>
      <c r="V2496">
        <v>5.7</v>
      </c>
      <c r="W2496">
        <v>5.5</v>
      </c>
      <c r="X2496" t="s">
        <v>66</v>
      </c>
    </row>
    <row r="2497" spans="2:24" x14ac:dyDescent="0.3">
      <c r="B2497" t="s">
        <v>2590</v>
      </c>
      <c r="C2497" t="s">
        <v>73</v>
      </c>
      <c r="D2497" t="s">
        <v>2</v>
      </c>
      <c r="E2497" t="s">
        <v>18</v>
      </c>
      <c r="F2497" t="s">
        <v>11</v>
      </c>
      <c r="G2497" t="s">
        <v>104</v>
      </c>
      <c r="H2497">
        <v>2025</v>
      </c>
      <c r="I2497">
        <v>816</v>
      </c>
      <c r="J2497">
        <v>16.5</v>
      </c>
      <c r="K2497" t="s">
        <v>22</v>
      </c>
      <c r="L2497">
        <v>6.4</v>
      </c>
      <c r="M2497">
        <v>10</v>
      </c>
      <c r="N2497">
        <v>7954</v>
      </c>
      <c r="O2497" t="s">
        <v>55</v>
      </c>
      <c r="P2497">
        <v>24.8</v>
      </c>
      <c r="Q2497" t="s">
        <v>56</v>
      </c>
      <c r="R2497">
        <v>87.1</v>
      </c>
      <c r="S2497">
        <v>32.700000000000003</v>
      </c>
      <c r="T2497">
        <v>5.4</v>
      </c>
      <c r="U2497">
        <v>7</v>
      </c>
      <c r="V2497">
        <v>8.3000000000000007</v>
      </c>
      <c r="W2497">
        <v>4.5999999999999996</v>
      </c>
      <c r="X2497" t="s">
        <v>116</v>
      </c>
    </row>
    <row r="2498" spans="2:24" x14ac:dyDescent="0.3">
      <c r="B2498" t="s">
        <v>2591</v>
      </c>
      <c r="C2498" t="s">
        <v>81</v>
      </c>
      <c r="D2498" t="s">
        <v>5</v>
      </c>
      <c r="E2498" t="s">
        <v>17</v>
      </c>
      <c r="F2498" t="s">
        <v>9</v>
      </c>
      <c r="G2498" t="s">
        <v>115</v>
      </c>
      <c r="H2498">
        <v>2024</v>
      </c>
      <c r="I2498">
        <v>8359</v>
      </c>
      <c r="J2498">
        <v>24.5</v>
      </c>
      <c r="K2498" t="s">
        <v>23</v>
      </c>
      <c r="L2498">
        <v>7.1</v>
      </c>
      <c r="M2498">
        <v>8.4</v>
      </c>
      <c r="N2498">
        <v>1848</v>
      </c>
      <c r="O2498" t="s">
        <v>75</v>
      </c>
      <c r="P2498">
        <v>72.900000000000006</v>
      </c>
      <c r="Q2498" t="s">
        <v>79</v>
      </c>
      <c r="R2498">
        <v>25.5</v>
      </c>
      <c r="S2498">
        <v>15.8</v>
      </c>
      <c r="T2498">
        <v>0.2</v>
      </c>
      <c r="U2498">
        <v>5</v>
      </c>
      <c r="V2498">
        <v>3.6</v>
      </c>
      <c r="W2498">
        <v>4.4000000000000004</v>
      </c>
      <c r="X2498" t="s">
        <v>66</v>
      </c>
    </row>
    <row r="2499" spans="2:24" x14ac:dyDescent="0.3">
      <c r="B2499" t="s">
        <v>2592</v>
      </c>
      <c r="C2499" t="s">
        <v>59</v>
      </c>
      <c r="D2499" t="s">
        <v>4</v>
      </c>
      <c r="E2499" t="s">
        <v>19</v>
      </c>
      <c r="F2499" t="s">
        <v>10</v>
      </c>
      <c r="G2499" t="s">
        <v>131</v>
      </c>
      <c r="H2499">
        <v>2025</v>
      </c>
      <c r="I2499">
        <v>2225</v>
      </c>
      <c r="J2499">
        <v>9.5</v>
      </c>
      <c r="K2499" t="s">
        <v>25</v>
      </c>
      <c r="L2499">
        <v>6.1</v>
      </c>
      <c r="M2499">
        <v>8.6999999999999993</v>
      </c>
      <c r="N2499">
        <v>257</v>
      </c>
      <c r="O2499" t="s">
        <v>64</v>
      </c>
      <c r="P2499">
        <v>37</v>
      </c>
      <c r="Q2499" t="s">
        <v>76</v>
      </c>
      <c r="R2499">
        <v>27.5</v>
      </c>
      <c r="S2499">
        <v>27.7</v>
      </c>
      <c r="T2499">
        <v>13</v>
      </c>
      <c r="U2499">
        <v>4.8</v>
      </c>
      <c r="V2499">
        <v>9</v>
      </c>
      <c r="W2499">
        <v>6.2</v>
      </c>
      <c r="X2499" t="s">
        <v>57</v>
      </c>
    </row>
    <row r="2500" spans="2:24" x14ac:dyDescent="0.3">
      <c r="B2500" t="s">
        <v>2593</v>
      </c>
      <c r="C2500" t="s">
        <v>106</v>
      </c>
      <c r="D2500" t="s">
        <v>2</v>
      </c>
      <c r="E2500" t="s">
        <v>14</v>
      </c>
      <c r="F2500" t="s">
        <v>12</v>
      </c>
      <c r="G2500" t="s">
        <v>104</v>
      </c>
      <c r="H2500">
        <v>2026</v>
      </c>
      <c r="I2500">
        <v>2534</v>
      </c>
      <c r="J2500">
        <v>16.7</v>
      </c>
      <c r="K2500" t="s">
        <v>23</v>
      </c>
      <c r="L2500">
        <v>6.7</v>
      </c>
      <c r="M2500">
        <v>8.1</v>
      </c>
      <c r="N2500">
        <v>1916</v>
      </c>
      <c r="O2500" t="s">
        <v>64</v>
      </c>
      <c r="P2500">
        <v>86.8</v>
      </c>
      <c r="Q2500" t="s">
        <v>76</v>
      </c>
      <c r="R2500">
        <v>-9.1</v>
      </c>
      <c r="S2500">
        <v>-12.9</v>
      </c>
      <c r="T2500">
        <v>-14.8</v>
      </c>
      <c r="U2500">
        <v>6</v>
      </c>
      <c r="V2500">
        <v>6.1</v>
      </c>
      <c r="W2500">
        <v>3.9</v>
      </c>
      <c r="X2500" t="s">
        <v>116</v>
      </c>
    </row>
    <row r="2501" spans="2:24" x14ac:dyDescent="0.3">
      <c r="B2501" t="s">
        <v>2594</v>
      </c>
      <c r="C2501" t="s">
        <v>94</v>
      </c>
      <c r="D2501" t="s">
        <v>6</v>
      </c>
      <c r="E2501" t="s">
        <v>19</v>
      </c>
      <c r="F2501" t="s">
        <v>10</v>
      </c>
      <c r="G2501" t="s">
        <v>101</v>
      </c>
      <c r="H2501">
        <v>2025</v>
      </c>
      <c r="I2501">
        <v>2307</v>
      </c>
      <c r="J2501">
        <v>14.4</v>
      </c>
      <c r="K2501" t="s">
        <v>24</v>
      </c>
      <c r="L2501">
        <v>4.5999999999999996</v>
      </c>
      <c r="M2501">
        <v>7.9</v>
      </c>
      <c r="N2501">
        <v>5473</v>
      </c>
      <c r="O2501" t="s">
        <v>64</v>
      </c>
      <c r="P2501">
        <v>28.2</v>
      </c>
      <c r="Q2501" t="s">
        <v>88</v>
      </c>
      <c r="R2501">
        <v>28.8</v>
      </c>
      <c r="S2501">
        <v>-2.7</v>
      </c>
      <c r="T2501">
        <v>-0.3</v>
      </c>
      <c r="U2501">
        <v>2.8</v>
      </c>
      <c r="V2501">
        <v>4.4000000000000004</v>
      </c>
      <c r="W2501">
        <v>4.9000000000000004</v>
      </c>
      <c r="X2501" t="s">
        <v>116</v>
      </c>
    </row>
    <row r="2502" spans="2:24" x14ac:dyDescent="0.3">
      <c r="B2502" t="s">
        <v>2595</v>
      </c>
      <c r="C2502" t="s">
        <v>100</v>
      </c>
      <c r="D2502" t="s">
        <v>3</v>
      </c>
      <c r="E2502" t="s">
        <v>15</v>
      </c>
      <c r="F2502" t="s">
        <v>11</v>
      </c>
      <c r="G2502" t="s">
        <v>60</v>
      </c>
      <c r="H2502">
        <v>2026</v>
      </c>
      <c r="I2502">
        <v>14713</v>
      </c>
      <c r="J2502">
        <v>11.9</v>
      </c>
      <c r="K2502" t="s">
        <v>21</v>
      </c>
      <c r="L2502">
        <v>2</v>
      </c>
      <c r="M2502">
        <v>4.2</v>
      </c>
      <c r="N2502">
        <v>179</v>
      </c>
      <c r="O2502" t="s">
        <v>75</v>
      </c>
      <c r="P2502">
        <v>68.3</v>
      </c>
      <c r="Q2502" t="s">
        <v>79</v>
      </c>
      <c r="R2502">
        <v>-23.5</v>
      </c>
      <c r="S2502">
        <v>56.5</v>
      </c>
      <c r="T2502">
        <v>14.8</v>
      </c>
      <c r="U2502">
        <v>2.5</v>
      </c>
      <c r="V2502">
        <v>6.9</v>
      </c>
      <c r="W2502">
        <v>8.5</v>
      </c>
      <c r="X2502" t="s">
        <v>66</v>
      </c>
    </row>
    <row r="2503" spans="2:24" x14ac:dyDescent="0.3">
      <c r="B2503" t="s">
        <v>2596</v>
      </c>
      <c r="C2503" t="s">
        <v>139</v>
      </c>
      <c r="D2503" t="s">
        <v>8</v>
      </c>
      <c r="E2503" t="s">
        <v>18</v>
      </c>
      <c r="F2503" t="s">
        <v>11</v>
      </c>
      <c r="G2503" t="s">
        <v>131</v>
      </c>
      <c r="H2503">
        <v>2026</v>
      </c>
      <c r="I2503">
        <v>612</v>
      </c>
      <c r="J2503">
        <v>8.5</v>
      </c>
      <c r="K2503" t="s">
        <v>22</v>
      </c>
      <c r="L2503">
        <v>4.4000000000000004</v>
      </c>
      <c r="M2503">
        <v>3.7</v>
      </c>
      <c r="N2503">
        <v>1501</v>
      </c>
      <c r="O2503" t="s">
        <v>64</v>
      </c>
      <c r="P2503">
        <v>56.7</v>
      </c>
      <c r="Q2503" t="s">
        <v>76</v>
      </c>
      <c r="R2503">
        <v>29</v>
      </c>
      <c r="S2503">
        <v>34.299999999999997</v>
      </c>
      <c r="T2503">
        <v>6.7</v>
      </c>
      <c r="U2503">
        <v>3.6</v>
      </c>
      <c r="V2503">
        <v>7.5</v>
      </c>
      <c r="W2503">
        <v>6.6</v>
      </c>
      <c r="X2503" t="s">
        <v>57</v>
      </c>
    </row>
    <row r="2504" spans="2:24" x14ac:dyDescent="0.3">
      <c r="B2504" t="s">
        <v>2597</v>
      </c>
      <c r="C2504" t="s">
        <v>106</v>
      </c>
      <c r="D2504" t="s">
        <v>3</v>
      </c>
      <c r="E2504" t="s">
        <v>18</v>
      </c>
      <c r="F2504" t="s">
        <v>12</v>
      </c>
      <c r="G2504" t="s">
        <v>104</v>
      </c>
      <c r="H2504">
        <v>2025</v>
      </c>
      <c r="I2504">
        <v>1994</v>
      </c>
      <c r="J2504">
        <v>26.3</v>
      </c>
      <c r="K2504" t="s">
        <v>22</v>
      </c>
      <c r="L2504">
        <v>3.7</v>
      </c>
      <c r="M2504">
        <v>7.7</v>
      </c>
      <c r="N2504">
        <v>1664</v>
      </c>
      <c r="O2504" t="s">
        <v>75</v>
      </c>
      <c r="P2504">
        <v>31.9</v>
      </c>
      <c r="Q2504" t="s">
        <v>84</v>
      </c>
      <c r="R2504">
        <v>-15.2</v>
      </c>
      <c r="S2504">
        <v>11.4</v>
      </c>
      <c r="T2504">
        <v>-1.3</v>
      </c>
      <c r="U2504">
        <v>2.5</v>
      </c>
      <c r="V2504">
        <v>6.5</v>
      </c>
      <c r="W2504">
        <v>4.5999999999999996</v>
      </c>
      <c r="X2504" t="s">
        <v>66</v>
      </c>
    </row>
    <row r="2505" spans="2:24" x14ac:dyDescent="0.3">
      <c r="B2505" t="s">
        <v>2598</v>
      </c>
      <c r="C2505" t="s">
        <v>100</v>
      </c>
      <c r="D2505" t="s">
        <v>3</v>
      </c>
      <c r="E2505" t="s">
        <v>19</v>
      </c>
      <c r="F2505" t="s">
        <v>10</v>
      </c>
      <c r="G2505" t="s">
        <v>54</v>
      </c>
      <c r="H2505">
        <v>2026</v>
      </c>
      <c r="I2505">
        <v>16772</v>
      </c>
      <c r="J2505">
        <v>33.1</v>
      </c>
      <c r="K2505" t="s">
        <v>23</v>
      </c>
      <c r="L2505">
        <v>4</v>
      </c>
      <c r="M2505">
        <v>10</v>
      </c>
      <c r="N2505">
        <v>1011</v>
      </c>
      <c r="O2505" t="s">
        <v>75</v>
      </c>
      <c r="P2505">
        <v>50</v>
      </c>
      <c r="Q2505" t="s">
        <v>88</v>
      </c>
      <c r="R2505">
        <v>-20</v>
      </c>
      <c r="S2505">
        <v>-18.899999999999999</v>
      </c>
      <c r="T2505">
        <v>-20.8</v>
      </c>
      <c r="U2505">
        <v>2.9</v>
      </c>
      <c r="V2505">
        <v>2.2000000000000002</v>
      </c>
      <c r="W2505">
        <v>1.2</v>
      </c>
      <c r="X2505" t="s">
        <v>66</v>
      </c>
    </row>
    <row r="2506" spans="2:24" x14ac:dyDescent="0.3">
      <c r="B2506" t="s">
        <v>2599</v>
      </c>
      <c r="C2506" t="s">
        <v>27</v>
      </c>
      <c r="D2506" t="s">
        <v>3</v>
      </c>
      <c r="E2506" t="s">
        <v>14</v>
      </c>
      <c r="F2506" t="s">
        <v>11</v>
      </c>
      <c r="G2506" t="s">
        <v>104</v>
      </c>
      <c r="H2506">
        <v>2024</v>
      </c>
      <c r="I2506">
        <v>17533</v>
      </c>
      <c r="J2506">
        <v>8</v>
      </c>
      <c r="K2506" t="s">
        <v>23</v>
      </c>
      <c r="L2506">
        <v>4.3</v>
      </c>
      <c r="M2506">
        <v>5.9</v>
      </c>
      <c r="N2506">
        <v>877</v>
      </c>
      <c r="O2506" t="s">
        <v>75</v>
      </c>
      <c r="P2506">
        <v>74.5</v>
      </c>
      <c r="Q2506" t="s">
        <v>76</v>
      </c>
      <c r="R2506">
        <v>-11</v>
      </c>
      <c r="S2506">
        <v>54.3</v>
      </c>
      <c r="T2506">
        <v>19.5</v>
      </c>
      <c r="U2506">
        <v>3</v>
      </c>
      <c r="V2506">
        <v>7.4</v>
      </c>
      <c r="W2506">
        <v>8</v>
      </c>
      <c r="X2506" t="s">
        <v>66</v>
      </c>
    </row>
    <row r="2507" spans="2:24" x14ac:dyDescent="0.3">
      <c r="B2507" t="s">
        <v>2600</v>
      </c>
      <c r="C2507" t="s">
        <v>159</v>
      </c>
      <c r="D2507" t="s">
        <v>2</v>
      </c>
      <c r="E2507" t="s">
        <v>15</v>
      </c>
      <c r="F2507" t="s">
        <v>11</v>
      </c>
      <c r="G2507" t="s">
        <v>104</v>
      </c>
      <c r="H2507">
        <v>2024</v>
      </c>
      <c r="I2507">
        <v>4664</v>
      </c>
      <c r="J2507">
        <v>9.9</v>
      </c>
      <c r="K2507" t="s">
        <v>24</v>
      </c>
      <c r="L2507">
        <v>3.1</v>
      </c>
      <c r="M2507">
        <v>5.5</v>
      </c>
      <c r="N2507">
        <v>7678</v>
      </c>
      <c r="O2507" t="s">
        <v>55</v>
      </c>
      <c r="P2507">
        <v>28.4</v>
      </c>
      <c r="Q2507" t="s">
        <v>56</v>
      </c>
      <c r="R2507">
        <v>84.5</v>
      </c>
      <c r="S2507">
        <v>9.6999999999999993</v>
      </c>
      <c r="T2507">
        <v>4.7</v>
      </c>
      <c r="U2507">
        <v>3.5</v>
      </c>
      <c r="V2507">
        <v>5.6</v>
      </c>
      <c r="W2507">
        <v>5.7</v>
      </c>
      <c r="X2507" t="s">
        <v>116</v>
      </c>
    </row>
    <row r="2508" spans="2:24" x14ac:dyDescent="0.3">
      <c r="B2508" t="s">
        <v>2601</v>
      </c>
      <c r="C2508" t="s">
        <v>137</v>
      </c>
      <c r="D2508" t="s">
        <v>3</v>
      </c>
      <c r="E2508" t="s">
        <v>19</v>
      </c>
      <c r="F2508" t="s">
        <v>10</v>
      </c>
      <c r="G2508" t="s">
        <v>69</v>
      </c>
      <c r="H2508">
        <v>2025</v>
      </c>
      <c r="I2508">
        <v>1318</v>
      </c>
      <c r="J2508">
        <v>4.5</v>
      </c>
      <c r="K2508" t="s">
        <v>21</v>
      </c>
      <c r="L2508">
        <v>2.7</v>
      </c>
      <c r="M2508">
        <v>4.0999999999999996</v>
      </c>
      <c r="N2508">
        <v>4107</v>
      </c>
      <c r="O2508" t="s">
        <v>64</v>
      </c>
      <c r="P2508">
        <v>47.5</v>
      </c>
      <c r="Q2508" t="s">
        <v>56</v>
      </c>
      <c r="R2508">
        <v>1.2</v>
      </c>
      <c r="S2508">
        <v>11.3</v>
      </c>
      <c r="T2508">
        <v>0.4</v>
      </c>
      <c r="U2508">
        <v>3.4</v>
      </c>
      <c r="V2508">
        <v>8.1999999999999993</v>
      </c>
      <c r="W2508">
        <v>6.8</v>
      </c>
      <c r="X2508" t="s">
        <v>57</v>
      </c>
    </row>
    <row r="2509" spans="2:24" x14ac:dyDescent="0.3">
      <c r="B2509" t="s">
        <v>2602</v>
      </c>
      <c r="C2509" t="s">
        <v>73</v>
      </c>
      <c r="D2509" t="s">
        <v>3</v>
      </c>
      <c r="E2509" t="s">
        <v>18</v>
      </c>
      <c r="F2509" t="s">
        <v>12</v>
      </c>
      <c r="G2509" t="s">
        <v>74</v>
      </c>
      <c r="H2509">
        <v>2025</v>
      </c>
      <c r="I2509">
        <v>4979</v>
      </c>
      <c r="J2509">
        <v>22.2</v>
      </c>
      <c r="K2509" t="s">
        <v>21</v>
      </c>
      <c r="L2509">
        <v>6.9</v>
      </c>
      <c r="M2509">
        <v>10</v>
      </c>
      <c r="N2509">
        <v>942</v>
      </c>
      <c r="O2509" t="s">
        <v>64</v>
      </c>
      <c r="P2509">
        <v>18.5</v>
      </c>
      <c r="Q2509" t="s">
        <v>65</v>
      </c>
      <c r="R2509">
        <v>70.599999999999994</v>
      </c>
      <c r="S2509">
        <v>12.7</v>
      </c>
      <c r="T2509">
        <v>-0.1</v>
      </c>
      <c r="U2509">
        <v>7.2</v>
      </c>
      <c r="V2509">
        <v>4.7</v>
      </c>
      <c r="W2509">
        <v>5.0999999999999996</v>
      </c>
      <c r="X2509" t="s">
        <v>66</v>
      </c>
    </row>
    <row r="2510" spans="2:24" x14ac:dyDescent="0.3">
      <c r="B2510" t="s">
        <v>2603</v>
      </c>
      <c r="C2510" t="s">
        <v>53</v>
      </c>
      <c r="D2510" t="s">
        <v>7</v>
      </c>
      <c r="E2510" t="s">
        <v>14</v>
      </c>
      <c r="F2510" t="s">
        <v>9</v>
      </c>
      <c r="G2510" t="s">
        <v>115</v>
      </c>
      <c r="H2510">
        <v>2025</v>
      </c>
      <c r="I2510">
        <v>1418</v>
      </c>
      <c r="J2510">
        <v>3.5</v>
      </c>
      <c r="K2510" t="s">
        <v>22</v>
      </c>
      <c r="L2510">
        <v>7.9</v>
      </c>
      <c r="M2510">
        <v>4.9000000000000004</v>
      </c>
      <c r="N2510">
        <v>5082</v>
      </c>
      <c r="O2510" t="s">
        <v>55</v>
      </c>
      <c r="P2510">
        <v>34.200000000000003</v>
      </c>
      <c r="Q2510" t="s">
        <v>88</v>
      </c>
      <c r="R2510">
        <v>-12.7</v>
      </c>
      <c r="S2510">
        <v>57.7</v>
      </c>
      <c r="T2510">
        <v>23.1</v>
      </c>
      <c r="U2510">
        <v>7.9</v>
      </c>
      <c r="V2510">
        <v>6.5</v>
      </c>
      <c r="W2510">
        <v>8.8000000000000007</v>
      </c>
      <c r="X2510" t="s">
        <v>57</v>
      </c>
    </row>
    <row r="2511" spans="2:24" x14ac:dyDescent="0.3">
      <c r="B2511" t="s">
        <v>2604</v>
      </c>
      <c r="C2511" t="s">
        <v>59</v>
      </c>
      <c r="D2511" t="s">
        <v>4</v>
      </c>
      <c r="E2511" t="s">
        <v>19</v>
      </c>
      <c r="F2511" t="s">
        <v>12</v>
      </c>
      <c r="G2511" t="s">
        <v>131</v>
      </c>
      <c r="H2511">
        <v>2024</v>
      </c>
      <c r="I2511">
        <v>3284</v>
      </c>
      <c r="J2511">
        <v>13</v>
      </c>
      <c r="K2511" t="s">
        <v>24</v>
      </c>
      <c r="L2511">
        <v>2.4</v>
      </c>
      <c r="M2511">
        <v>5.0999999999999996</v>
      </c>
      <c r="N2511">
        <v>873</v>
      </c>
      <c r="O2511" t="s">
        <v>75</v>
      </c>
      <c r="P2511">
        <v>13.5</v>
      </c>
      <c r="Q2511" t="s">
        <v>76</v>
      </c>
      <c r="R2511">
        <v>5.7</v>
      </c>
      <c r="S2511">
        <v>-13.5</v>
      </c>
      <c r="T2511">
        <v>-6</v>
      </c>
      <c r="U2511">
        <v>3.1</v>
      </c>
      <c r="V2511">
        <v>7.4</v>
      </c>
      <c r="W2511">
        <v>5.7</v>
      </c>
      <c r="X2511" t="s">
        <v>116</v>
      </c>
    </row>
    <row r="2512" spans="2:24" x14ac:dyDescent="0.3">
      <c r="B2512" t="s">
        <v>2605</v>
      </c>
      <c r="C2512" t="s">
        <v>59</v>
      </c>
      <c r="D2512" t="s">
        <v>4</v>
      </c>
      <c r="E2512" t="s">
        <v>15</v>
      </c>
      <c r="F2512" t="s">
        <v>9</v>
      </c>
      <c r="G2512" t="s">
        <v>112</v>
      </c>
      <c r="H2512">
        <v>2024</v>
      </c>
      <c r="I2512">
        <v>1412</v>
      </c>
      <c r="J2512">
        <v>8.8000000000000007</v>
      </c>
      <c r="K2512" t="s">
        <v>25</v>
      </c>
      <c r="L2512">
        <v>1.9</v>
      </c>
      <c r="M2512">
        <v>5.0999999999999996</v>
      </c>
      <c r="N2512">
        <v>4978</v>
      </c>
      <c r="O2512" t="s">
        <v>55</v>
      </c>
      <c r="P2512">
        <v>11.2</v>
      </c>
      <c r="Q2512" t="s">
        <v>76</v>
      </c>
      <c r="R2512">
        <v>85.7</v>
      </c>
      <c r="S2512">
        <v>32.700000000000003</v>
      </c>
      <c r="T2512">
        <v>16.399999999999999</v>
      </c>
      <c r="U2512">
        <v>1.7</v>
      </c>
      <c r="V2512">
        <v>8.5</v>
      </c>
      <c r="W2512">
        <v>6.8</v>
      </c>
      <c r="X2512" t="s">
        <v>116</v>
      </c>
    </row>
    <row r="2513" spans="2:24" x14ac:dyDescent="0.3">
      <c r="B2513" t="s">
        <v>2606</v>
      </c>
      <c r="C2513" t="s">
        <v>62</v>
      </c>
      <c r="D2513" t="s">
        <v>2</v>
      </c>
      <c r="E2513" t="s">
        <v>15</v>
      </c>
      <c r="F2513" t="s">
        <v>10</v>
      </c>
      <c r="G2513" t="s">
        <v>60</v>
      </c>
      <c r="H2513">
        <v>2024</v>
      </c>
      <c r="I2513">
        <v>1461</v>
      </c>
      <c r="J2513">
        <v>0.4</v>
      </c>
      <c r="K2513" t="s">
        <v>21</v>
      </c>
      <c r="L2513">
        <v>2.6</v>
      </c>
      <c r="M2513">
        <v>4.2</v>
      </c>
      <c r="N2513">
        <v>3849</v>
      </c>
      <c r="O2513" t="s">
        <v>64</v>
      </c>
      <c r="P2513">
        <v>21</v>
      </c>
      <c r="Q2513" t="s">
        <v>56</v>
      </c>
      <c r="R2513">
        <v>-23.2</v>
      </c>
      <c r="S2513">
        <v>7</v>
      </c>
      <c r="T2513">
        <v>-5.5</v>
      </c>
      <c r="U2513">
        <v>1.9</v>
      </c>
      <c r="V2513">
        <v>7.2</v>
      </c>
      <c r="W2513">
        <v>8.3000000000000007</v>
      </c>
      <c r="X2513" t="s">
        <v>57</v>
      </c>
    </row>
    <row r="2514" spans="2:24" x14ac:dyDescent="0.3">
      <c r="B2514" t="s">
        <v>2607</v>
      </c>
      <c r="C2514" t="s">
        <v>100</v>
      </c>
      <c r="D2514" t="s">
        <v>3</v>
      </c>
      <c r="E2514" t="s">
        <v>16</v>
      </c>
      <c r="F2514" t="s">
        <v>11</v>
      </c>
      <c r="G2514" t="s">
        <v>104</v>
      </c>
      <c r="H2514">
        <v>2024</v>
      </c>
      <c r="I2514">
        <v>174</v>
      </c>
      <c r="J2514">
        <v>6</v>
      </c>
      <c r="K2514" t="s">
        <v>25</v>
      </c>
      <c r="L2514">
        <v>7.1</v>
      </c>
      <c r="M2514">
        <v>6</v>
      </c>
      <c r="N2514">
        <v>806</v>
      </c>
      <c r="O2514" t="s">
        <v>64</v>
      </c>
      <c r="P2514">
        <v>33.6</v>
      </c>
      <c r="Q2514" t="s">
        <v>56</v>
      </c>
      <c r="R2514">
        <v>47.2</v>
      </c>
      <c r="S2514">
        <v>49.4</v>
      </c>
      <c r="T2514">
        <v>13.8</v>
      </c>
      <c r="U2514">
        <v>7.6</v>
      </c>
      <c r="V2514">
        <v>8.4</v>
      </c>
      <c r="W2514">
        <v>7.2</v>
      </c>
      <c r="X2514" t="s">
        <v>57</v>
      </c>
    </row>
    <row r="2515" spans="2:24" x14ac:dyDescent="0.3">
      <c r="B2515" t="s">
        <v>2608</v>
      </c>
      <c r="C2515" t="s">
        <v>100</v>
      </c>
      <c r="D2515" t="s">
        <v>3</v>
      </c>
      <c r="E2515" t="s">
        <v>14</v>
      </c>
      <c r="F2515" t="s">
        <v>10</v>
      </c>
      <c r="G2515" t="s">
        <v>115</v>
      </c>
      <c r="H2515">
        <v>2024</v>
      </c>
      <c r="I2515">
        <v>2402</v>
      </c>
      <c r="J2515">
        <v>1.9</v>
      </c>
      <c r="K2515" t="s">
        <v>22</v>
      </c>
      <c r="L2515">
        <v>1.4</v>
      </c>
      <c r="M2515">
        <v>1</v>
      </c>
      <c r="N2515">
        <v>4680</v>
      </c>
      <c r="O2515" t="s">
        <v>64</v>
      </c>
      <c r="P2515">
        <v>19.2</v>
      </c>
      <c r="Q2515" t="s">
        <v>88</v>
      </c>
      <c r="R2515">
        <v>-1.6</v>
      </c>
      <c r="S2515">
        <v>-7.8</v>
      </c>
      <c r="T2515">
        <v>-10.199999999999999</v>
      </c>
      <c r="U2515">
        <v>1.1000000000000001</v>
      </c>
      <c r="V2515">
        <v>6.6</v>
      </c>
      <c r="W2515">
        <v>6.6</v>
      </c>
      <c r="X2515" t="s">
        <v>57</v>
      </c>
    </row>
    <row r="2516" spans="2:24" x14ac:dyDescent="0.3">
      <c r="B2516" t="s">
        <v>2609</v>
      </c>
      <c r="C2516" t="s">
        <v>90</v>
      </c>
      <c r="D2516" t="s">
        <v>5</v>
      </c>
      <c r="E2516" t="s">
        <v>15</v>
      </c>
      <c r="F2516" t="s">
        <v>12</v>
      </c>
      <c r="G2516" t="s">
        <v>115</v>
      </c>
      <c r="H2516">
        <v>2025</v>
      </c>
      <c r="I2516">
        <v>913</v>
      </c>
      <c r="J2516">
        <v>6.8</v>
      </c>
      <c r="K2516" t="s">
        <v>21</v>
      </c>
      <c r="L2516">
        <v>3.1</v>
      </c>
      <c r="M2516">
        <v>4.2</v>
      </c>
      <c r="N2516">
        <v>5502</v>
      </c>
      <c r="O2516" t="s">
        <v>55</v>
      </c>
      <c r="P2516">
        <v>26.5</v>
      </c>
      <c r="Q2516" t="s">
        <v>56</v>
      </c>
      <c r="R2516">
        <v>50.5</v>
      </c>
      <c r="S2516">
        <v>50.5</v>
      </c>
      <c r="T2516">
        <v>28.9</v>
      </c>
      <c r="U2516">
        <v>3.1</v>
      </c>
      <c r="V2516">
        <v>6.5</v>
      </c>
      <c r="W2516">
        <v>7.8</v>
      </c>
      <c r="X2516" t="s">
        <v>57</v>
      </c>
    </row>
    <row r="2517" spans="2:24" x14ac:dyDescent="0.3">
      <c r="B2517" t="s">
        <v>2610</v>
      </c>
      <c r="C2517" t="s">
        <v>53</v>
      </c>
      <c r="D2517" t="s">
        <v>4</v>
      </c>
      <c r="E2517" t="s">
        <v>19</v>
      </c>
      <c r="F2517" t="s">
        <v>12</v>
      </c>
      <c r="G2517" t="s">
        <v>69</v>
      </c>
      <c r="H2517">
        <v>2026</v>
      </c>
      <c r="I2517">
        <v>2435</v>
      </c>
      <c r="J2517">
        <v>3.3</v>
      </c>
      <c r="K2517" t="s">
        <v>25</v>
      </c>
      <c r="L2517">
        <v>12.7</v>
      </c>
      <c r="M2517">
        <v>3.7</v>
      </c>
      <c r="N2517">
        <v>4175</v>
      </c>
      <c r="O2517" t="s">
        <v>118</v>
      </c>
      <c r="P2517">
        <v>59.9</v>
      </c>
      <c r="Q2517" t="s">
        <v>125</v>
      </c>
      <c r="R2517">
        <v>69.099999999999994</v>
      </c>
      <c r="S2517">
        <v>-1.7</v>
      </c>
      <c r="T2517">
        <v>4.2</v>
      </c>
      <c r="U2517">
        <v>8.6</v>
      </c>
      <c r="V2517">
        <v>7.7</v>
      </c>
      <c r="W2517">
        <v>7.5</v>
      </c>
      <c r="X2517" t="s">
        <v>57</v>
      </c>
    </row>
    <row r="2518" spans="2:24" x14ac:dyDescent="0.3">
      <c r="B2518" t="s">
        <v>2611</v>
      </c>
      <c r="C2518" t="s">
        <v>27</v>
      </c>
      <c r="D2518" t="s">
        <v>3</v>
      </c>
      <c r="E2518" t="s">
        <v>16</v>
      </c>
      <c r="F2518" t="s">
        <v>11</v>
      </c>
      <c r="G2518" t="s">
        <v>131</v>
      </c>
      <c r="H2518">
        <v>2024</v>
      </c>
      <c r="I2518">
        <v>990</v>
      </c>
      <c r="J2518">
        <v>7.6</v>
      </c>
      <c r="K2518" t="s">
        <v>21</v>
      </c>
      <c r="L2518">
        <v>4.4000000000000004</v>
      </c>
      <c r="M2518">
        <v>10</v>
      </c>
      <c r="N2518">
        <v>4257</v>
      </c>
      <c r="O2518" t="s">
        <v>55</v>
      </c>
      <c r="P2518">
        <v>20</v>
      </c>
      <c r="Q2518" t="s">
        <v>125</v>
      </c>
      <c r="R2518">
        <v>87.2</v>
      </c>
      <c r="S2518">
        <v>57.9</v>
      </c>
      <c r="T2518">
        <v>26.7</v>
      </c>
      <c r="U2518">
        <v>6.1</v>
      </c>
      <c r="V2518">
        <v>7.3</v>
      </c>
      <c r="W2518">
        <v>6.5</v>
      </c>
      <c r="X2518" t="s">
        <v>57</v>
      </c>
    </row>
    <row r="2519" spans="2:24" x14ac:dyDescent="0.3">
      <c r="B2519" t="s">
        <v>2612</v>
      </c>
      <c r="C2519" t="s">
        <v>106</v>
      </c>
      <c r="D2519" t="s">
        <v>4</v>
      </c>
      <c r="E2519" t="s">
        <v>15</v>
      </c>
      <c r="F2519" t="s">
        <v>12</v>
      </c>
      <c r="G2519" t="s">
        <v>112</v>
      </c>
      <c r="H2519">
        <v>2026</v>
      </c>
      <c r="I2519">
        <v>3835</v>
      </c>
      <c r="J2519">
        <v>30.7</v>
      </c>
      <c r="K2519" t="s">
        <v>25</v>
      </c>
      <c r="L2519">
        <v>2</v>
      </c>
      <c r="M2519">
        <v>10</v>
      </c>
      <c r="N2519">
        <v>770</v>
      </c>
      <c r="O2519" t="s">
        <v>75</v>
      </c>
      <c r="P2519">
        <v>66.099999999999994</v>
      </c>
      <c r="Q2519" t="s">
        <v>76</v>
      </c>
      <c r="R2519">
        <v>47.2</v>
      </c>
      <c r="S2519">
        <v>44.2</v>
      </c>
      <c r="T2519">
        <v>5.7</v>
      </c>
      <c r="U2519">
        <v>2.2000000000000002</v>
      </c>
      <c r="V2519">
        <v>4.4000000000000004</v>
      </c>
      <c r="W2519">
        <v>3.5</v>
      </c>
      <c r="X2519" t="s">
        <v>66</v>
      </c>
    </row>
    <row r="2520" spans="2:24" x14ac:dyDescent="0.3">
      <c r="B2520" t="s">
        <v>2613</v>
      </c>
      <c r="C2520" t="s">
        <v>27</v>
      </c>
      <c r="D2520" t="s">
        <v>3</v>
      </c>
      <c r="E2520" t="s">
        <v>15</v>
      </c>
      <c r="F2520" t="s">
        <v>11</v>
      </c>
      <c r="G2520" t="s">
        <v>98</v>
      </c>
      <c r="H2520">
        <v>2025</v>
      </c>
      <c r="I2520">
        <v>14959</v>
      </c>
      <c r="J2520">
        <v>34.200000000000003</v>
      </c>
      <c r="K2520" t="s">
        <v>22</v>
      </c>
      <c r="L2520">
        <v>4.5</v>
      </c>
      <c r="M2520">
        <v>10</v>
      </c>
      <c r="N2520">
        <v>247</v>
      </c>
      <c r="O2520" t="s">
        <v>75</v>
      </c>
      <c r="P2520">
        <v>28.8</v>
      </c>
      <c r="Q2520" t="s">
        <v>86</v>
      </c>
      <c r="R2520">
        <v>25.7</v>
      </c>
      <c r="S2520">
        <v>-1.6</v>
      </c>
      <c r="T2520">
        <v>-12.8</v>
      </c>
      <c r="U2520">
        <v>6.8</v>
      </c>
      <c r="V2520">
        <v>4</v>
      </c>
      <c r="W2520">
        <v>2.6</v>
      </c>
      <c r="X2520" t="s">
        <v>66</v>
      </c>
    </row>
    <row r="2521" spans="2:24" x14ac:dyDescent="0.3">
      <c r="B2521" t="s">
        <v>2614</v>
      </c>
      <c r="C2521" t="s">
        <v>53</v>
      </c>
      <c r="D2521" t="s">
        <v>4</v>
      </c>
      <c r="E2521" t="s">
        <v>15</v>
      </c>
      <c r="F2521" t="s">
        <v>11</v>
      </c>
      <c r="G2521" t="s">
        <v>78</v>
      </c>
      <c r="H2521">
        <v>2026</v>
      </c>
      <c r="I2521">
        <v>2486</v>
      </c>
      <c r="J2521">
        <v>4.0999999999999996</v>
      </c>
      <c r="K2521" t="s">
        <v>25</v>
      </c>
      <c r="L2521">
        <v>1.8</v>
      </c>
      <c r="M2521">
        <v>4.8</v>
      </c>
      <c r="N2521">
        <v>4778</v>
      </c>
      <c r="O2521" t="s">
        <v>55</v>
      </c>
      <c r="P2521">
        <v>57.1</v>
      </c>
      <c r="Q2521" t="s">
        <v>86</v>
      </c>
      <c r="R2521">
        <v>-42.9</v>
      </c>
      <c r="S2521">
        <v>-8.6</v>
      </c>
      <c r="T2521">
        <v>-10.199999999999999</v>
      </c>
      <c r="U2521">
        <v>2</v>
      </c>
      <c r="V2521">
        <v>4.7</v>
      </c>
      <c r="W2521">
        <v>6.1</v>
      </c>
      <c r="X2521" t="s">
        <v>57</v>
      </c>
    </row>
    <row r="2522" spans="2:24" x14ac:dyDescent="0.3">
      <c r="B2522" t="s">
        <v>2615</v>
      </c>
      <c r="C2522" t="s">
        <v>62</v>
      </c>
      <c r="D2522" t="s">
        <v>2</v>
      </c>
      <c r="E2522" t="s">
        <v>18</v>
      </c>
      <c r="F2522" t="s">
        <v>11</v>
      </c>
      <c r="G2522" t="s">
        <v>78</v>
      </c>
      <c r="H2522">
        <v>2024</v>
      </c>
      <c r="I2522">
        <v>320</v>
      </c>
      <c r="J2522">
        <v>4.4000000000000004</v>
      </c>
      <c r="K2522" t="s">
        <v>24</v>
      </c>
      <c r="L2522">
        <v>4</v>
      </c>
      <c r="M2522">
        <v>1.8</v>
      </c>
      <c r="N2522">
        <v>9232</v>
      </c>
      <c r="O2522" t="s">
        <v>118</v>
      </c>
      <c r="P2522">
        <v>87.7</v>
      </c>
      <c r="Q2522" t="s">
        <v>76</v>
      </c>
      <c r="R2522">
        <v>-44.2</v>
      </c>
      <c r="S2522">
        <v>59.7</v>
      </c>
      <c r="T2522">
        <v>23</v>
      </c>
      <c r="U2522">
        <v>2.7</v>
      </c>
      <c r="V2522">
        <v>7.8</v>
      </c>
      <c r="W2522">
        <v>8.3000000000000007</v>
      </c>
      <c r="X2522" t="s">
        <v>57</v>
      </c>
    </row>
    <row r="2523" spans="2:24" x14ac:dyDescent="0.3">
      <c r="B2523" t="s">
        <v>2616</v>
      </c>
      <c r="C2523" t="s">
        <v>53</v>
      </c>
      <c r="D2523" t="s">
        <v>4</v>
      </c>
      <c r="E2523" t="s">
        <v>15</v>
      </c>
      <c r="F2523" t="s">
        <v>9</v>
      </c>
      <c r="G2523" t="s">
        <v>78</v>
      </c>
      <c r="H2523">
        <v>2025</v>
      </c>
      <c r="I2523">
        <v>5828</v>
      </c>
      <c r="J2523">
        <v>3.8</v>
      </c>
      <c r="K2523" t="s">
        <v>21</v>
      </c>
      <c r="L2523">
        <v>4.7</v>
      </c>
      <c r="M2523">
        <v>5.6</v>
      </c>
      <c r="N2523">
        <v>4766</v>
      </c>
      <c r="O2523" t="s">
        <v>55</v>
      </c>
      <c r="P2523">
        <v>22.9</v>
      </c>
      <c r="Q2523" t="s">
        <v>86</v>
      </c>
      <c r="R2523">
        <v>89.9</v>
      </c>
      <c r="S2523">
        <v>40.9</v>
      </c>
      <c r="T2523">
        <v>16.8</v>
      </c>
      <c r="U2523">
        <v>3.3</v>
      </c>
      <c r="V2523">
        <v>7.1</v>
      </c>
      <c r="W2523">
        <v>7.1</v>
      </c>
      <c r="X2523" t="s">
        <v>116</v>
      </c>
    </row>
    <row r="2524" spans="2:24" x14ac:dyDescent="0.3">
      <c r="B2524" t="s">
        <v>2617</v>
      </c>
      <c r="C2524" t="s">
        <v>68</v>
      </c>
      <c r="D2524" t="s">
        <v>8</v>
      </c>
      <c r="E2524" t="s">
        <v>14</v>
      </c>
      <c r="F2524" t="s">
        <v>9</v>
      </c>
      <c r="G2524" t="s">
        <v>63</v>
      </c>
      <c r="H2524">
        <v>2026</v>
      </c>
      <c r="I2524">
        <v>5780</v>
      </c>
      <c r="J2524">
        <v>2.6</v>
      </c>
      <c r="K2524" t="s">
        <v>23</v>
      </c>
      <c r="L2524">
        <v>2.7</v>
      </c>
      <c r="M2524">
        <v>2.8</v>
      </c>
      <c r="N2524">
        <v>4916</v>
      </c>
      <c r="O2524" t="s">
        <v>55</v>
      </c>
      <c r="P2524">
        <v>56.3</v>
      </c>
      <c r="Q2524" t="s">
        <v>125</v>
      </c>
      <c r="R2524">
        <v>-5.5</v>
      </c>
      <c r="S2524">
        <v>3.5</v>
      </c>
      <c r="T2524">
        <v>-1</v>
      </c>
      <c r="U2524">
        <v>1.8</v>
      </c>
      <c r="V2524">
        <v>8.6999999999999993</v>
      </c>
      <c r="W2524">
        <v>6.4</v>
      </c>
      <c r="X2524" t="s">
        <v>116</v>
      </c>
    </row>
    <row r="2525" spans="2:24" x14ac:dyDescent="0.3">
      <c r="B2525" t="s">
        <v>2618</v>
      </c>
      <c r="C2525" t="s">
        <v>90</v>
      </c>
      <c r="D2525" t="s">
        <v>2</v>
      </c>
      <c r="E2525" t="s">
        <v>16</v>
      </c>
      <c r="F2525" t="s">
        <v>9</v>
      </c>
      <c r="G2525" t="s">
        <v>131</v>
      </c>
      <c r="H2525">
        <v>2025</v>
      </c>
      <c r="I2525">
        <v>3273</v>
      </c>
      <c r="J2525">
        <v>11.4</v>
      </c>
      <c r="K2525" t="s">
        <v>22</v>
      </c>
      <c r="L2525">
        <v>3.3</v>
      </c>
      <c r="M2525">
        <v>7.1</v>
      </c>
      <c r="N2525">
        <v>9459</v>
      </c>
      <c r="O2525" t="s">
        <v>118</v>
      </c>
      <c r="P2525">
        <v>74.400000000000006</v>
      </c>
      <c r="Q2525" t="s">
        <v>56</v>
      </c>
      <c r="R2525">
        <v>78</v>
      </c>
      <c r="S2525">
        <v>47.4</v>
      </c>
      <c r="T2525">
        <v>9.8000000000000007</v>
      </c>
      <c r="U2525">
        <v>4.2</v>
      </c>
      <c r="V2525">
        <v>8.6</v>
      </c>
      <c r="W2525">
        <v>7.2</v>
      </c>
      <c r="X2525" t="s">
        <v>66</v>
      </c>
    </row>
    <row r="2526" spans="2:24" x14ac:dyDescent="0.3">
      <c r="B2526" t="s">
        <v>2619</v>
      </c>
      <c r="C2526" t="s">
        <v>106</v>
      </c>
      <c r="D2526" t="s">
        <v>8</v>
      </c>
      <c r="E2526" t="s">
        <v>14</v>
      </c>
      <c r="F2526" t="s">
        <v>10</v>
      </c>
      <c r="G2526" t="s">
        <v>112</v>
      </c>
      <c r="H2526">
        <v>2024</v>
      </c>
      <c r="I2526">
        <v>3752</v>
      </c>
      <c r="J2526">
        <v>30.5</v>
      </c>
      <c r="K2526" t="s">
        <v>23</v>
      </c>
      <c r="L2526">
        <v>11.1</v>
      </c>
      <c r="M2526">
        <v>10</v>
      </c>
      <c r="N2526">
        <v>1456</v>
      </c>
      <c r="O2526" t="s">
        <v>64</v>
      </c>
      <c r="P2526">
        <v>85.7</v>
      </c>
      <c r="Q2526" t="s">
        <v>86</v>
      </c>
      <c r="R2526">
        <v>-37.6</v>
      </c>
      <c r="S2526">
        <v>-14</v>
      </c>
      <c r="T2526">
        <v>-8.6</v>
      </c>
      <c r="U2526">
        <v>9.1</v>
      </c>
      <c r="V2526">
        <v>4.0999999999999996</v>
      </c>
      <c r="W2526">
        <v>2.4</v>
      </c>
      <c r="X2526" t="s">
        <v>66</v>
      </c>
    </row>
    <row r="2527" spans="2:24" x14ac:dyDescent="0.3">
      <c r="B2527" t="s">
        <v>2620</v>
      </c>
      <c r="C2527" t="s">
        <v>142</v>
      </c>
      <c r="D2527" t="s">
        <v>2</v>
      </c>
      <c r="E2527" t="s">
        <v>15</v>
      </c>
      <c r="F2527" t="s">
        <v>12</v>
      </c>
      <c r="G2527" t="s">
        <v>74</v>
      </c>
      <c r="H2527">
        <v>2026</v>
      </c>
      <c r="I2527">
        <v>2016</v>
      </c>
      <c r="J2527">
        <v>2.1</v>
      </c>
      <c r="K2527" t="s">
        <v>22</v>
      </c>
      <c r="L2527">
        <v>6.8</v>
      </c>
      <c r="M2527">
        <v>1.5</v>
      </c>
      <c r="N2527">
        <v>2058</v>
      </c>
      <c r="O2527" t="s">
        <v>55</v>
      </c>
      <c r="P2527">
        <v>51.1</v>
      </c>
      <c r="Q2527" t="s">
        <v>56</v>
      </c>
      <c r="R2527">
        <v>-4.9000000000000004</v>
      </c>
      <c r="S2527">
        <v>43.1</v>
      </c>
      <c r="T2527">
        <v>23.9</v>
      </c>
      <c r="U2527">
        <v>4.5999999999999996</v>
      </c>
      <c r="V2527">
        <v>9.5</v>
      </c>
      <c r="W2527">
        <v>8.1</v>
      </c>
      <c r="X2527" t="s">
        <v>57</v>
      </c>
    </row>
    <row r="2528" spans="2:24" x14ac:dyDescent="0.3">
      <c r="B2528" t="s">
        <v>2621</v>
      </c>
      <c r="C2528" t="s">
        <v>83</v>
      </c>
      <c r="D2528" t="s">
        <v>4</v>
      </c>
      <c r="E2528" t="s">
        <v>15</v>
      </c>
      <c r="F2528" t="s">
        <v>11</v>
      </c>
      <c r="G2528" t="s">
        <v>98</v>
      </c>
      <c r="H2528">
        <v>2026</v>
      </c>
      <c r="I2528">
        <v>4014</v>
      </c>
      <c r="J2528">
        <v>21.5</v>
      </c>
      <c r="K2528" t="s">
        <v>22</v>
      </c>
      <c r="L2528">
        <v>6.7</v>
      </c>
      <c r="M2528">
        <v>10</v>
      </c>
      <c r="N2528">
        <v>1708</v>
      </c>
      <c r="O2528" t="s">
        <v>64</v>
      </c>
      <c r="P2528">
        <v>78.7</v>
      </c>
      <c r="Q2528" t="s">
        <v>79</v>
      </c>
      <c r="R2528">
        <v>68.900000000000006</v>
      </c>
      <c r="S2528">
        <v>39.9</v>
      </c>
      <c r="T2528">
        <v>6.3</v>
      </c>
      <c r="U2528">
        <v>7.2</v>
      </c>
      <c r="V2528">
        <v>6.9</v>
      </c>
      <c r="W2528">
        <v>4.3</v>
      </c>
      <c r="X2528" t="s">
        <v>66</v>
      </c>
    </row>
    <row r="2529" spans="2:24" x14ac:dyDescent="0.3">
      <c r="B2529" t="s">
        <v>2622</v>
      </c>
      <c r="C2529" t="s">
        <v>53</v>
      </c>
      <c r="D2529" t="s">
        <v>7</v>
      </c>
      <c r="E2529" t="s">
        <v>17</v>
      </c>
      <c r="F2529" t="s">
        <v>12</v>
      </c>
      <c r="G2529" t="s">
        <v>112</v>
      </c>
      <c r="H2529">
        <v>2024</v>
      </c>
      <c r="I2529">
        <v>6443</v>
      </c>
      <c r="J2529">
        <v>6.5</v>
      </c>
      <c r="K2529" t="s">
        <v>25</v>
      </c>
      <c r="L2529">
        <v>3.3</v>
      </c>
      <c r="M2529">
        <v>7</v>
      </c>
      <c r="N2529">
        <v>4201</v>
      </c>
      <c r="O2529" t="s">
        <v>55</v>
      </c>
      <c r="P2529">
        <v>45.4</v>
      </c>
      <c r="Q2529" t="s">
        <v>56</v>
      </c>
      <c r="R2529">
        <v>15.4</v>
      </c>
      <c r="S2529">
        <v>45.6</v>
      </c>
      <c r="T2529">
        <v>9.9</v>
      </c>
      <c r="U2529">
        <v>3.8</v>
      </c>
      <c r="V2529">
        <v>6.5</v>
      </c>
      <c r="W2529">
        <v>7.3</v>
      </c>
      <c r="X2529" t="s">
        <v>116</v>
      </c>
    </row>
    <row r="2530" spans="2:24" x14ac:dyDescent="0.3">
      <c r="B2530" t="s">
        <v>2623</v>
      </c>
      <c r="C2530" t="s">
        <v>122</v>
      </c>
      <c r="D2530" t="s">
        <v>2</v>
      </c>
      <c r="E2530" t="s">
        <v>15</v>
      </c>
      <c r="F2530" t="s">
        <v>9</v>
      </c>
      <c r="G2530" t="s">
        <v>63</v>
      </c>
      <c r="H2530">
        <v>2026</v>
      </c>
      <c r="I2530">
        <v>7178</v>
      </c>
      <c r="J2530">
        <v>11.6</v>
      </c>
      <c r="K2530" t="s">
        <v>25</v>
      </c>
      <c r="L2530">
        <v>5.7</v>
      </c>
      <c r="M2530">
        <v>6.7</v>
      </c>
      <c r="N2530">
        <v>4559</v>
      </c>
      <c r="O2530" t="s">
        <v>55</v>
      </c>
      <c r="P2530">
        <v>20.2</v>
      </c>
      <c r="Q2530" t="s">
        <v>76</v>
      </c>
      <c r="R2530">
        <v>-42.2</v>
      </c>
      <c r="S2530">
        <v>-16.100000000000001</v>
      </c>
      <c r="T2530">
        <v>-9.5</v>
      </c>
      <c r="U2530">
        <v>4.9000000000000004</v>
      </c>
      <c r="V2530">
        <v>7.6</v>
      </c>
      <c r="W2530">
        <v>4.0999999999999996</v>
      </c>
      <c r="X2530" t="s">
        <v>66</v>
      </c>
    </row>
    <row r="2531" spans="2:24" x14ac:dyDescent="0.3">
      <c r="B2531" t="s">
        <v>2624</v>
      </c>
      <c r="C2531" t="s">
        <v>53</v>
      </c>
      <c r="D2531" t="s">
        <v>4</v>
      </c>
      <c r="E2531" t="s">
        <v>14</v>
      </c>
      <c r="F2531" t="s">
        <v>10</v>
      </c>
      <c r="G2531" t="s">
        <v>54</v>
      </c>
      <c r="H2531">
        <v>2025</v>
      </c>
      <c r="I2531">
        <v>562</v>
      </c>
      <c r="J2531">
        <v>6.4</v>
      </c>
      <c r="K2531" t="s">
        <v>25</v>
      </c>
      <c r="L2531">
        <v>10.3</v>
      </c>
      <c r="M2531">
        <v>10</v>
      </c>
      <c r="N2531">
        <v>5872</v>
      </c>
      <c r="O2531" t="s">
        <v>118</v>
      </c>
      <c r="P2531">
        <v>86.9</v>
      </c>
      <c r="Q2531" t="s">
        <v>125</v>
      </c>
      <c r="R2531">
        <v>60.9</v>
      </c>
      <c r="S2531">
        <v>18.100000000000001</v>
      </c>
      <c r="T2531">
        <v>6.1</v>
      </c>
      <c r="U2531">
        <v>7.3</v>
      </c>
      <c r="V2531">
        <v>8.9</v>
      </c>
      <c r="W2531">
        <v>6.3</v>
      </c>
      <c r="X2531" t="s">
        <v>116</v>
      </c>
    </row>
    <row r="2532" spans="2:24" x14ac:dyDescent="0.3">
      <c r="B2532" t="s">
        <v>2625</v>
      </c>
      <c r="C2532" t="s">
        <v>62</v>
      </c>
      <c r="D2532" t="s">
        <v>2</v>
      </c>
      <c r="E2532" t="s">
        <v>14</v>
      </c>
      <c r="F2532" t="s">
        <v>11</v>
      </c>
      <c r="G2532" t="s">
        <v>112</v>
      </c>
      <c r="H2532">
        <v>2026</v>
      </c>
      <c r="I2532">
        <v>2200</v>
      </c>
      <c r="J2532">
        <v>31.4</v>
      </c>
      <c r="K2532" t="s">
        <v>22</v>
      </c>
      <c r="L2532">
        <v>1.1000000000000001</v>
      </c>
      <c r="M2532">
        <v>7.5</v>
      </c>
      <c r="N2532">
        <v>6705</v>
      </c>
      <c r="O2532" t="s">
        <v>64</v>
      </c>
      <c r="P2532">
        <v>42.2</v>
      </c>
      <c r="Q2532" t="s">
        <v>76</v>
      </c>
      <c r="R2532">
        <v>-35.9</v>
      </c>
      <c r="S2532">
        <v>23.8</v>
      </c>
      <c r="T2532">
        <v>5.5</v>
      </c>
      <c r="U2532">
        <v>1.5</v>
      </c>
      <c r="V2532">
        <v>5.7</v>
      </c>
      <c r="W2532">
        <v>4.0999999999999996</v>
      </c>
      <c r="X2532" t="s">
        <v>66</v>
      </c>
    </row>
    <row r="2533" spans="2:24" x14ac:dyDescent="0.3">
      <c r="B2533" t="s">
        <v>2626</v>
      </c>
      <c r="C2533" t="s">
        <v>100</v>
      </c>
      <c r="D2533" t="s">
        <v>3</v>
      </c>
      <c r="E2533" t="s">
        <v>19</v>
      </c>
      <c r="F2533" t="s">
        <v>12</v>
      </c>
      <c r="G2533" t="s">
        <v>60</v>
      </c>
      <c r="H2533">
        <v>2026</v>
      </c>
      <c r="I2533">
        <v>2241</v>
      </c>
      <c r="J2533">
        <v>21.6</v>
      </c>
      <c r="K2533" t="s">
        <v>25</v>
      </c>
      <c r="L2533">
        <v>6.8</v>
      </c>
      <c r="M2533">
        <v>10</v>
      </c>
      <c r="N2533">
        <v>331</v>
      </c>
      <c r="O2533" t="s">
        <v>75</v>
      </c>
      <c r="P2533">
        <v>21.9</v>
      </c>
      <c r="Q2533" t="s">
        <v>56</v>
      </c>
      <c r="R2533">
        <v>37.6</v>
      </c>
      <c r="S2533">
        <v>59.9</v>
      </c>
      <c r="T2533">
        <v>22.7</v>
      </c>
      <c r="U2533">
        <v>6.6</v>
      </c>
      <c r="V2533">
        <v>7.2</v>
      </c>
      <c r="W2533">
        <v>6.2</v>
      </c>
      <c r="X2533" t="s">
        <v>66</v>
      </c>
    </row>
    <row r="2534" spans="2:24" x14ac:dyDescent="0.3">
      <c r="B2534" t="s">
        <v>2627</v>
      </c>
      <c r="C2534" t="s">
        <v>94</v>
      </c>
      <c r="D2534" t="s">
        <v>6</v>
      </c>
      <c r="E2534" t="s">
        <v>15</v>
      </c>
      <c r="F2534" t="s">
        <v>11</v>
      </c>
      <c r="G2534" t="s">
        <v>131</v>
      </c>
      <c r="H2534">
        <v>2024</v>
      </c>
      <c r="I2534">
        <v>1595</v>
      </c>
      <c r="J2534">
        <v>9.6</v>
      </c>
      <c r="K2534" t="s">
        <v>23</v>
      </c>
      <c r="L2534">
        <v>11.1</v>
      </c>
      <c r="M2534">
        <v>5.0999999999999996</v>
      </c>
      <c r="N2534">
        <v>4079</v>
      </c>
      <c r="O2534" t="s">
        <v>55</v>
      </c>
      <c r="P2534">
        <v>25.6</v>
      </c>
      <c r="Q2534" t="s">
        <v>79</v>
      </c>
      <c r="R2534">
        <v>85.4</v>
      </c>
      <c r="S2534">
        <v>8</v>
      </c>
      <c r="T2534">
        <v>5.7</v>
      </c>
      <c r="U2534">
        <v>7.1</v>
      </c>
      <c r="V2534">
        <v>5.9</v>
      </c>
      <c r="W2534">
        <v>5.7</v>
      </c>
      <c r="X2534" t="s">
        <v>57</v>
      </c>
    </row>
    <row r="2535" spans="2:24" x14ac:dyDescent="0.3">
      <c r="B2535" t="s">
        <v>2628</v>
      </c>
      <c r="C2535" t="s">
        <v>71</v>
      </c>
      <c r="D2535" t="s">
        <v>5</v>
      </c>
      <c r="E2535" t="s">
        <v>19</v>
      </c>
      <c r="F2535" t="s">
        <v>12</v>
      </c>
      <c r="G2535" t="s">
        <v>74</v>
      </c>
      <c r="H2535">
        <v>2024</v>
      </c>
      <c r="I2535">
        <v>4776</v>
      </c>
      <c r="J2535">
        <v>39.1</v>
      </c>
      <c r="K2535" t="s">
        <v>22</v>
      </c>
      <c r="L2535">
        <v>4.2</v>
      </c>
      <c r="M2535">
        <v>9.1999999999999993</v>
      </c>
      <c r="N2535">
        <v>84</v>
      </c>
      <c r="O2535" t="s">
        <v>75</v>
      </c>
      <c r="P2535">
        <v>87.7</v>
      </c>
      <c r="Q2535" t="s">
        <v>79</v>
      </c>
      <c r="R2535">
        <v>82</v>
      </c>
      <c r="S2535">
        <v>47.8</v>
      </c>
      <c r="T2535">
        <v>15.8</v>
      </c>
      <c r="U2535">
        <v>2.9</v>
      </c>
      <c r="V2535">
        <v>6.9</v>
      </c>
      <c r="W2535">
        <v>3.9</v>
      </c>
      <c r="X2535" t="s">
        <v>66</v>
      </c>
    </row>
    <row r="2536" spans="2:24" x14ac:dyDescent="0.3">
      <c r="B2536" t="s">
        <v>2629</v>
      </c>
      <c r="C2536" t="s">
        <v>142</v>
      </c>
      <c r="D2536" t="s">
        <v>2</v>
      </c>
      <c r="E2536" t="s">
        <v>16</v>
      </c>
      <c r="F2536" t="s">
        <v>11</v>
      </c>
      <c r="G2536" t="s">
        <v>74</v>
      </c>
      <c r="H2536">
        <v>2025</v>
      </c>
      <c r="I2536">
        <v>1244</v>
      </c>
      <c r="J2536">
        <v>5.6</v>
      </c>
      <c r="K2536" t="s">
        <v>23</v>
      </c>
      <c r="L2536">
        <v>1.9</v>
      </c>
      <c r="M2536">
        <v>1.4</v>
      </c>
      <c r="N2536">
        <v>1933</v>
      </c>
      <c r="O2536" t="s">
        <v>64</v>
      </c>
      <c r="P2536">
        <v>25</v>
      </c>
      <c r="Q2536" t="s">
        <v>76</v>
      </c>
      <c r="R2536">
        <v>64.5</v>
      </c>
      <c r="S2536">
        <v>57.8</v>
      </c>
      <c r="T2536">
        <v>15.9</v>
      </c>
      <c r="U2536">
        <v>1.3</v>
      </c>
      <c r="V2536">
        <v>8.3000000000000007</v>
      </c>
      <c r="W2536">
        <v>8.5</v>
      </c>
      <c r="X2536" t="s">
        <v>57</v>
      </c>
    </row>
    <row r="2537" spans="2:24" x14ac:dyDescent="0.3">
      <c r="B2537" t="s">
        <v>2630</v>
      </c>
      <c r="C2537" t="s">
        <v>53</v>
      </c>
      <c r="D2537" t="s">
        <v>7</v>
      </c>
      <c r="E2537" t="s">
        <v>16</v>
      </c>
      <c r="F2537" t="s">
        <v>11</v>
      </c>
      <c r="G2537" t="s">
        <v>98</v>
      </c>
      <c r="H2537">
        <v>2025</v>
      </c>
      <c r="I2537">
        <v>6179</v>
      </c>
      <c r="J2537">
        <v>7.3</v>
      </c>
      <c r="K2537" t="s">
        <v>21</v>
      </c>
      <c r="L2537">
        <v>5.0999999999999996</v>
      </c>
      <c r="M2537">
        <v>10</v>
      </c>
      <c r="N2537">
        <v>4110</v>
      </c>
      <c r="O2537" t="s">
        <v>55</v>
      </c>
      <c r="P2537">
        <v>32.700000000000003</v>
      </c>
      <c r="Q2537" t="s">
        <v>79</v>
      </c>
      <c r="R2537">
        <v>51.3</v>
      </c>
      <c r="S2537">
        <v>59.8</v>
      </c>
      <c r="T2537">
        <v>17.600000000000001</v>
      </c>
      <c r="U2537">
        <v>7.8</v>
      </c>
      <c r="V2537">
        <v>10</v>
      </c>
      <c r="W2537">
        <v>6.5</v>
      </c>
      <c r="X2537" t="s">
        <v>116</v>
      </c>
    </row>
    <row r="2538" spans="2:24" x14ac:dyDescent="0.3">
      <c r="B2538" t="s">
        <v>2631</v>
      </c>
      <c r="C2538" t="s">
        <v>81</v>
      </c>
      <c r="D2538" t="s">
        <v>5</v>
      </c>
      <c r="E2538" t="s">
        <v>18</v>
      </c>
      <c r="F2538" t="s">
        <v>11</v>
      </c>
      <c r="G2538" t="s">
        <v>131</v>
      </c>
      <c r="H2538">
        <v>2025</v>
      </c>
      <c r="I2538">
        <v>1227</v>
      </c>
      <c r="J2538">
        <v>14.5</v>
      </c>
      <c r="K2538" t="s">
        <v>23</v>
      </c>
      <c r="L2538">
        <v>1.7</v>
      </c>
      <c r="M2538">
        <v>4.4000000000000004</v>
      </c>
      <c r="N2538">
        <v>2989</v>
      </c>
      <c r="O2538" t="s">
        <v>64</v>
      </c>
      <c r="P2538">
        <v>24.8</v>
      </c>
      <c r="Q2538" t="s">
        <v>65</v>
      </c>
      <c r="R2538">
        <v>85.4</v>
      </c>
      <c r="S2538">
        <v>0.6</v>
      </c>
      <c r="T2538">
        <v>0.2</v>
      </c>
      <c r="U2538">
        <v>1.2</v>
      </c>
      <c r="V2538">
        <v>5.2</v>
      </c>
      <c r="W2538">
        <v>6.3</v>
      </c>
      <c r="X2538" t="s">
        <v>116</v>
      </c>
    </row>
    <row r="2539" spans="2:24" x14ac:dyDescent="0.3">
      <c r="B2539" t="s">
        <v>2632</v>
      </c>
      <c r="C2539" t="s">
        <v>90</v>
      </c>
      <c r="D2539" t="s">
        <v>5</v>
      </c>
      <c r="E2539" t="s">
        <v>16</v>
      </c>
      <c r="F2539" t="s">
        <v>10</v>
      </c>
      <c r="G2539" t="s">
        <v>60</v>
      </c>
      <c r="H2539">
        <v>2025</v>
      </c>
      <c r="I2539">
        <v>11302</v>
      </c>
      <c r="J2539">
        <v>25.3</v>
      </c>
      <c r="K2539" t="s">
        <v>24</v>
      </c>
      <c r="L2539">
        <v>14.7</v>
      </c>
      <c r="M2539">
        <v>10</v>
      </c>
      <c r="N2539">
        <v>168</v>
      </c>
      <c r="O2539" t="s">
        <v>64</v>
      </c>
      <c r="P2539">
        <v>33.5</v>
      </c>
      <c r="Q2539" t="s">
        <v>76</v>
      </c>
      <c r="R2539">
        <v>48.1</v>
      </c>
      <c r="S2539">
        <v>21.1</v>
      </c>
      <c r="T2539">
        <v>-4.2</v>
      </c>
      <c r="U2539">
        <v>9.6</v>
      </c>
      <c r="V2539">
        <v>6.9</v>
      </c>
      <c r="W2539">
        <v>3.3</v>
      </c>
      <c r="X2539" t="s">
        <v>66</v>
      </c>
    </row>
    <row r="2540" spans="2:24" x14ac:dyDescent="0.3">
      <c r="B2540" t="s">
        <v>2633</v>
      </c>
      <c r="C2540" t="s">
        <v>142</v>
      </c>
      <c r="D2540" t="s">
        <v>2</v>
      </c>
      <c r="E2540" t="s">
        <v>17</v>
      </c>
      <c r="F2540" t="s">
        <v>9</v>
      </c>
      <c r="G2540" t="s">
        <v>104</v>
      </c>
      <c r="H2540">
        <v>2024</v>
      </c>
      <c r="I2540">
        <v>10712</v>
      </c>
      <c r="J2540">
        <v>22.3</v>
      </c>
      <c r="K2540" t="s">
        <v>25</v>
      </c>
      <c r="L2540">
        <v>9.1</v>
      </c>
      <c r="M2540">
        <v>10</v>
      </c>
      <c r="N2540">
        <v>5627</v>
      </c>
      <c r="O2540" t="s">
        <v>64</v>
      </c>
      <c r="P2540">
        <v>59.1</v>
      </c>
      <c r="Q2540" t="s">
        <v>76</v>
      </c>
      <c r="R2540">
        <v>82.5</v>
      </c>
      <c r="S2540">
        <v>23.8</v>
      </c>
      <c r="T2540">
        <v>16.3</v>
      </c>
      <c r="U2540">
        <v>6.9</v>
      </c>
      <c r="V2540">
        <v>4.0999999999999996</v>
      </c>
      <c r="W2540">
        <v>5</v>
      </c>
      <c r="X2540" t="s">
        <v>66</v>
      </c>
    </row>
    <row r="2541" spans="2:24" x14ac:dyDescent="0.3">
      <c r="B2541" t="s">
        <v>2634</v>
      </c>
      <c r="C2541" t="s">
        <v>68</v>
      </c>
      <c r="D2541" t="s">
        <v>8</v>
      </c>
      <c r="E2541" t="s">
        <v>15</v>
      </c>
      <c r="F2541" t="s">
        <v>9</v>
      </c>
      <c r="G2541" t="s">
        <v>78</v>
      </c>
      <c r="H2541">
        <v>2024</v>
      </c>
      <c r="I2541">
        <v>851</v>
      </c>
      <c r="J2541">
        <v>16.100000000000001</v>
      </c>
      <c r="K2541" t="s">
        <v>22</v>
      </c>
      <c r="L2541">
        <v>8</v>
      </c>
      <c r="M2541">
        <v>9.3000000000000007</v>
      </c>
      <c r="N2541">
        <v>1288</v>
      </c>
      <c r="O2541" t="s">
        <v>64</v>
      </c>
      <c r="P2541">
        <v>22.7</v>
      </c>
      <c r="Q2541" t="s">
        <v>88</v>
      </c>
      <c r="R2541">
        <v>-11.5</v>
      </c>
      <c r="S2541">
        <v>11.3</v>
      </c>
      <c r="T2541">
        <v>-4.0999999999999996</v>
      </c>
      <c r="U2541">
        <v>7.7</v>
      </c>
      <c r="V2541">
        <v>5.3</v>
      </c>
      <c r="W2541">
        <v>5.4</v>
      </c>
      <c r="X2541" t="s">
        <v>116</v>
      </c>
    </row>
    <row r="2542" spans="2:24" x14ac:dyDescent="0.3">
      <c r="B2542" t="s">
        <v>2635</v>
      </c>
      <c r="C2542" t="s">
        <v>27</v>
      </c>
      <c r="D2542" t="s">
        <v>2</v>
      </c>
      <c r="E2542" t="s">
        <v>18</v>
      </c>
      <c r="F2542" t="s">
        <v>11</v>
      </c>
      <c r="G2542" t="s">
        <v>112</v>
      </c>
      <c r="H2542">
        <v>2024</v>
      </c>
      <c r="I2542">
        <v>2894</v>
      </c>
      <c r="J2542">
        <v>12.5</v>
      </c>
      <c r="K2542" t="s">
        <v>21</v>
      </c>
      <c r="L2542">
        <v>3.2</v>
      </c>
      <c r="M2542">
        <v>4.3</v>
      </c>
      <c r="N2542">
        <v>6009</v>
      </c>
      <c r="O2542" t="s">
        <v>64</v>
      </c>
      <c r="P2542">
        <v>88.1</v>
      </c>
      <c r="Q2542" t="s">
        <v>56</v>
      </c>
      <c r="R2542">
        <v>89.3</v>
      </c>
      <c r="S2542">
        <v>-7.2</v>
      </c>
      <c r="T2542">
        <v>-10.8</v>
      </c>
      <c r="U2542">
        <v>4.5999999999999996</v>
      </c>
      <c r="V2542">
        <v>6.6</v>
      </c>
      <c r="W2542">
        <v>6.2</v>
      </c>
      <c r="X2542" t="s">
        <v>116</v>
      </c>
    </row>
    <row r="2543" spans="2:24" x14ac:dyDescent="0.3">
      <c r="B2543" t="s">
        <v>2636</v>
      </c>
      <c r="C2543" t="s">
        <v>94</v>
      </c>
      <c r="D2543" t="s">
        <v>6</v>
      </c>
      <c r="E2543" t="s">
        <v>14</v>
      </c>
      <c r="F2543" t="s">
        <v>9</v>
      </c>
      <c r="G2543" t="s">
        <v>74</v>
      </c>
      <c r="H2543">
        <v>2024</v>
      </c>
      <c r="I2543">
        <v>8223</v>
      </c>
      <c r="J2543">
        <v>29.4</v>
      </c>
      <c r="K2543" t="s">
        <v>23</v>
      </c>
      <c r="L2543">
        <v>6.5</v>
      </c>
      <c r="M2543">
        <v>10</v>
      </c>
      <c r="N2543">
        <v>913</v>
      </c>
      <c r="O2543" t="s">
        <v>75</v>
      </c>
      <c r="P2543">
        <v>39.200000000000003</v>
      </c>
      <c r="Q2543" t="s">
        <v>79</v>
      </c>
      <c r="R2543">
        <v>8.8000000000000007</v>
      </c>
      <c r="S2543">
        <v>1.3</v>
      </c>
      <c r="T2543">
        <v>0.5</v>
      </c>
      <c r="U2543">
        <v>4.7</v>
      </c>
      <c r="V2543">
        <v>6</v>
      </c>
      <c r="W2543">
        <v>2.7</v>
      </c>
      <c r="X2543" t="s">
        <v>66</v>
      </c>
    </row>
    <row r="2544" spans="2:24" x14ac:dyDescent="0.3">
      <c r="B2544" t="s">
        <v>2637</v>
      </c>
      <c r="C2544" t="s">
        <v>97</v>
      </c>
      <c r="D2544" t="s">
        <v>3</v>
      </c>
      <c r="E2544" t="s">
        <v>16</v>
      </c>
      <c r="F2544" t="s">
        <v>10</v>
      </c>
      <c r="G2544" t="s">
        <v>115</v>
      </c>
      <c r="H2544">
        <v>2026</v>
      </c>
      <c r="I2544">
        <v>2305</v>
      </c>
      <c r="J2544">
        <v>8</v>
      </c>
      <c r="K2544" t="s">
        <v>21</v>
      </c>
      <c r="L2544">
        <v>5.3</v>
      </c>
      <c r="M2544">
        <v>3.5</v>
      </c>
      <c r="N2544">
        <v>5725</v>
      </c>
      <c r="O2544" t="s">
        <v>55</v>
      </c>
      <c r="P2544">
        <v>17.600000000000001</v>
      </c>
      <c r="Q2544" t="s">
        <v>56</v>
      </c>
      <c r="R2544">
        <v>-16.899999999999999</v>
      </c>
      <c r="S2544">
        <v>-21.2</v>
      </c>
      <c r="T2544">
        <v>-18.899999999999999</v>
      </c>
      <c r="U2544">
        <v>3.1</v>
      </c>
      <c r="V2544">
        <v>4.8</v>
      </c>
      <c r="W2544">
        <v>5</v>
      </c>
      <c r="X2544" t="s">
        <v>57</v>
      </c>
    </row>
    <row r="2545" spans="2:24" x14ac:dyDescent="0.3">
      <c r="B2545" t="s">
        <v>2638</v>
      </c>
      <c r="C2545" t="s">
        <v>100</v>
      </c>
      <c r="D2545" t="s">
        <v>3</v>
      </c>
      <c r="E2545" t="s">
        <v>19</v>
      </c>
      <c r="F2545" t="s">
        <v>12</v>
      </c>
      <c r="G2545" t="s">
        <v>60</v>
      </c>
      <c r="H2545">
        <v>2025</v>
      </c>
      <c r="I2545">
        <v>3477</v>
      </c>
      <c r="J2545">
        <v>13.9</v>
      </c>
      <c r="K2545" t="s">
        <v>23</v>
      </c>
      <c r="L2545">
        <v>6.7</v>
      </c>
      <c r="M2545">
        <v>10</v>
      </c>
      <c r="N2545">
        <v>2493</v>
      </c>
      <c r="O2545" t="s">
        <v>64</v>
      </c>
      <c r="P2545">
        <v>46.1</v>
      </c>
      <c r="Q2545" t="s">
        <v>76</v>
      </c>
      <c r="R2545">
        <v>18.3</v>
      </c>
      <c r="S2545">
        <v>18.399999999999999</v>
      </c>
      <c r="T2545">
        <v>13.4</v>
      </c>
      <c r="U2545">
        <v>8.4</v>
      </c>
      <c r="V2545">
        <v>6.1</v>
      </c>
      <c r="W2545">
        <v>4.7</v>
      </c>
      <c r="X2545" t="s">
        <v>116</v>
      </c>
    </row>
    <row r="2546" spans="2:24" x14ac:dyDescent="0.3">
      <c r="B2546" t="s">
        <v>2639</v>
      </c>
      <c r="C2546" t="s">
        <v>90</v>
      </c>
      <c r="D2546" t="s">
        <v>5</v>
      </c>
      <c r="E2546" t="s">
        <v>18</v>
      </c>
      <c r="F2546" t="s">
        <v>12</v>
      </c>
      <c r="G2546" t="s">
        <v>101</v>
      </c>
      <c r="H2546">
        <v>2024</v>
      </c>
      <c r="I2546">
        <v>7263</v>
      </c>
      <c r="J2546">
        <v>10.8</v>
      </c>
      <c r="K2546" t="s">
        <v>22</v>
      </c>
      <c r="L2546">
        <v>12.7</v>
      </c>
      <c r="M2546">
        <v>10</v>
      </c>
      <c r="N2546">
        <v>648</v>
      </c>
      <c r="O2546" t="s">
        <v>55</v>
      </c>
      <c r="P2546">
        <v>44.5</v>
      </c>
      <c r="Q2546" t="s">
        <v>84</v>
      </c>
      <c r="R2546">
        <v>-15</v>
      </c>
      <c r="S2546">
        <v>-8.8000000000000007</v>
      </c>
      <c r="T2546">
        <v>0.5</v>
      </c>
      <c r="U2546">
        <v>9.5</v>
      </c>
      <c r="V2546">
        <v>5.7</v>
      </c>
      <c r="W2546">
        <v>4.5</v>
      </c>
      <c r="X2546" t="s">
        <v>66</v>
      </c>
    </row>
    <row r="2547" spans="2:24" x14ac:dyDescent="0.3">
      <c r="B2547" t="s">
        <v>2640</v>
      </c>
      <c r="C2547" t="s">
        <v>92</v>
      </c>
      <c r="D2547" t="s">
        <v>7</v>
      </c>
      <c r="E2547" t="s">
        <v>18</v>
      </c>
      <c r="F2547" t="s">
        <v>10</v>
      </c>
      <c r="G2547" t="s">
        <v>101</v>
      </c>
      <c r="H2547">
        <v>2024</v>
      </c>
      <c r="I2547">
        <v>2066</v>
      </c>
      <c r="J2547">
        <v>2.4</v>
      </c>
      <c r="K2547" t="s">
        <v>23</v>
      </c>
      <c r="L2547">
        <v>5.0999999999999996</v>
      </c>
      <c r="M2547">
        <v>8</v>
      </c>
      <c r="N2547">
        <v>3794</v>
      </c>
      <c r="O2547" t="s">
        <v>55</v>
      </c>
      <c r="P2547">
        <v>16.7</v>
      </c>
      <c r="Q2547" t="s">
        <v>125</v>
      </c>
      <c r="R2547">
        <v>71.7</v>
      </c>
      <c r="S2547">
        <v>38.799999999999997</v>
      </c>
      <c r="T2547">
        <v>8.6999999999999993</v>
      </c>
      <c r="U2547">
        <v>4.3</v>
      </c>
      <c r="V2547">
        <v>7</v>
      </c>
      <c r="W2547">
        <v>6.3</v>
      </c>
      <c r="X2547" t="s">
        <v>57</v>
      </c>
    </row>
    <row r="2548" spans="2:24" x14ac:dyDescent="0.3">
      <c r="B2548" t="s">
        <v>2641</v>
      </c>
      <c r="C2548" t="s">
        <v>100</v>
      </c>
      <c r="D2548" t="s">
        <v>3</v>
      </c>
      <c r="E2548" t="s">
        <v>15</v>
      </c>
      <c r="F2548" t="s">
        <v>9</v>
      </c>
      <c r="G2548" t="s">
        <v>101</v>
      </c>
      <c r="H2548">
        <v>2026</v>
      </c>
      <c r="I2548">
        <v>10324</v>
      </c>
      <c r="J2548">
        <v>29.2</v>
      </c>
      <c r="K2548" t="s">
        <v>23</v>
      </c>
      <c r="L2548">
        <v>12.3</v>
      </c>
      <c r="M2548">
        <v>10</v>
      </c>
      <c r="N2548">
        <v>1044</v>
      </c>
      <c r="O2548" t="s">
        <v>64</v>
      </c>
      <c r="P2548">
        <v>47.4</v>
      </c>
      <c r="Q2548" t="s">
        <v>79</v>
      </c>
      <c r="R2548">
        <v>-24.8</v>
      </c>
      <c r="S2548">
        <v>-9</v>
      </c>
      <c r="T2548">
        <v>-2</v>
      </c>
      <c r="U2548">
        <v>8.8000000000000007</v>
      </c>
      <c r="V2548">
        <v>4.2</v>
      </c>
      <c r="W2548">
        <v>3.3</v>
      </c>
      <c r="X2548" t="s">
        <v>66</v>
      </c>
    </row>
    <row r="2549" spans="2:24" x14ac:dyDescent="0.3">
      <c r="B2549" t="s">
        <v>2642</v>
      </c>
      <c r="C2549" t="s">
        <v>106</v>
      </c>
      <c r="D2549" t="s">
        <v>8</v>
      </c>
      <c r="E2549" t="s">
        <v>16</v>
      </c>
      <c r="F2549" t="s">
        <v>10</v>
      </c>
      <c r="G2549" t="s">
        <v>101</v>
      </c>
      <c r="H2549">
        <v>2025</v>
      </c>
      <c r="I2549">
        <v>19286</v>
      </c>
      <c r="J2549">
        <v>26.8</v>
      </c>
      <c r="K2549" t="s">
        <v>25</v>
      </c>
      <c r="L2549">
        <v>1.9</v>
      </c>
      <c r="M2549">
        <v>6.7</v>
      </c>
      <c r="N2549">
        <v>795</v>
      </c>
      <c r="O2549" t="s">
        <v>75</v>
      </c>
      <c r="P2549">
        <v>41.8</v>
      </c>
      <c r="Q2549" t="s">
        <v>84</v>
      </c>
      <c r="R2549">
        <v>43.8</v>
      </c>
      <c r="S2549">
        <v>10.3</v>
      </c>
      <c r="T2549">
        <v>-5.3</v>
      </c>
      <c r="U2549">
        <v>1.5</v>
      </c>
      <c r="V2549">
        <v>6.6</v>
      </c>
      <c r="W2549">
        <v>5.0999999999999996</v>
      </c>
      <c r="X2549" t="s">
        <v>66</v>
      </c>
    </row>
    <row r="2550" spans="2:24" x14ac:dyDescent="0.3">
      <c r="B2550" t="s">
        <v>2643</v>
      </c>
      <c r="C2550" t="s">
        <v>137</v>
      </c>
      <c r="D2550" t="s">
        <v>3</v>
      </c>
      <c r="E2550" t="s">
        <v>19</v>
      </c>
      <c r="F2550" t="s">
        <v>12</v>
      </c>
      <c r="G2550" t="s">
        <v>104</v>
      </c>
      <c r="H2550">
        <v>2025</v>
      </c>
      <c r="I2550">
        <v>1404</v>
      </c>
      <c r="J2550">
        <v>10.199999999999999</v>
      </c>
      <c r="K2550" t="s">
        <v>22</v>
      </c>
      <c r="L2550">
        <v>2.8</v>
      </c>
      <c r="M2550">
        <v>5.7</v>
      </c>
      <c r="N2550">
        <v>4164</v>
      </c>
      <c r="O2550" t="s">
        <v>64</v>
      </c>
      <c r="P2550">
        <v>48.3</v>
      </c>
      <c r="Q2550" t="s">
        <v>65</v>
      </c>
      <c r="R2550">
        <v>73.5</v>
      </c>
      <c r="S2550">
        <v>-13.2</v>
      </c>
      <c r="T2550">
        <v>1.4</v>
      </c>
      <c r="U2550">
        <v>2.8</v>
      </c>
      <c r="V2550">
        <v>6.3</v>
      </c>
      <c r="W2550">
        <v>4.9000000000000004</v>
      </c>
      <c r="X2550" t="s">
        <v>116</v>
      </c>
    </row>
    <row r="2551" spans="2:24" x14ac:dyDescent="0.3">
      <c r="B2551" t="s">
        <v>2644</v>
      </c>
      <c r="C2551" t="s">
        <v>142</v>
      </c>
      <c r="D2551" t="s">
        <v>8</v>
      </c>
      <c r="E2551" t="s">
        <v>18</v>
      </c>
      <c r="F2551" t="s">
        <v>10</v>
      </c>
      <c r="G2551" t="s">
        <v>74</v>
      </c>
      <c r="H2551">
        <v>2025</v>
      </c>
      <c r="I2551">
        <v>1481</v>
      </c>
      <c r="J2551">
        <v>5.9</v>
      </c>
      <c r="K2551" t="s">
        <v>25</v>
      </c>
      <c r="L2551">
        <v>7.1</v>
      </c>
      <c r="M2551">
        <v>5.4</v>
      </c>
      <c r="N2551">
        <v>4319</v>
      </c>
      <c r="O2551" t="s">
        <v>55</v>
      </c>
      <c r="P2551">
        <v>14.3</v>
      </c>
      <c r="Q2551" t="s">
        <v>65</v>
      </c>
      <c r="R2551">
        <v>-17.7</v>
      </c>
      <c r="S2551">
        <v>31.7</v>
      </c>
      <c r="T2551">
        <v>6.7</v>
      </c>
      <c r="U2551">
        <v>4.8</v>
      </c>
      <c r="V2551">
        <v>5.8</v>
      </c>
      <c r="W2551">
        <v>6.8</v>
      </c>
      <c r="X2551" t="s">
        <v>57</v>
      </c>
    </row>
    <row r="2552" spans="2:24" x14ac:dyDescent="0.3">
      <c r="B2552" t="s">
        <v>2645</v>
      </c>
      <c r="C2552" t="s">
        <v>92</v>
      </c>
      <c r="D2552" t="s">
        <v>7</v>
      </c>
      <c r="E2552" t="s">
        <v>17</v>
      </c>
      <c r="F2552" t="s">
        <v>9</v>
      </c>
      <c r="G2552" t="s">
        <v>78</v>
      </c>
      <c r="H2552">
        <v>2025</v>
      </c>
      <c r="I2552">
        <v>1074</v>
      </c>
      <c r="J2552">
        <v>1.7</v>
      </c>
      <c r="K2552" t="s">
        <v>22</v>
      </c>
      <c r="L2552">
        <v>12.8</v>
      </c>
      <c r="M2552">
        <v>7.2</v>
      </c>
      <c r="N2552">
        <v>3730</v>
      </c>
      <c r="O2552" t="s">
        <v>55</v>
      </c>
      <c r="P2552">
        <v>13.9</v>
      </c>
      <c r="Q2552" t="s">
        <v>125</v>
      </c>
      <c r="R2552">
        <v>37.700000000000003</v>
      </c>
      <c r="S2552">
        <v>-8.1999999999999993</v>
      </c>
      <c r="T2552">
        <v>2.9</v>
      </c>
      <c r="U2552">
        <v>8.1999999999999993</v>
      </c>
      <c r="V2552">
        <v>6.7</v>
      </c>
      <c r="W2552">
        <v>6.3</v>
      </c>
      <c r="X2552" t="s">
        <v>57</v>
      </c>
    </row>
    <row r="2553" spans="2:24" x14ac:dyDescent="0.3">
      <c r="B2553" t="s">
        <v>2646</v>
      </c>
      <c r="C2553" t="s">
        <v>142</v>
      </c>
      <c r="D2553" t="s">
        <v>2</v>
      </c>
      <c r="E2553" t="s">
        <v>17</v>
      </c>
      <c r="F2553" t="s">
        <v>10</v>
      </c>
      <c r="G2553" t="s">
        <v>115</v>
      </c>
      <c r="H2553">
        <v>2025</v>
      </c>
      <c r="I2553">
        <v>2883</v>
      </c>
      <c r="J2553">
        <v>13.7</v>
      </c>
      <c r="K2553" t="s">
        <v>21</v>
      </c>
      <c r="L2553">
        <v>7.2</v>
      </c>
      <c r="M2553">
        <v>8.1999999999999993</v>
      </c>
      <c r="N2553">
        <v>8104</v>
      </c>
      <c r="O2553" t="s">
        <v>55</v>
      </c>
      <c r="P2553">
        <v>17.2</v>
      </c>
      <c r="Q2553" t="s">
        <v>76</v>
      </c>
      <c r="R2553">
        <v>31.9</v>
      </c>
      <c r="S2553">
        <v>34.700000000000003</v>
      </c>
      <c r="T2553">
        <v>18.8</v>
      </c>
      <c r="U2553">
        <v>5.0999999999999996</v>
      </c>
      <c r="V2553">
        <v>7</v>
      </c>
      <c r="W2553">
        <v>5.7</v>
      </c>
      <c r="X2553" t="s">
        <v>116</v>
      </c>
    </row>
    <row r="2554" spans="2:24" x14ac:dyDescent="0.3">
      <c r="B2554" t="s">
        <v>2647</v>
      </c>
      <c r="C2554" t="s">
        <v>142</v>
      </c>
      <c r="D2554" t="s">
        <v>2</v>
      </c>
      <c r="E2554" t="s">
        <v>14</v>
      </c>
      <c r="F2554" t="s">
        <v>11</v>
      </c>
      <c r="G2554" t="s">
        <v>112</v>
      </c>
      <c r="H2554">
        <v>2024</v>
      </c>
      <c r="I2554">
        <v>840</v>
      </c>
      <c r="J2554">
        <v>4.9000000000000004</v>
      </c>
      <c r="K2554" t="s">
        <v>24</v>
      </c>
      <c r="L2554">
        <v>10.1</v>
      </c>
      <c r="M2554">
        <v>4.7</v>
      </c>
      <c r="N2554">
        <v>9360</v>
      </c>
      <c r="O2554" t="s">
        <v>118</v>
      </c>
      <c r="P2554">
        <v>49.4</v>
      </c>
      <c r="Q2554" t="s">
        <v>76</v>
      </c>
      <c r="R2554">
        <v>31.9</v>
      </c>
      <c r="S2554">
        <v>1</v>
      </c>
      <c r="T2554">
        <v>1.6</v>
      </c>
      <c r="U2554">
        <v>10</v>
      </c>
      <c r="V2554">
        <v>4.9000000000000004</v>
      </c>
      <c r="W2554">
        <v>6.5</v>
      </c>
      <c r="X2554" t="s">
        <v>57</v>
      </c>
    </row>
    <row r="2555" spans="2:24" x14ac:dyDescent="0.3">
      <c r="B2555" t="s">
        <v>2648</v>
      </c>
      <c r="C2555" t="s">
        <v>90</v>
      </c>
      <c r="D2555" t="s">
        <v>6</v>
      </c>
      <c r="E2555" t="s">
        <v>19</v>
      </c>
      <c r="F2555" t="s">
        <v>11</v>
      </c>
      <c r="G2555" t="s">
        <v>112</v>
      </c>
      <c r="H2555">
        <v>2025</v>
      </c>
      <c r="I2555">
        <v>2292</v>
      </c>
      <c r="J2555">
        <v>0.6</v>
      </c>
      <c r="K2555" t="s">
        <v>22</v>
      </c>
      <c r="L2555">
        <v>4.2</v>
      </c>
      <c r="M2555">
        <v>2.8</v>
      </c>
      <c r="N2555">
        <v>3267</v>
      </c>
      <c r="O2555" t="s">
        <v>55</v>
      </c>
      <c r="P2555">
        <v>81.7</v>
      </c>
      <c r="Q2555" t="s">
        <v>65</v>
      </c>
      <c r="R2555">
        <v>13</v>
      </c>
      <c r="S2555">
        <v>18.100000000000001</v>
      </c>
      <c r="T2555">
        <v>3.6</v>
      </c>
      <c r="U2555">
        <v>6.2</v>
      </c>
      <c r="V2555">
        <v>6.7</v>
      </c>
      <c r="W2555">
        <v>8.4</v>
      </c>
      <c r="X2555" t="s">
        <v>57</v>
      </c>
    </row>
    <row r="2556" spans="2:24" x14ac:dyDescent="0.3">
      <c r="B2556" t="s">
        <v>2649</v>
      </c>
      <c r="C2556" t="s">
        <v>106</v>
      </c>
      <c r="D2556" t="s">
        <v>8</v>
      </c>
      <c r="E2556" t="s">
        <v>16</v>
      </c>
      <c r="F2556" t="s">
        <v>12</v>
      </c>
      <c r="G2556" t="s">
        <v>69</v>
      </c>
      <c r="H2556">
        <v>2024</v>
      </c>
      <c r="I2556">
        <v>1829</v>
      </c>
      <c r="J2556">
        <v>3.4</v>
      </c>
      <c r="K2556" t="s">
        <v>25</v>
      </c>
      <c r="L2556">
        <v>2.4</v>
      </c>
      <c r="M2556">
        <v>1.4</v>
      </c>
      <c r="N2556">
        <v>1307</v>
      </c>
      <c r="O2556" t="s">
        <v>64</v>
      </c>
      <c r="P2556">
        <v>12.7</v>
      </c>
      <c r="Q2556" t="s">
        <v>56</v>
      </c>
      <c r="R2556">
        <v>-9.6</v>
      </c>
      <c r="S2556">
        <v>1</v>
      </c>
      <c r="T2556">
        <v>7.2</v>
      </c>
      <c r="U2556">
        <v>1.4</v>
      </c>
      <c r="V2556">
        <v>6.6</v>
      </c>
      <c r="W2556">
        <v>8.3000000000000007</v>
      </c>
      <c r="X2556" t="s">
        <v>57</v>
      </c>
    </row>
    <row r="2557" spans="2:24" x14ac:dyDescent="0.3">
      <c r="B2557" t="s">
        <v>2650</v>
      </c>
      <c r="C2557" t="s">
        <v>100</v>
      </c>
      <c r="D2557" t="s">
        <v>3</v>
      </c>
      <c r="E2557" t="s">
        <v>17</v>
      </c>
      <c r="F2557" t="s">
        <v>12</v>
      </c>
      <c r="G2557" t="s">
        <v>112</v>
      </c>
      <c r="H2557">
        <v>2026</v>
      </c>
      <c r="I2557">
        <v>989</v>
      </c>
      <c r="J2557">
        <v>3.7</v>
      </c>
      <c r="K2557" t="s">
        <v>23</v>
      </c>
      <c r="L2557">
        <v>2.8</v>
      </c>
      <c r="M2557">
        <v>2.2999999999999998</v>
      </c>
      <c r="N2557">
        <v>5897</v>
      </c>
      <c r="O2557" t="s">
        <v>55</v>
      </c>
      <c r="P2557">
        <v>21.4</v>
      </c>
      <c r="Q2557" t="s">
        <v>65</v>
      </c>
      <c r="R2557">
        <v>4.3</v>
      </c>
      <c r="S2557">
        <v>15.4</v>
      </c>
      <c r="T2557">
        <v>9.9</v>
      </c>
      <c r="U2557">
        <v>2.8</v>
      </c>
      <c r="V2557">
        <v>5.9</v>
      </c>
      <c r="W2557">
        <v>6.9</v>
      </c>
      <c r="X2557" t="s">
        <v>57</v>
      </c>
    </row>
    <row r="2558" spans="2:24" x14ac:dyDescent="0.3">
      <c r="B2558" t="s">
        <v>2651</v>
      </c>
      <c r="C2558" t="s">
        <v>137</v>
      </c>
      <c r="D2558" t="s">
        <v>4</v>
      </c>
      <c r="E2558" t="s">
        <v>17</v>
      </c>
      <c r="F2558" t="s">
        <v>12</v>
      </c>
      <c r="G2558" t="s">
        <v>74</v>
      </c>
      <c r="H2558">
        <v>2024</v>
      </c>
      <c r="I2558">
        <v>10863</v>
      </c>
      <c r="J2558">
        <v>15.2</v>
      </c>
      <c r="K2558" t="s">
        <v>24</v>
      </c>
      <c r="L2558">
        <v>9.8000000000000007</v>
      </c>
      <c r="M2558">
        <v>10</v>
      </c>
      <c r="N2558">
        <v>1117</v>
      </c>
      <c r="O2558" t="s">
        <v>64</v>
      </c>
      <c r="P2558">
        <v>80.7</v>
      </c>
      <c r="Q2558" t="s">
        <v>65</v>
      </c>
      <c r="R2558">
        <v>40</v>
      </c>
      <c r="S2558">
        <v>2.4</v>
      </c>
      <c r="T2558">
        <v>6.5</v>
      </c>
      <c r="U2558">
        <v>9.6</v>
      </c>
      <c r="V2558">
        <v>4.5</v>
      </c>
      <c r="W2558">
        <v>4.9000000000000004</v>
      </c>
      <c r="X2558" t="s">
        <v>66</v>
      </c>
    </row>
    <row r="2559" spans="2:24" x14ac:dyDescent="0.3">
      <c r="B2559" t="s">
        <v>2652</v>
      </c>
      <c r="C2559" t="s">
        <v>27</v>
      </c>
      <c r="D2559" t="s">
        <v>2</v>
      </c>
      <c r="E2559" t="s">
        <v>15</v>
      </c>
      <c r="F2559" t="s">
        <v>9</v>
      </c>
      <c r="G2559" t="s">
        <v>60</v>
      </c>
      <c r="H2559">
        <v>2024</v>
      </c>
      <c r="I2559">
        <v>2305</v>
      </c>
      <c r="J2559">
        <v>1.6</v>
      </c>
      <c r="K2559" t="s">
        <v>23</v>
      </c>
      <c r="L2559">
        <v>3.2</v>
      </c>
      <c r="M2559">
        <v>2</v>
      </c>
      <c r="N2559">
        <v>2586</v>
      </c>
      <c r="O2559" t="s">
        <v>55</v>
      </c>
      <c r="P2559">
        <v>86.3</v>
      </c>
      <c r="Q2559" t="s">
        <v>76</v>
      </c>
      <c r="R2559">
        <v>64.5</v>
      </c>
      <c r="S2559">
        <v>-16.5</v>
      </c>
      <c r="T2559">
        <v>-5.9</v>
      </c>
      <c r="U2559">
        <v>3.4</v>
      </c>
      <c r="V2559">
        <v>4.4000000000000004</v>
      </c>
      <c r="W2559">
        <v>6.1</v>
      </c>
      <c r="X2559" t="s">
        <v>57</v>
      </c>
    </row>
    <row r="2560" spans="2:24" x14ac:dyDescent="0.3">
      <c r="B2560" t="s">
        <v>2653</v>
      </c>
      <c r="C2560" t="s">
        <v>106</v>
      </c>
      <c r="D2560" t="s">
        <v>8</v>
      </c>
      <c r="E2560" t="s">
        <v>17</v>
      </c>
      <c r="F2560" t="s">
        <v>10</v>
      </c>
      <c r="G2560" t="s">
        <v>54</v>
      </c>
      <c r="H2560">
        <v>2024</v>
      </c>
      <c r="I2560">
        <v>934</v>
      </c>
      <c r="J2560">
        <v>8.9</v>
      </c>
      <c r="K2560" t="s">
        <v>23</v>
      </c>
      <c r="L2560">
        <v>6.2</v>
      </c>
      <c r="M2560">
        <v>7</v>
      </c>
      <c r="N2560">
        <v>395</v>
      </c>
      <c r="O2560" t="s">
        <v>64</v>
      </c>
      <c r="P2560">
        <v>10.9</v>
      </c>
      <c r="Q2560" t="s">
        <v>56</v>
      </c>
      <c r="R2560">
        <v>73.5</v>
      </c>
      <c r="S2560">
        <v>32.6</v>
      </c>
      <c r="T2560">
        <v>7.2</v>
      </c>
      <c r="U2560">
        <v>4.7</v>
      </c>
      <c r="V2560">
        <v>7.1</v>
      </c>
      <c r="W2560">
        <v>6.2</v>
      </c>
      <c r="X2560" t="s">
        <v>57</v>
      </c>
    </row>
    <row r="2561" spans="2:24" x14ac:dyDescent="0.3">
      <c r="B2561" t="s">
        <v>2654</v>
      </c>
      <c r="C2561" t="s">
        <v>90</v>
      </c>
      <c r="D2561" t="s">
        <v>5</v>
      </c>
      <c r="E2561" t="s">
        <v>16</v>
      </c>
      <c r="F2561" t="s">
        <v>11</v>
      </c>
      <c r="G2561" t="s">
        <v>98</v>
      </c>
      <c r="H2561">
        <v>2024</v>
      </c>
      <c r="I2561">
        <v>1855</v>
      </c>
      <c r="J2561">
        <v>4.2</v>
      </c>
      <c r="K2561" t="s">
        <v>22</v>
      </c>
      <c r="L2561">
        <v>5.3</v>
      </c>
      <c r="M2561">
        <v>1.8</v>
      </c>
      <c r="N2561">
        <v>5852</v>
      </c>
      <c r="O2561" t="s">
        <v>55</v>
      </c>
      <c r="P2561">
        <v>59.7</v>
      </c>
      <c r="Q2561" t="s">
        <v>125</v>
      </c>
      <c r="R2561">
        <v>63</v>
      </c>
      <c r="S2561">
        <v>-22.3</v>
      </c>
      <c r="T2561">
        <v>-13.8</v>
      </c>
      <c r="U2561">
        <v>4</v>
      </c>
      <c r="V2561">
        <v>6.2</v>
      </c>
      <c r="W2561">
        <v>6.5</v>
      </c>
      <c r="X2561" t="s">
        <v>57</v>
      </c>
    </row>
    <row r="2562" spans="2:24" x14ac:dyDescent="0.3">
      <c r="B2562" t="s">
        <v>2655</v>
      </c>
      <c r="C2562" t="s">
        <v>53</v>
      </c>
      <c r="D2562" t="s">
        <v>4</v>
      </c>
      <c r="E2562" t="s">
        <v>17</v>
      </c>
      <c r="F2562" t="s">
        <v>12</v>
      </c>
      <c r="G2562" t="s">
        <v>101</v>
      </c>
      <c r="H2562">
        <v>2026</v>
      </c>
      <c r="I2562">
        <v>1906</v>
      </c>
      <c r="J2562">
        <v>10.7</v>
      </c>
      <c r="K2562" t="s">
        <v>23</v>
      </c>
      <c r="L2562">
        <v>3.2</v>
      </c>
      <c r="M2562">
        <v>4.5</v>
      </c>
      <c r="N2562">
        <v>1651</v>
      </c>
      <c r="O2562" t="s">
        <v>64</v>
      </c>
      <c r="P2562">
        <v>32.1</v>
      </c>
      <c r="Q2562" t="s">
        <v>79</v>
      </c>
      <c r="R2562">
        <v>-35</v>
      </c>
      <c r="S2562">
        <v>-12</v>
      </c>
      <c r="T2562">
        <v>-5.3</v>
      </c>
      <c r="U2562">
        <v>5.0999999999999996</v>
      </c>
      <c r="V2562">
        <v>5.8</v>
      </c>
      <c r="W2562">
        <v>4.9000000000000004</v>
      </c>
      <c r="X2562" t="s">
        <v>116</v>
      </c>
    </row>
    <row r="2563" spans="2:24" x14ac:dyDescent="0.3">
      <c r="B2563" t="s">
        <v>2656</v>
      </c>
      <c r="C2563" t="s">
        <v>27</v>
      </c>
      <c r="D2563" t="s">
        <v>3</v>
      </c>
      <c r="E2563" t="s">
        <v>16</v>
      </c>
      <c r="F2563" t="s">
        <v>12</v>
      </c>
      <c r="G2563" t="s">
        <v>112</v>
      </c>
      <c r="H2563">
        <v>2025</v>
      </c>
      <c r="I2563">
        <v>2473</v>
      </c>
      <c r="J2563">
        <v>6.5</v>
      </c>
      <c r="K2563" t="s">
        <v>21</v>
      </c>
      <c r="L2563">
        <v>2.8</v>
      </c>
      <c r="M2563">
        <v>7</v>
      </c>
      <c r="N2563">
        <v>5642</v>
      </c>
      <c r="O2563" t="s">
        <v>55</v>
      </c>
      <c r="P2563">
        <v>71.599999999999994</v>
      </c>
      <c r="Q2563" t="s">
        <v>125</v>
      </c>
      <c r="R2563">
        <v>-15.9</v>
      </c>
      <c r="S2563">
        <v>6.3</v>
      </c>
      <c r="T2563">
        <v>5.7</v>
      </c>
      <c r="U2563">
        <v>4.2</v>
      </c>
      <c r="V2563">
        <v>6.8</v>
      </c>
      <c r="W2563">
        <v>6.1</v>
      </c>
      <c r="X2563" t="s">
        <v>57</v>
      </c>
    </row>
    <row r="2564" spans="2:24" x14ac:dyDescent="0.3">
      <c r="B2564" t="s">
        <v>2657</v>
      </c>
      <c r="C2564" t="s">
        <v>142</v>
      </c>
      <c r="D2564" t="s">
        <v>8</v>
      </c>
      <c r="E2564" t="s">
        <v>19</v>
      </c>
      <c r="F2564" t="s">
        <v>12</v>
      </c>
      <c r="G2564" t="s">
        <v>74</v>
      </c>
      <c r="H2564">
        <v>2024</v>
      </c>
      <c r="I2564">
        <v>6069</v>
      </c>
      <c r="J2564">
        <v>36.200000000000003</v>
      </c>
      <c r="K2564" t="s">
        <v>23</v>
      </c>
      <c r="L2564">
        <v>13</v>
      </c>
      <c r="M2564">
        <v>10</v>
      </c>
      <c r="N2564">
        <v>1212</v>
      </c>
      <c r="O2564" t="s">
        <v>75</v>
      </c>
      <c r="P2564">
        <v>24.7</v>
      </c>
      <c r="Q2564" t="s">
        <v>79</v>
      </c>
      <c r="R2564">
        <v>56.4</v>
      </c>
      <c r="S2564">
        <v>37</v>
      </c>
      <c r="T2564">
        <v>16.600000000000001</v>
      </c>
      <c r="U2564">
        <v>10</v>
      </c>
      <c r="V2564">
        <v>7.1</v>
      </c>
      <c r="W2564">
        <v>2.9</v>
      </c>
      <c r="X2564" t="s">
        <v>66</v>
      </c>
    </row>
    <row r="2565" spans="2:24" x14ac:dyDescent="0.3">
      <c r="B2565" t="s">
        <v>2658</v>
      </c>
      <c r="C2565" t="s">
        <v>27</v>
      </c>
      <c r="D2565" t="s">
        <v>2</v>
      </c>
      <c r="E2565" t="s">
        <v>16</v>
      </c>
      <c r="F2565" t="s">
        <v>11</v>
      </c>
      <c r="G2565" t="s">
        <v>131</v>
      </c>
      <c r="H2565">
        <v>2024</v>
      </c>
      <c r="I2565">
        <v>2327</v>
      </c>
      <c r="J2565">
        <v>6.4</v>
      </c>
      <c r="K2565" t="s">
        <v>25</v>
      </c>
      <c r="L2565">
        <v>5.4</v>
      </c>
      <c r="M2565">
        <v>9.1</v>
      </c>
      <c r="N2565">
        <v>3600</v>
      </c>
      <c r="O2565" t="s">
        <v>55</v>
      </c>
      <c r="P2565">
        <v>75.7</v>
      </c>
      <c r="Q2565" t="s">
        <v>76</v>
      </c>
      <c r="R2565">
        <v>-21.6</v>
      </c>
      <c r="S2565">
        <v>55</v>
      </c>
      <c r="T2565">
        <v>15.1</v>
      </c>
      <c r="U2565">
        <v>7.6</v>
      </c>
      <c r="V2565">
        <v>8.4</v>
      </c>
      <c r="W2565">
        <v>6.9</v>
      </c>
      <c r="X2565" t="s">
        <v>57</v>
      </c>
    </row>
    <row r="2566" spans="2:24" x14ac:dyDescent="0.3">
      <c r="B2566" t="s">
        <v>2659</v>
      </c>
      <c r="C2566" t="s">
        <v>142</v>
      </c>
      <c r="D2566" t="s">
        <v>2</v>
      </c>
      <c r="E2566" t="s">
        <v>17</v>
      </c>
      <c r="F2566" t="s">
        <v>12</v>
      </c>
      <c r="G2566" t="s">
        <v>104</v>
      </c>
      <c r="H2566">
        <v>2024</v>
      </c>
      <c r="I2566">
        <v>2305</v>
      </c>
      <c r="J2566">
        <v>3.7</v>
      </c>
      <c r="K2566" t="s">
        <v>25</v>
      </c>
      <c r="L2566">
        <v>12.6</v>
      </c>
      <c r="M2566">
        <v>6.5</v>
      </c>
      <c r="N2566">
        <v>1541</v>
      </c>
      <c r="O2566" t="s">
        <v>55</v>
      </c>
      <c r="P2566">
        <v>60.8</v>
      </c>
      <c r="Q2566" t="s">
        <v>56</v>
      </c>
      <c r="R2566">
        <v>36.700000000000003</v>
      </c>
      <c r="S2566">
        <v>51.6</v>
      </c>
      <c r="T2566">
        <v>18.2</v>
      </c>
      <c r="U2566">
        <v>7.5</v>
      </c>
      <c r="V2566">
        <v>7.4</v>
      </c>
      <c r="W2566">
        <v>8.5</v>
      </c>
      <c r="X2566" t="s">
        <v>57</v>
      </c>
    </row>
    <row r="2567" spans="2:24" x14ac:dyDescent="0.3">
      <c r="B2567" t="s">
        <v>2660</v>
      </c>
      <c r="C2567" t="s">
        <v>142</v>
      </c>
      <c r="D2567" t="s">
        <v>8</v>
      </c>
      <c r="E2567" t="s">
        <v>18</v>
      </c>
      <c r="F2567" t="s">
        <v>10</v>
      </c>
      <c r="G2567" t="s">
        <v>98</v>
      </c>
      <c r="H2567">
        <v>2026</v>
      </c>
      <c r="I2567">
        <v>16679</v>
      </c>
      <c r="J2567">
        <v>37.4</v>
      </c>
      <c r="K2567" t="s">
        <v>21</v>
      </c>
      <c r="L2567">
        <v>1.5</v>
      </c>
      <c r="M2567">
        <v>10</v>
      </c>
      <c r="N2567">
        <v>1848</v>
      </c>
      <c r="O2567" t="s">
        <v>75</v>
      </c>
      <c r="P2567">
        <v>76.3</v>
      </c>
      <c r="Q2567" t="s">
        <v>56</v>
      </c>
      <c r="R2567">
        <v>0.8</v>
      </c>
      <c r="S2567">
        <v>-4.4000000000000004</v>
      </c>
      <c r="T2567">
        <v>-5.5</v>
      </c>
      <c r="U2567">
        <v>1.5</v>
      </c>
      <c r="V2567">
        <v>5.5</v>
      </c>
      <c r="W2567">
        <v>1.5</v>
      </c>
      <c r="X2567" t="s">
        <v>66</v>
      </c>
    </row>
    <row r="2568" spans="2:24" x14ac:dyDescent="0.3">
      <c r="B2568" t="s">
        <v>2661</v>
      </c>
      <c r="C2568" t="s">
        <v>159</v>
      </c>
      <c r="D2568" t="s">
        <v>2</v>
      </c>
      <c r="E2568" t="s">
        <v>19</v>
      </c>
      <c r="F2568" t="s">
        <v>11</v>
      </c>
      <c r="G2568" t="s">
        <v>98</v>
      </c>
      <c r="H2568">
        <v>2026</v>
      </c>
      <c r="I2568">
        <v>3145</v>
      </c>
      <c r="J2568">
        <v>12.4</v>
      </c>
      <c r="K2568" t="s">
        <v>23</v>
      </c>
      <c r="L2568">
        <v>2.8</v>
      </c>
      <c r="M2568">
        <v>2.6</v>
      </c>
      <c r="N2568">
        <v>6258</v>
      </c>
      <c r="O2568" t="s">
        <v>55</v>
      </c>
      <c r="P2568">
        <v>73.8</v>
      </c>
      <c r="Q2568" t="s">
        <v>76</v>
      </c>
      <c r="R2568">
        <v>76.400000000000006</v>
      </c>
      <c r="S2568">
        <v>2.7</v>
      </c>
      <c r="T2568">
        <v>-7.1</v>
      </c>
      <c r="U2568">
        <v>2.4</v>
      </c>
      <c r="V2568">
        <v>4.8</v>
      </c>
      <c r="W2568">
        <v>6.7</v>
      </c>
      <c r="X2568" t="s">
        <v>116</v>
      </c>
    </row>
    <row r="2569" spans="2:24" x14ac:dyDescent="0.3">
      <c r="B2569" t="s">
        <v>2662</v>
      </c>
      <c r="C2569" t="s">
        <v>71</v>
      </c>
      <c r="D2569" t="s">
        <v>6</v>
      </c>
      <c r="E2569" t="s">
        <v>19</v>
      </c>
      <c r="F2569" t="s">
        <v>12</v>
      </c>
      <c r="G2569" t="s">
        <v>74</v>
      </c>
      <c r="H2569">
        <v>2025</v>
      </c>
      <c r="I2569">
        <v>1196</v>
      </c>
      <c r="J2569">
        <v>6.5</v>
      </c>
      <c r="K2569" t="s">
        <v>23</v>
      </c>
      <c r="L2569">
        <v>6.2</v>
      </c>
      <c r="M2569">
        <v>8.9</v>
      </c>
      <c r="N2569">
        <v>5805</v>
      </c>
      <c r="O2569" t="s">
        <v>55</v>
      </c>
      <c r="P2569">
        <v>89.6</v>
      </c>
      <c r="Q2569" t="s">
        <v>79</v>
      </c>
      <c r="R2569">
        <v>29.4</v>
      </c>
      <c r="S2569">
        <v>23.9</v>
      </c>
      <c r="T2569">
        <v>19.399999999999999</v>
      </c>
      <c r="U2569">
        <v>8.5</v>
      </c>
      <c r="V2569">
        <v>7.5</v>
      </c>
      <c r="W2569">
        <v>5.5</v>
      </c>
      <c r="X2569" t="s">
        <v>57</v>
      </c>
    </row>
    <row r="2570" spans="2:24" x14ac:dyDescent="0.3">
      <c r="B2570" t="s">
        <v>2663</v>
      </c>
      <c r="C2570" t="s">
        <v>139</v>
      </c>
      <c r="D2570" t="s">
        <v>8</v>
      </c>
      <c r="E2570" t="s">
        <v>14</v>
      </c>
      <c r="F2570" t="s">
        <v>10</v>
      </c>
      <c r="G2570" t="s">
        <v>104</v>
      </c>
      <c r="H2570">
        <v>2025</v>
      </c>
      <c r="I2570">
        <v>2182</v>
      </c>
      <c r="J2570">
        <v>3.9</v>
      </c>
      <c r="K2570" t="s">
        <v>23</v>
      </c>
      <c r="L2570">
        <v>9.1999999999999993</v>
      </c>
      <c r="M2570">
        <v>9.1999999999999993</v>
      </c>
      <c r="N2570">
        <v>4203</v>
      </c>
      <c r="O2570" t="s">
        <v>55</v>
      </c>
      <c r="P2570">
        <v>73.900000000000006</v>
      </c>
      <c r="Q2570" t="s">
        <v>65</v>
      </c>
      <c r="R2570">
        <v>30.9</v>
      </c>
      <c r="S2570">
        <v>-8</v>
      </c>
      <c r="T2570">
        <v>1.6</v>
      </c>
      <c r="U2570">
        <v>7.1</v>
      </c>
      <c r="V2570">
        <v>4.5</v>
      </c>
      <c r="W2570">
        <v>4.5999999999999996</v>
      </c>
      <c r="X2570" t="s">
        <v>57</v>
      </c>
    </row>
    <row r="2571" spans="2:24" x14ac:dyDescent="0.3">
      <c r="B2571" t="s">
        <v>2664</v>
      </c>
      <c r="C2571" t="s">
        <v>68</v>
      </c>
      <c r="D2571" t="s">
        <v>8</v>
      </c>
      <c r="E2571" t="s">
        <v>19</v>
      </c>
      <c r="F2571" t="s">
        <v>9</v>
      </c>
      <c r="G2571" t="s">
        <v>115</v>
      </c>
      <c r="H2571">
        <v>2025</v>
      </c>
      <c r="I2571">
        <v>19072</v>
      </c>
      <c r="J2571">
        <v>23.3</v>
      </c>
      <c r="K2571" t="s">
        <v>25</v>
      </c>
      <c r="L2571">
        <v>6.3</v>
      </c>
      <c r="M2571">
        <v>10</v>
      </c>
      <c r="N2571">
        <v>1400</v>
      </c>
      <c r="O2571" t="s">
        <v>75</v>
      </c>
      <c r="P2571">
        <v>67.3</v>
      </c>
      <c r="Q2571" t="s">
        <v>65</v>
      </c>
      <c r="R2571">
        <v>48</v>
      </c>
      <c r="S2571">
        <v>22.8</v>
      </c>
      <c r="T2571">
        <v>15.2</v>
      </c>
      <c r="U2571">
        <v>7.3</v>
      </c>
      <c r="V2571">
        <v>4.7</v>
      </c>
      <c r="W2571">
        <v>3.8</v>
      </c>
      <c r="X2571" t="s">
        <v>66</v>
      </c>
    </row>
    <row r="2572" spans="2:24" x14ac:dyDescent="0.3">
      <c r="B2572" t="s">
        <v>2665</v>
      </c>
      <c r="C2572" t="s">
        <v>106</v>
      </c>
      <c r="D2572" t="s">
        <v>2</v>
      </c>
      <c r="E2572" t="s">
        <v>14</v>
      </c>
      <c r="F2572" t="s">
        <v>12</v>
      </c>
      <c r="G2572" t="s">
        <v>63</v>
      </c>
      <c r="H2572">
        <v>2025</v>
      </c>
      <c r="I2572">
        <v>6896</v>
      </c>
      <c r="J2572">
        <v>4.2</v>
      </c>
      <c r="K2572" t="s">
        <v>22</v>
      </c>
      <c r="L2572">
        <v>5.5</v>
      </c>
      <c r="M2572">
        <v>7.8</v>
      </c>
      <c r="N2572">
        <v>1633</v>
      </c>
      <c r="O2572" t="s">
        <v>64</v>
      </c>
      <c r="P2572">
        <v>58</v>
      </c>
      <c r="Q2572" t="s">
        <v>76</v>
      </c>
      <c r="R2572">
        <v>37.5</v>
      </c>
      <c r="S2572">
        <v>0.7</v>
      </c>
      <c r="T2572">
        <v>-6.1</v>
      </c>
      <c r="U2572">
        <v>5.3</v>
      </c>
      <c r="V2572">
        <v>5.9</v>
      </c>
      <c r="W2572">
        <v>6.7</v>
      </c>
      <c r="X2572" t="s">
        <v>116</v>
      </c>
    </row>
    <row r="2573" spans="2:24" x14ac:dyDescent="0.3">
      <c r="B2573" t="s">
        <v>2666</v>
      </c>
      <c r="C2573" t="s">
        <v>90</v>
      </c>
      <c r="D2573" t="s">
        <v>6</v>
      </c>
      <c r="E2573" t="s">
        <v>16</v>
      </c>
      <c r="F2573" t="s">
        <v>9</v>
      </c>
      <c r="G2573" t="s">
        <v>78</v>
      </c>
      <c r="H2573">
        <v>2024</v>
      </c>
      <c r="I2573">
        <v>6879</v>
      </c>
      <c r="J2573">
        <v>16.8</v>
      </c>
      <c r="K2573" t="s">
        <v>24</v>
      </c>
      <c r="L2573">
        <v>1.9</v>
      </c>
      <c r="M2573">
        <v>4.4000000000000004</v>
      </c>
      <c r="N2573">
        <v>4678</v>
      </c>
      <c r="O2573" t="s">
        <v>64</v>
      </c>
      <c r="P2573">
        <v>42.5</v>
      </c>
      <c r="Q2573" t="s">
        <v>56</v>
      </c>
      <c r="R2573">
        <v>8.5</v>
      </c>
      <c r="S2573">
        <v>37.799999999999997</v>
      </c>
      <c r="T2573">
        <v>12.9</v>
      </c>
      <c r="U2573">
        <v>1.9</v>
      </c>
      <c r="V2573">
        <v>6.1</v>
      </c>
      <c r="W2573">
        <v>6.6</v>
      </c>
      <c r="X2573" t="s">
        <v>116</v>
      </c>
    </row>
    <row r="2574" spans="2:24" x14ac:dyDescent="0.3">
      <c r="B2574" t="s">
        <v>2667</v>
      </c>
      <c r="C2574" t="s">
        <v>53</v>
      </c>
      <c r="D2574" t="s">
        <v>7</v>
      </c>
      <c r="E2574" t="s">
        <v>14</v>
      </c>
      <c r="F2574" t="s">
        <v>12</v>
      </c>
      <c r="G2574" t="s">
        <v>78</v>
      </c>
      <c r="H2574">
        <v>2025</v>
      </c>
      <c r="I2574">
        <v>15633</v>
      </c>
      <c r="J2574">
        <v>25.2</v>
      </c>
      <c r="K2574" t="s">
        <v>24</v>
      </c>
      <c r="L2574">
        <v>4.5</v>
      </c>
      <c r="M2574">
        <v>10</v>
      </c>
      <c r="N2574">
        <v>1467</v>
      </c>
      <c r="O2574" t="s">
        <v>75</v>
      </c>
      <c r="P2574">
        <v>87.7</v>
      </c>
      <c r="Q2574" t="s">
        <v>86</v>
      </c>
      <c r="R2574">
        <v>-33.5</v>
      </c>
      <c r="S2574">
        <v>31.8</v>
      </c>
      <c r="T2574">
        <v>2.6</v>
      </c>
      <c r="U2574">
        <v>4.8</v>
      </c>
      <c r="V2574">
        <v>5.7</v>
      </c>
      <c r="W2574">
        <v>3.4</v>
      </c>
      <c r="X2574" t="s">
        <v>66</v>
      </c>
    </row>
    <row r="2575" spans="2:24" x14ac:dyDescent="0.3">
      <c r="B2575" t="s">
        <v>2668</v>
      </c>
      <c r="C2575" t="s">
        <v>59</v>
      </c>
      <c r="D2575" t="s">
        <v>4</v>
      </c>
      <c r="E2575" t="s">
        <v>15</v>
      </c>
      <c r="F2575" t="s">
        <v>11</v>
      </c>
      <c r="G2575" t="s">
        <v>54</v>
      </c>
      <c r="H2575">
        <v>2026</v>
      </c>
      <c r="I2575">
        <v>14027</v>
      </c>
      <c r="J2575">
        <v>32.1</v>
      </c>
      <c r="K2575" t="s">
        <v>24</v>
      </c>
      <c r="L2575">
        <v>4.8</v>
      </c>
      <c r="M2575">
        <v>10</v>
      </c>
      <c r="N2575">
        <v>627</v>
      </c>
      <c r="O2575" t="s">
        <v>75</v>
      </c>
      <c r="P2575">
        <v>79.8</v>
      </c>
      <c r="Q2575" t="s">
        <v>88</v>
      </c>
      <c r="R2575">
        <v>80.2</v>
      </c>
      <c r="S2575">
        <v>-18.100000000000001</v>
      </c>
      <c r="T2575">
        <v>-18.600000000000001</v>
      </c>
      <c r="U2575">
        <v>5.0999999999999996</v>
      </c>
      <c r="V2575">
        <v>5.6</v>
      </c>
      <c r="W2575">
        <v>1.4</v>
      </c>
      <c r="X2575" t="s">
        <v>66</v>
      </c>
    </row>
    <row r="2576" spans="2:24" x14ac:dyDescent="0.3">
      <c r="B2576" t="s">
        <v>2669</v>
      </c>
      <c r="C2576" t="s">
        <v>53</v>
      </c>
      <c r="D2576" t="s">
        <v>4</v>
      </c>
      <c r="E2576" t="s">
        <v>18</v>
      </c>
      <c r="F2576" t="s">
        <v>12</v>
      </c>
      <c r="G2576" t="s">
        <v>60</v>
      </c>
      <c r="H2576">
        <v>2024</v>
      </c>
      <c r="I2576">
        <v>6329</v>
      </c>
      <c r="J2576">
        <v>12.3</v>
      </c>
      <c r="K2576" t="s">
        <v>22</v>
      </c>
      <c r="L2576">
        <v>5.9</v>
      </c>
      <c r="M2576">
        <v>10</v>
      </c>
      <c r="N2576">
        <v>2846</v>
      </c>
      <c r="O2576" t="s">
        <v>55</v>
      </c>
      <c r="P2576">
        <v>66.400000000000006</v>
      </c>
      <c r="Q2576" t="s">
        <v>76</v>
      </c>
      <c r="R2576">
        <v>-25.9</v>
      </c>
      <c r="S2576">
        <v>-18</v>
      </c>
      <c r="T2576">
        <v>-3.5</v>
      </c>
      <c r="U2576">
        <v>9.6999999999999993</v>
      </c>
      <c r="V2576">
        <v>4.5</v>
      </c>
      <c r="W2576">
        <v>3.9</v>
      </c>
      <c r="X2576" t="s">
        <v>116</v>
      </c>
    </row>
    <row r="2577" spans="2:24" x14ac:dyDescent="0.3">
      <c r="B2577" t="s">
        <v>2670</v>
      </c>
      <c r="C2577" t="s">
        <v>106</v>
      </c>
      <c r="D2577" t="s">
        <v>8</v>
      </c>
      <c r="E2577" t="s">
        <v>16</v>
      </c>
      <c r="F2577" t="s">
        <v>12</v>
      </c>
      <c r="G2577" t="s">
        <v>74</v>
      </c>
      <c r="H2577">
        <v>2024</v>
      </c>
      <c r="I2577">
        <v>1861</v>
      </c>
      <c r="J2577">
        <v>18.5</v>
      </c>
      <c r="K2577" t="s">
        <v>23</v>
      </c>
      <c r="L2577">
        <v>5.3</v>
      </c>
      <c r="M2577">
        <v>10</v>
      </c>
      <c r="N2577">
        <v>1926</v>
      </c>
      <c r="O2577" t="s">
        <v>64</v>
      </c>
      <c r="P2577">
        <v>61.5</v>
      </c>
      <c r="Q2577" t="s">
        <v>86</v>
      </c>
      <c r="R2577">
        <v>15.3</v>
      </c>
      <c r="S2577">
        <v>43.9</v>
      </c>
      <c r="T2577">
        <v>25.8</v>
      </c>
      <c r="U2577">
        <v>8.1</v>
      </c>
      <c r="V2577">
        <v>5.3</v>
      </c>
      <c r="W2577">
        <v>5.9</v>
      </c>
      <c r="X2577" t="s">
        <v>66</v>
      </c>
    </row>
    <row r="2578" spans="2:24" x14ac:dyDescent="0.3">
      <c r="B2578" t="s">
        <v>2671</v>
      </c>
      <c r="C2578" t="s">
        <v>73</v>
      </c>
      <c r="D2578" t="s">
        <v>2</v>
      </c>
      <c r="E2578" t="s">
        <v>15</v>
      </c>
      <c r="F2578" t="s">
        <v>12</v>
      </c>
      <c r="G2578" t="s">
        <v>60</v>
      </c>
      <c r="H2578">
        <v>2026</v>
      </c>
      <c r="I2578">
        <v>6429</v>
      </c>
      <c r="J2578">
        <v>12.5</v>
      </c>
      <c r="K2578" t="s">
        <v>23</v>
      </c>
      <c r="L2578">
        <v>4.8</v>
      </c>
      <c r="M2578">
        <v>10</v>
      </c>
      <c r="N2578">
        <v>9441</v>
      </c>
      <c r="O2578" t="s">
        <v>55</v>
      </c>
      <c r="P2578">
        <v>59.3</v>
      </c>
      <c r="Q2578" t="s">
        <v>76</v>
      </c>
      <c r="R2578">
        <v>-40</v>
      </c>
      <c r="S2578">
        <v>-6.4</v>
      </c>
      <c r="T2578">
        <v>-5.6</v>
      </c>
      <c r="U2578">
        <v>6.3</v>
      </c>
      <c r="V2578">
        <v>4.4000000000000004</v>
      </c>
      <c r="W2578">
        <v>5.0999999999999996</v>
      </c>
      <c r="X2578" t="s">
        <v>116</v>
      </c>
    </row>
    <row r="2579" spans="2:24" x14ac:dyDescent="0.3">
      <c r="B2579" t="s">
        <v>2672</v>
      </c>
      <c r="C2579" t="s">
        <v>83</v>
      </c>
      <c r="D2579" t="s">
        <v>4</v>
      </c>
      <c r="E2579" t="s">
        <v>17</v>
      </c>
      <c r="F2579" t="s">
        <v>11</v>
      </c>
      <c r="G2579" t="s">
        <v>54</v>
      </c>
      <c r="H2579">
        <v>2025</v>
      </c>
      <c r="I2579">
        <v>10934</v>
      </c>
      <c r="J2579">
        <v>26.9</v>
      </c>
      <c r="K2579" t="s">
        <v>25</v>
      </c>
      <c r="L2579">
        <v>5.8</v>
      </c>
      <c r="M2579">
        <v>10</v>
      </c>
      <c r="N2579">
        <v>156</v>
      </c>
      <c r="O2579" t="s">
        <v>75</v>
      </c>
      <c r="P2579">
        <v>17.100000000000001</v>
      </c>
      <c r="Q2579" t="s">
        <v>88</v>
      </c>
      <c r="R2579">
        <v>62.6</v>
      </c>
      <c r="S2579">
        <v>19.2</v>
      </c>
      <c r="T2579">
        <v>7.7</v>
      </c>
      <c r="U2579">
        <v>8.1999999999999993</v>
      </c>
      <c r="V2579">
        <v>5.0999999999999996</v>
      </c>
      <c r="W2579">
        <v>3.7</v>
      </c>
      <c r="X2579" t="s">
        <v>66</v>
      </c>
    </row>
    <row r="2580" spans="2:24" x14ac:dyDescent="0.3">
      <c r="B2580" t="s">
        <v>2673</v>
      </c>
      <c r="C2580" t="s">
        <v>27</v>
      </c>
      <c r="D2580" t="s">
        <v>3</v>
      </c>
      <c r="E2580" t="s">
        <v>16</v>
      </c>
      <c r="F2580" t="s">
        <v>10</v>
      </c>
      <c r="G2580" t="s">
        <v>104</v>
      </c>
      <c r="H2580">
        <v>2026</v>
      </c>
      <c r="I2580">
        <v>6848</v>
      </c>
      <c r="J2580">
        <v>4.3</v>
      </c>
      <c r="K2580" t="s">
        <v>22</v>
      </c>
      <c r="L2580">
        <v>4.2</v>
      </c>
      <c r="M2580">
        <v>1.9</v>
      </c>
      <c r="N2580">
        <v>4653</v>
      </c>
      <c r="O2580" t="s">
        <v>55</v>
      </c>
      <c r="P2580">
        <v>11.7</v>
      </c>
      <c r="Q2580" t="s">
        <v>86</v>
      </c>
      <c r="R2580">
        <v>5.7</v>
      </c>
      <c r="S2580">
        <v>41.2</v>
      </c>
      <c r="T2580">
        <v>19.899999999999999</v>
      </c>
      <c r="U2580">
        <v>3.3</v>
      </c>
      <c r="V2580">
        <v>6.7</v>
      </c>
      <c r="W2580">
        <v>8.1999999999999993</v>
      </c>
      <c r="X2580" t="s">
        <v>116</v>
      </c>
    </row>
    <row r="2581" spans="2:24" x14ac:dyDescent="0.3">
      <c r="B2581" t="s">
        <v>2674</v>
      </c>
      <c r="C2581" t="s">
        <v>53</v>
      </c>
      <c r="D2581" t="s">
        <v>7</v>
      </c>
      <c r="E2581" t="s">
        <v>15</v>
      </c>
      <c r="F2581" t="s">
        <v>12</v>
      </c>
      <c r="G2581" t="s">
        <v>115</v>
      </c>
      <c r="H2581">
        <v>2024</v>
      </c>
      <c r="I2581">
        <v>1629</v>
      </c>
      <c r="J2581">
        <v>4.5999999999999996</v>
      </c>
      <c r="K2581" t="s">
        <v>21</v>
      </c>
      <c r="L2581">
        <v>6.4</v>
      </c>
      <c r="M2581">
        <v>8.1999999999999993</v>
      </c>
      <c r="N2581">
        <v>5700</v>
      </c>
      <c r="O2581" t="s">
        <v>55</v>
      </c>
      <c r="P2581">
        <v>50.7</v>
      </c>
      <c r="Q2581" t="s">
        <v>86</v>
      </c>
      <c r="R2581">
        <v>-43.8</v>
      </c>
      <c r="S2581">
        <v>9.3000000000000007</v>
      </c>
      <c r="T2581">
        <v>11.7</v>
      </c>
      <c r="U2581">
        <v>3.9</v>
      </c>
      <c r="V2581">
        <v>8</v>
      </c>
      <c r="W2581">
        <v>6.2</v>
      </c>
      <c r="X2581" t="s">
        <v>57</v>
      </c>
    </row>
    <row r="2582" spans="2:24" x14ac:dyDescent="0.3">
      <c r="B2582" t="s">
        <v>2675</v>
      </c>
      <c r="C2582" t="s">
        <v>106</v>
      </c>
      <c r="D2582" t="s">
        <v>2</v>
      </c>
      <c r="E2582" t="s">
        <v>16</v>
      </c>
      <c r="F2582" t="s">
        <v>11</v>
      </c>
      <c r="G2582" t="s">
        <v>78</v>
      </c>
      <c r="H2582">
        <v>2025</v>
      </c>
      <c r="I2582">
        <v>6566</v>
      </c>
      <c r="J2582">
        <v>12.1</v>
      </c>
      <c r="K2582" t="s">
        <v>21</v>
      </c>
      <c r="L2582">
        <v>11.8</v>
      </c>
      <c r="M2582">
        <v>10</v>
      </c>
      <c r="N2582">
        <v>8864</v>
      </c>
      <c r="O2582" t="s">
        <v>55</v>
      </c>
      <c r="P2582">
        <v>36.799999999999997</v>
      </c>
      <c r="Q2582" t="s">
        <v>76</v>
      </c>
      <c r="R2582">
        <v>-8.5</v>
      </c>
      <c r="S2582">
        <v>-3.2</v>
      </c>
      <c r="T2582">
        <v>-0.8</v>
      </c>
      <c r="U2582">
        <v>7.3</v>
      </c>
      <c r="V2582">
        <v>7.9</v>
      </c>
      <c r="W2582">
        <v>4.7</v>
      </c>
      <c r="X2582" t="s">
        <v>116</v>
      </c>
    </row>
    <row r="2583" spans="2:24" x14ac:dyDescent="0.3">
      <c r="B2583" t="s">
        <v>2676</v>
      </c>
      <c r="C2583" t="s">
        <v>92</v>
      </c>
      <c r="D2583" t="s">
        <v>7</v>
      </c>
      <c r="E2583" t="s">
        <v>16</v>
      </c>
      <c r="F2583" t="s">
        <v>12</v>
      </c>
      <c r="G2583" t="s">
        <v>115</v>
      </c>
      <c r="H2583">
        <v>2025</v>
      </c>
      <c r="I2583">
        <v>2301</v>
      </c>
      <c r="J2583">
        <v>7</v>
      </c>
      <c r="K2583" t="s">
        <v>22</v>
      </c>
      <c r="L2583">
        <v>6.8</v>
      </c>
      <c r="M2583">
        <v>10</v>
      </c>
      <c r="N2583">
        <v>4850</v>
      </c>
      <c r="O2583" t="s">
        <v>55</v>
      </c>
      <c r="P2583">
        <v>22.4</v>
      </c>
      <c r="Q2583" t="s">
        <v>88</v>
      </c>
      <c r="R2583">
        <v>6.5</v>
      </c>
      <c r="S2583">
        <v>-14.6</v>
      </c>
      <c r="T2583">
        <v>-12.3</v>
      </c>
      <c r="U2583">
        <v>9.6999999999999993</v>
      </c>
      <c r="V2583">
        <v>7</v>
      </c>
      <c r="W2583">
        <v>4.2</v>
      </c>
      <c r="X2583" t="s">
        <v>57</v>
      </c>
    </row>
    <row r="2584" spans="2:24" x14ac:dyDescent="0.3">
      <c r="B2584" t="s">
        <v>2677</v>
      </c>
      <c r="C2584" t="s">
        <v>73</v>
      </c>
      <c r="D2584" t="s">
        <v>2</v>
      </c>
      <c r="E2584" t="s">
        <v>17</v>
      </c>
      <c r="F2584" t="s">
        <v>9</v>
      </c>
      <c r="G2584" t="s">
        <v>60</v>
      </c>
      <c r="H2584">
        <v>2024</v>
      </c>
      <c r="I2584">
        <v>1126</v>
      </c>
      <c r="J2584">
        <v>17.2</v>
      </c>
      <c r="K2584" t="s">
        <v>25</v>
      </c>
      <c r="L2584">
        <v>8.4</v>
      </c>
      <c r="M2584">
        <v>7.8</v>
      </c>
      <c r="N2584">
        <v>3042</v>
      </c>
      <c r="O2584" t="s">
        <v>64</v>
      </c>
      <c r="P2584">
        <v>87.1</v>
      </c>
      <c r="Q2584" t="s">
        <v>76</v>
      </c>
      <c r="R2584">
        <v>-43.7</v>
      </c>
      <c r="S2584">
        <v>-16.5</v>
      </c>
      <c r="T2584">
        <v>0</v>
      </c>
      <c r="U2584">
        <v>6.1</v>
      </c>
      <c r="V2584">
        <v>5.8</v>
      </c>
      <c r="W2584">
        <v>3.3</v>
      </c>
      <c r="X2584" t="s">
        <v>66</v>
      </c>
    </row>
    <row r="2585" spans="2:24" x14ac:dyDescent="0.3">
      <c r="B2585" t="s">
        <v>2678</v>
      </c>
      <c r="C2585" t="s">
        <v>106</v>
      </c>
      <c r="D2585" t="s">
        <v>8</v>
      </c>
      <c r="E2585" t="s">
        <v>15</v>
      </c>
      <c r="F2585" t="s">
        <v>9</v>
      </c>
      <c r="G2585" t="s">
        <v>63</v>
      </c>
      <c r="H2585">
        <v>2025</v>
      </c>
      <c r="I2585">
        <v>6070</v>
      </c>
      <c r="J2585">
        <v>15.4</v>
      </c>
      <c r="K2585" t="s">
        <v>23</v>
      </c>
      <c r="L2585">
        <v>5.2</v>
      </c>
      <c r="M2585">
        <v>6.9</v>
      </c>
      <c r="N2585">
        <v>4741</v>
      </c>
      <c r="O2585" t="s">
        <v>64</v>
      </c>
      <c r="P2585">
        <v>64.900000000000006</v>
      </c>
      <c r="Q2585" t="s">
        <v>88</v>
      </c>
      <c r="R2585">
        <v>35.4</v>
      </c>
      <c r="S2585">
        <v>-22.8</v>
      </c>
      <c r="T2585">
        <v>-14.5</v>
      </c>
      <c r="U2585">
        <v>4</v>
      </c>
      <c r="V2585">
        <v>5.2</v>
      </c>
      <c r="W2585">
        <v>3.5</v>
      </c>
      <c r="X2585" t="s">
        <v>116</v>
      </c>
    </row>
    <row r="2586" spans="2:24" x14ac:dyDescent="0.3">
      <c r="B2586" t="s">
        <v>2679</v>
      </c>
      <c r="C2586" t="s">
        <v>106</v>
      </c>
      <c r="D2586" t="s">
        <v>2</v>
      </c>
      <c r="E2586" t="s">
        <v>14</v>
      </c>
      <c r="F2586" t="s">
        <v>11</v>
      </c>
      <c r="G2586" t="s">
        <v>115</v>
      </c>
      <c r="H2586">
        <v>2025</v>
      </c>
      <c r="I2586">
        <v>6001</v>
      </c>
      <c r="J2586">
        <v>1</v>
      </c>
      <c r="K2586" t="s">
        <v>23</v>
      </c>
      <c r="L2586">
        <v>13.9</v>
      </c>
      <c r="M2586">
        <v>5.8</v>
      </c>
      <c r="N2586">
        <v>6288</v>
      </c>
      <c r="O2586" t="s">
        <v>118</v>
      </c>
      <c r="P2586">
        <v>22.1</v>
      </c>
      <c r="Q2586" t="s">
        <v>56</v>
      </c>
      <c r="R2586">
        <v>47.1</v>
      </c>
      <c r="S2586">
        <v>25.7</v>
      </c>
      <c r="T2586">
        <v>14.4</v>
      </c>
      <c r="U2586">
        <v>8.6</v>
      </c>
      <c r="V2586">
        <v>7.6</v>
      </c>
      <c r="W2586">
        <v>8.4</v>
      </c>
      <c r="X2586" t="s">
        <v>116</v>
      </c>
    </row>
    <row r="2587" spans="2:24" x14ac:dyDescent="0.3">
      <c r="B2587" t="s">
        <v>2680</v>
      </c>
      <c r="C2587" t="s">
        <v>53</v>
      </c>
      <c r="D2587" t="s">
        <v>2</v>
      </c>
      <c r="E2587" t="s">
        <v>15</v>
      </c>
      <c r="F2587" t="s">
        <v>12</v>
      </c>
      <c r="G2587" t="s">
        <v>78</v>
      </c>
      <c r="H2587">
        <v>2024</v>
      </c>
      <c r="I2587">
        <v>3420</v>
      </c>
      <c r="J2587">
        <v>10.4</v>
      </c>
      <c r="K2587" t="s">
        <v>24</v>
      </c>
      <c r="L2587">
        <v>3.9</v>
      </c>
      <c r="M2587">
        <v>6.6</v>
      </c>
      <c r="N2587">
        <v>2050</v>
      </c>
      <c r="O2587" t="s">
        <v>55</v>
      </c>
      <c r="P2587">
        <v>73.599999999999994</v>
      </c>
      <c r="Q2587" t="s">
        <v>76</v>
      </c>
      <c r="R2587">
        <v>-7.4</v>
      </c>
      <c r="S2587">
        <v>44.2</v>
      </c>
      <c r="T2587">
        <v>23.8</v>
      </c>
      <c r="U2587">
        <v>5.7</v>
      </c>
      <c r="V2587">
        <v>6</v>
      </c>
      <c r="W2587">
        <v>7</v>
      </c>
      <c r="X2587" t="s">
        <v>116</v>
      </c>
    </row>
    <row r="2588" spans="2:24" x14ac:dyDescent="0.3">
      <c r="B2588" t="s">
        <v>2681</v>
      </c>
      <c r="C2588" t="s">
        <v>27</v>
      </c>
      <c r="D2588" t="s">
        <v>3</v>
      </c>
      <c r="E2588" t="s">
        <v>14</v>
      </c>
      <c r="F2588" t="s">
        <v>9</v>
      </c>
      <c r="G2588" t="s">
        <v>115</v>
      </c>
      <c r="H2588">
        <v>2024</v>
      </c>
      <c r="I2588">
        <v>4502</v>
      </c>
      <c r="J2588">
        <v>8.4</v>
      </c>
      <c r="K2588" t="s">
        <v>21</v>
      </c>
      <c r="L2588">
        <v>13.2</v>
      </c>
      <c r="M2588">
        <v>6.2</v>
      </c>
      <c r="N2588">
        <v>1397</v>
      </c>
      <c r="O2588" t="s">
        <v>55</v>
      </c>
      <c r="P2588">
        <v>49.5</v>
      </c>
      <c r="Q2588" t="s">
        <v>65</v>
      </c>
      <c r="R2588">
        <v>-24.1</v>
      </c>
      <c r="S2588">
        <v>8.5</v>
      </c>
      <c r="T2588">
        <v>-3.1</v>
      </c>
      <c r="U2588">
        <v>9.8000000000000007</v>
      </c>
      <c r="V2588">
        <v>7.6</v>
      </c>
      <c r="W2588">
        <v>5.6</v>
      </c>
      <c r="X2588" t="s">
        <v>116</v>
      </c>
    </row>
    <row r="2589" spans="2:24" x14ac:dyDescent="0.3">
      <c r="B2589" t="s">
        <v>2682</v>
      </c>
      <c r="C2589" t="s">
        <v>53</v>
      </c>
      <c r="D2589" t="s">
        <v>7</v>
      </c>
      <c r="E2589" t="s">
        <v>19</v>
      </c>
      <c r="F2589" t="s">
        <v>12</v>
      </c>
      <c r="G2589" t="s">
        <v>74</v>
      </c>
      <c r="H2589">
        <v>2024</v>
      </c>
      <c r="I2589">
        <v>546</v>
      </c>
      <c r="J2589">
        <v>7.2</v>
      </c>
      <c r="K2589" t="s">
        <v>24</v>
      </c>
      <c r="L2589">
        <v>3.5</v>
      </c>
      <c r="M2589">
        <v>3.2</v>
      </c>
      <c r="N2589">
        <v>2412</v>
      </c>
      <c r="O2589" t="s">
        <v>64</v>
      </c>
      <c r="P2589">
        <v>17.3</v>
      </c>
      <c r="Q2589" t="s">
        <v>65</v>
      </c>
      <c r="R2589">
        <v>-9.6999999999999993</v>
      </c>
      <c r="S2589">
        <v>36.299999999999997</v>
      </c>
      <c r="T2589">
        <v>6.9</v>
      </c>
      <c r="U2589">
        <v>2.5</v>
      </c>
      <c r="V2589">
        <v>7.5</v>
      </c>
      <c r="W2589">
        <v>7.4</v>
      </c>
      <c r="X2589" t="s">
        <v>116</v>
      </c>
    </row>
    <row r="2590" spans="2:24" x14ac:dyDescent="0.3">
      <c r="B2590" t="s">
        <v>2683</v>
      </c>
      <c r="C2590" t="s">
        <v>71</v>
      </c>
      <c r="D2590" t="s">
        <v>6</v>
      </c>
      <c r="E2590" t="s">
        <v>14</v>
      </c>
      <c r="F2590" t="s">
        <v>12</v>
      </c>
      <c r="G2590" t="s">
        <v>63</v>
      </c>
      <c r="H2590">
        <v>2024</v>
      </c>
      <c r="I2590">
        <v>1097</v>
      </c>
      <c r="J2590">
        <v>0.5</v>
      </c>
      <c r="K2590" t="s">
        <v>25</v>
      </c>
      <c r="L2590">
        <v>11.5</v>
      </c>
      <c r="M2590">
        <v>5.9</v>
      </c>
      <c r="N2590">
        <v>2863</v>
      </c>
      <c r="O2590" t="s">
        <v>55</v>
      </c>
      <c r="P2590">
        <v>64.5</v>
      </c>
      <c r="Q2590" t="s">
        <v>88</v>
      </c>
      <c r="R2590">
        <v>40.1</v>
      </c>
      <c r="S2590">
        <v>-16.399999999999999</v>
      </c>
      <c r="T2590">
        <v>-10.5</v>
      </c>
      <c r="U2590">
        <v>7.4</v>
      </c>
      <c r="V2590">
        <v>6.1</v>
      </c>
      <c r="W2590">
        <v>6.5</v>
      </c>
      <c r="X2590" t="s">
        <v>57</v>
      </c>
    </row>
    <row r="2591" spans="2:24" x14ac:dyDescent="0.3">
      <c r="B2591" t="s">
        <v>2684</v>
      </c>
      <c r="C2591" t="s">
        <v>100</v>
      </c>
      <c r="D2591" t="s">
        <v>3</v>
      </c>
      <c r="E2591" t="s">
        <v>14</v>
      </c>
      <c r="F2591" t="s">
        <v>11</v>
      </c>
      <c r="G2591" t="s">
        <v>112</v>
      </c>
      <c r="H2591">
        <v>2026</v>
      </c>
      <c r="I2591">
        <v>2140</v>
      </c>
      <c r="J2591">
        <v>1.8</v>
      </c>
      <c r="K2591" t="s">
        <v>24</v>
      </c>
      <c r="L2591">
        <v>4.5999999999999996</v>
      </c>
      <c r="M2591">
        <v>3.5</v>
      </c>
      <c r="N2591">
        <v>1571</v>
      </c>
      <c r="O2591" t="s">
        <v>64</v>
      </c>
      <c r="P2591">
        <v>57</v>
      </c>
      <c r="Q2591" t="s">
        <v>86</v>
      </c>
      <c r="R2591">
        <v>64.599999999999994</v>
      </c>
      <c r="S2591">
        <v>57.3</v>
      </c>
      <c r="T2591">
        <v>16.899999999999999</v>
      </c>
      <c r="U2591">
        <v>3.6</v>
      </c>
      <c r="V2591">
        <v>9.6</v>
      </c>
      <c r="W2591">
        <v>7.8</v>
      </c>
      <c r="X2591" t="s">
        <v>57</v>
      </c>
    </row>
    <row r="2592" spans="2:24" x14ac:dyDescent="0.3">
      <c r="B2592" t="s">
        <v>2685</v>
      </c>
      <c r="C2592" t="s">
        <v>100</v>
      </c>
      <c r="D2592" t="s">
        <v>3</v>
      </c>
      <c r="E2592" t="s">
        <v>15</v>
      </c>
      <c r="F2592" t="s">
        <v>11</v>
      </c>
      <c r="G2592" t="s">
        <v>74</v>
      </c>
      <c r="H2592">
        <v>2024</v>
      </c>
      <c r="I2592">
        <v>7972</v>
      </c>
      <c r="J2592">
        <v>10.199999999999999</v>
      </c>
      <c r="K2592" t="s">
        <v>22</v>
      </c>
      <c r="L2592">
        <v>6.4</v>
      </c>
      <c r="M2592">
        <v>5.8</v>
      </c>
      <c r="N2592">
        <v>1094</v>
      </c>
      <c r="O2592" t="s">
        <v>64</v>
      </c>
      <c r="P2592">
        <v>50.9</v>
      </c>
      <c r="Q2592" t="s">
        <v>88</v>
      </c>
      <c r="R2592">
        <v>64.7</v>
      </c>
      <c r="S2592">
        <v>-14.7</v>
      </c>
      <c r="T2592">
        <v>-11.7</v>
      </c>
      <c r="U2592">
        <v>4</v>
      </c>
      <c r="V2592">
        <v>4.8</v>
      </c>
      <c r="W2592">
        <v>4.5</v>
      </c>
      <c r="X2592" t="s">
        <v>66</v>
      </c>
    </row>
    <row r="2593" spans="2:24" x14ac:dyDescent="0.3">
      <c r="B2593" t="s">
        <v>2686</v>
      </c>
      <c r="C2593" t="s">
        <v>53</v>
      </c>
      <c r="D2593" t="s">
        <v>3</v>
      </c>
      <c r="E2593" t="s">
        <v>19</v>
      </c>
      <c r="F2593" t="s">
        <v>11</v>
      </c>
      <c r="G2593" t="s">
        <v>104</v>
      </c>
      <c r="H2593">
        <v>2024</v>
      </c>
      <c r="I2593">
        <v>4599</v>
      </c>
      <c r="J2593">
        <v>32.1</v>
      </c>
      <c r="K2593" t="s">
        <v>25</v>
      </c>
      <c r="L2593">
        <v>5.8</v>
      </c>
      <c r="M2593">
        <v>10</v>
      </c>
      <c r="N2593">
        <v>1569</v>
      </c>
      <c r="O2593" t="s">
        <v>64</v>
      </c>
      <c r="P2593">
        <v>79.5</v>
      </c>
      <c r="Q2593" t="s">
        <v>56</v>
      </c>
      <c r="R2593">
        <v>6.1</v>
      </c>
      <c r="S2593">
        <v>-12.1</v>
      </c>
      <c r="T2593">
        <v>-9.1999999999999993</v>
      </c>
      <c r="U2593">
        <v>8.1999999999999993</v>
      </c>
      <c r="V2593">
        <v>5.2</v>
      </c>
      <c r="W2593">
        <v>2.1</v>
      </c>
      <c r="X2593" t="s">
        <v>66</v>
      </c>
    </row>
    <row r="2594" spans="2:24" x14ac:dyDescent="0.3">
      <c r="B2594" t="s">
        <v>2687</v>
      </c>
      <c r="C2594" t="s">
        <v>94</v>
      </c>
      <c r="D2594" t="s">
        <v>6</v>
      </c>
      <c r="E2594" t="s">
        <v>19</v>
      </c>
      <c r="F2594" t="s">
        <v>10</v>
      </c>
      <c r="G2594" t="s">
        <v>104</v>
      </c>
      <c r="H2594">
        <v>2025</v>
      </c>
      <c r="I2594">
        <v>3357</v>
      </c>
      <c r="J2594">
        <v>2.2999999999999998</v>
      </c>
      <c r="K2594" t="s">
        <v>23</v>
      </c>
      <c r="L2594">
        <v>5.4</v>
      </c>
      <c r="M2594">
        <v>9</v>
      </c>
      <c r="N2594">
        <v>4319</v>
      </c>
      <c r="O2594" t="s">
        <v>55</v>
      </c>
      <c r="P2594">
        <v>19</v>
      </c>
      <c r="Q2594" t="s">
        <v>88</v>
      </c>
      <c r="R2594">
        <v>26.8</v>
      </c>
      <c r="S2594">
        <v>58.8</v>
      </c>
      <c r="T2594">
        <v>24.1</v>
      </c>
      <c r="U2594">
        <v>5.0999999999999996</v>
      </c>
      <c r="V2594">
        <v>7.2</v>
      </c>
      <c r="W2594">
        <v>7.3</v>
      </c>
      <c r="X2594" t="s">
        <v>116</v>
      </c>
    </row>
    <row r="2595" spans="2:24" x14ac:dyDescent="0.3">
      <c r="B2595" t="s">
        <v>2688</v>
      </c>
      <c r="C2595" t="s">
        <v>142</v>
      </c>
      <c r="D2595" t="s">
        <v>2</v>
      </c>
      <c r="E2595" t="s">
        <v>14</v>
      </c>
      <c r="F2595" t="s">
        <v>9</v>
      </c>
      <c r="G2595" t="s">
        <v>60</v>
      </c>
      <c r="H2595">
        <v>2024</v>
      </c>
      <c r="I2595">
        <v>487</v>
      </c>
      <c r="J2595">
        <v>5</v>
      </c>
      <c r="K2595" t="s">
        <v>21</v>
      </c>
      <c r="L2595">
        <v>6</v>
      </c>
      <c r="M2595">
        <v>8.9</v>
      </c>
      <c r="N2595">
        <v>3799</v>
      </c>
      <c r="O2595" t="s">
        <v>55</v>
      </c>
      <c r="P2595">
        <v>22.8</v>
      </c>
      <c r="Q2595" t="s">
        <v>76</v>
      </c>
      <c r="R2595">
        <v>58.2</v>
      </c>
      <c r="S2595">
        <v>-1</v>
      </c>
      <c r="T2595">
        <v>12.1</v>
      </c>
      <c r="U2595">
        <v>9.5</v>
      </c>
      <c r="V2595">
        <v>7.5</v>
      </c>
      <c r="W2595">
        <v>5.4</v>
      </c>
      <c r="X2595" t="s">
        <v>57</v>
      </c>
    </row>
    <row r="2596" spans="2:24" x14ac:dyDescent="0.3">
      <c r="B2596" t="s">
        <v>2689</v>
      </c>
      <c r="C2596" t="s">
        <v>68</v>
      </c>
      <c r="D2596" t="s">
        <v>8</v>
      </c>
      <c r="E2596" t="s">
        <v>14</v>
      </c>
      <c r="F2596" t="s">
        <v>9</v>
      </c>
      <c r="G2596" t="s">
        <v>104</v>
      </c>
      <c r="H2596">
        <v>2024</v>
      </c>
      <c r="I2596">
        <v>1608</v>
      </c>
      <c r="J2596">
        <v>8.1</v>
      </c>
      <c r="K2596" t="s">
        <v>23</v>
      </c>
      <c r="L2596">
        <v>5.6</v>
      </c>
      <c r="M2596">
        <v>2.9</v>
      </c>
      <c r="N2596">
        <v>999</v>
      </c>
      <c r="O2596" t="s">
        <v>64</v>
      </c>
      <c r="P2596">
        <v>82.4</v>
      </c>
      <c r="Q2596" t="s">
        <v>79</v>
      </c>
      <c r="R2596">
        <v>43</v>
      </c>
      <c r="S2596">
        <v>45.2</v>
      </c>
      <c r="T2596">
        <v>24.8</v>
      </c>
      <c r="U2596">
        <v>3.8</v>
      </c>
      <c r="V2596">
        <v>6.4</v>
      </c>
      <c r="W2596">
        <v>7</v>
      </c>
      <c r="X2596" t="s">
        <v>116</v>
      </c>
    </row>
    <row r="2597" spans="2:24" x14ac:dyDescent="0.3">
      <c r="B2597" t="s">
        <v>2690</v>
      </c>
      <c r="C2597" t="s">
        <v>106</v>
      </c>
      <c r="D2597" t="s">
        <v>2</v>
      </c>
      <c r="E2597" t="s">
        <v>15</v>
      </c>
      <c r="F2597" t="s">
        <v>9</v>
      </c>
      <c r="G2597" t="s">
        <v>60</v>
      </c>
      <c r="H2597">
        <v>2026</v>
      </c>
      <c r="I2597">
        <v>6775</v>
      </c>
      <c r="J2597">
        <v>26.8</v>
      </c>
      <c r="K2597" t="s">
        <v>23</v>
      </c>
      <c r="L2597">
        <v>14.1</v>
      </c>
      <c r="M2597">
        <v>10</v>
      </c>
      <c r="N2597">
        <v>5404</v>
      </c>
      <c r="O2597" t="s">
        <v>64</v>
      </c>
      <c r="P2597">
        <v>37.9</v>
      </c>
      <c r="Q2597" t="s">
        <v>76</v>
      </c>
      <c r="R2597">
        <v>69.599999999999994</v>
      </c>
      <c r="S2597">
        <v>33.4</v>
      </c>
      <c r="T2597">
        <v>15.1</v>
      </c>
      <c r="U2597">
        <v>9.5</v>
      </c>
      <c r="V2597">
        <v>6.5</v>
      </c>
      <c r="W2597">
        <v>4.7</v>
      </c>
      <c r="X2597" t="s">
        <v>66</v>
      </c>
    </row>
    <row r="2598" spans="2:24" x14ac:dyDescent="0.3">
      <c r="B2598" t="s">
        <v>2691</v>
      </c>
      <c r="C2598" t="s">
        <v>97</v>
      </c>
      <c r="D2598" t="s">
        <v>3</v>
      </c>
      <c r="E2598" t="s">
        <v>15</v>
      </c>
      <c r="F2598" t="s">
        <v>11</v>
      </c>
      <c r="G2598" t="s">
        <v>69</v>
      </c>
      <c r="H2598">
        <v>2025</v>
      </c>
      <c r="I2598">
        <v>103</v>
      </c>
      <c r="J2598">
        <v>4.3</v>
      </c>
      <c r="K2598" t="s">
        <v>23</v>
      </c>
      <c r="L2598">
        <v>5.7</v>
      </c>
      <c r="M2598">
        <v>6.1</v>
      </c>
      <c r="N2598">
        <v>4526</v>
      </c>
      <c r="O2598" t="s">
        <v>55</v>
      </c>
      <c r="P2598">
        <v>60.6</v>
      </c>
      <c r="Q2598" t="s">
        <v>125</v>
      </c>
      <c r="R2598">
        <v>-1.5</v>
      </c>
      <c r="S2598">
        <v>8.1</v>
      </c>
      <c r="T2598">
        <v>11.2</v>
      </c>
      <c r="U2598">
        <v>4.8</v>
      </c>
      <c r="V2598">
        <v>7.9</v>
      </c>
      <c r="W2598">
        <v>7.3</v>
      </c>
      <c r="X2598" t="s">
        <v>57</v>
      </c>
    </row>
    <row r="2599" spans="2:24" x14ac:dyDescent="0.3">
      <c r="B2599" t="s">
        <v>2692</v>
      </c>
      <c r="C2599" t="s">
        <v>27</v>
      </c>
      <c r="D2599" t="s">
        <v>2</v>
      </c>
      <c r="E2599" t="s">
        <v>14</v>
      </c>
      <c r="F2599" t="s">
        <v>10</v>
      </c>
      <c r="G2599" t="s">
        <v>98</v>
      </c>
      <c r="H2599">
        <v>2025</v>
      </c>
      <c r="I2599">
        <v>5777</v>
      </c>
      <c r="J2599">
        <v>14.4</v>
      </c>
      <c r="K2599" t="s">
        <v>23</v>
      </c>
      <c r="L2599">
        <v>10.1</v>
      </c>
      <c r="M2599">
        <v>9.1999999999999993</v>
      </c>
      <c r="N2599">
        <v>6801</v>
      </c>
      <c r="O2599" t="s">
        <v>55</v>
      </c>
      <c r="P2599">
        <v>86.3</v>
      </c>
      <c r="Q2599" t="s">
        <v>56</v>
      </c>
      <c r="R2599">
        <v>38.4</v>
      </c>
      <c r="S2599">
        <v>58.4</v>
      </c>
      <c r="T2599">
        <v>26.3</v>
      </c>
      <c r="U2599">
        <v>9.4</v>
      </c>
      <c r="V2599">
        <v>9.4</v>
      </c>
      <c r="W2599">
        <v>6.3</v>
      </c>
      <c r="X2599" t="s">
        <v>116</v>
      </c>
    </row>
    <row r="2600" spans="2:24" x14ac:dyDescent="0.3">
      <c r="B2600" t="s">
        <v>2693</v>
      </c>
      <c r="C2600" t="s">
        <v>90</v>
      </c>
      <c r="D2600" t="s">
        <v>5</v>
      </c>
      <c r="E2600" t="s">
        <v>15</v>
      </c>
      <c r="F2600" t="s">
        <v>11</v>
      </c>
      <c r="G2600" t="s">
        <v>115</v>
      </c>
      <c r="H2600">
        <v>2024</v>
      </c>
      <c r="I2600">
        <v>238</v>
      </c>
      <c r="J2600">
        <v>13.7</v>
      </c>
      <c r="K2600" t="s">
        <v>22</v>
      </c>
      <c r="L2600">
        <v>13.8</v>
      </c>
      <c r="M2600">
        <v>10</v>
      </c>
      <c r="N2600">
        <v>1592</v>
      </c>
      <c r="O2600" t="s">
        <v>64</v>
      </c>
      <c r="P2600">
        <v>78.3</v>
      </c>
      <c r="Q2600" t="s">
        <v>65</v>
      </c>
      <c r="R2600">
        <v>-13.1</v>
      </c>
      <c r="S2600">
        <v>39.5</v>
      </c>
      <c r="T2600">
        <v>11</v>
      </c>
      <c r="U2600">
        <v>8.1</v>
      </c>
      <c r="V2600">
        <v>7.5</v>
      </c>
      <c r="W2600">
        <v>5.0999999999999996</v>
      </c>
      <c r="X2600" t="s">
        <v>116</v>
      </c>
    </row>
    <row r="2601" spans="2:24" x14ac:dyDescent="0.3">
      <c r="B2601" t="s">
        <v>2694</v>
      </c>
      <c r="C2601" t="s">
        <v>27</v>
      </c>
      <c r="D2601" t="s">
        <v>3</v>
      </c>
      <c r="E2601" t="s">
        <v>18</v>
      </c>
      <c r="F2601" t="s">
        <v>12</v>
      </c>
      <c r="G2601" t="s">
        <v>104</v>
      </c>
      <c r="H2601">
        <v>2025</v>
      </c>
      <c r="I2601">
        <v>7717</v>
      </c>
      <c r="J2601">
        <v>31.1</v>
      </c>
      <c r="K2601" t="s">
        <v>25</v>
      </c>
      <c r="L2601">
        <v>3.7</v>
      </c>
      <c r="M2601">
        <v>10</v>
      </c>
      <c r="N2601">
        <v>1432</v>
      </c>
      <c r="O2601" t="s">
        <v>75</v>
      </c>
      <c r="P2601">
        <v>67.900000000000006</v>
      </c>
      <c r="Q2601" t="s">
        <v>65</v>
      </c>
      <c r="R2601">
        <v>1.5</v>
      </c>
      <c r="S2601">
        <v>27.2</v>
      </c>
      <c r="T2601">
        <v>-3</v>
      </c>
      <c r="U2601">
        <v>4.5</v>
      </c>
      <c r="V2601">
        <v>4.3</v>
      </c>
      <c r="W2601">
        <v>3.7</v>
      </c>
      <c r="X2601" t="s">
        <v>66</v>
      </c>
    </row>
    <row r="2602" spans="2:24" x14ac:dyDescent="0.3">
      <c r="B2602" t="s">
        <v>2695</v>
      </c>
      <c r="C2602" t="s">
        <v>159</v>
      </c>
      <c r="D2602" t="s">
        <v>2</v>
      </c>
      <c r="E2602" t="s">
        <v>16</v>
      </c>
      <c r="F2602" t="s">
        <v>11</v>
      </c>
      <c r="G2602" t="s">
        <v>112</v>
      </c>
      <c r="H2602">
        <v>2026</v>
      </c>
      <c r="I2602">
        <v>2945</v>
      </c>
      <c r="J2602">
        <v>2.5</v>
      </c>
      <c r="K2602" t="s">
        <v>22</v>
      </c>
      <c r="L2602">
        <v>4.8</v>
      </c>
      <c r="M2602">
        <v>5.0999999999999996</v>
      </c>
      <c r="N2602">
        <v>2947</v>
      </c>
      <c r="O2602" t="s">
        <v>55</v>
      </c>
      <c r="P2602">
        <v>80.2</v>
      </c>
      <c r="Q2602" t="s">
        <v>76</v>
      </c>
      <c r="R2602">
        <v>-41.4</v>
      </c>
      <c r="S2602">
        <v>-16.5</v>
      </c>
      <c r="T2602">
        <v>-12.4</v>
      </c>
      <c r="U2602">
        <v>5.6</v>
      </c>
      <c r="V2602">
        <v>6.7</v>
      </c>
      <c r="W2602">
        <v>5.6</v>
      </c>
      <c r="X2602" t="s">
        <v>116</v>
      </c>
    </row>
    <row r="2603" spans="2:24" x14ac:dyDescent="0.3">
      <c r="B2603" t="s">
        <v>2696</v>
      </c>
      <c r="C2603" t="s">
        <v>142</v>
      </c>
      <c r="D2603" t="s">
        <v>2</v>
      </c>
      <c r="E2603" t="s">
        <v>17</v>
      </c>
      <c r="F2603" t="s">
        <v>9</v>
      </c>
      <c r="G2603" t="s">
        <v>101</v>
      </c>
      <c r="H2603">
        <v>2025</v>
      </c>
      <c r="I2603">
        <v>410</v>
      </c>
      <c r="J2603">
        <v>8.1</v>
      </c>
      <c r="K2603" t="s">
        <v>22</v>
      </c>
      <c r="L2603">
        <v>6.3</v>
      </c>
      <c r="M2603">
        <v>5.9</v>
      </c>
      <c r="N2603">
        <v>5865</v>
      </c>
      <c r="O2603" t="s">
        <v>55</v>
      </c>
      <c r="P2603">
        <v>65.400000000000006</v>
      </c>
      <c r="Q2603" t="s">
        <v>56</v>
      </c>
      <c r="R2603">
        <v>-19.100000000000001</v>
      </c>
      <c r="S2603">
        <v>-17.399999999999999</v>
      </c>
      <c r="T2603">
        <v>-7.9</v>
      </c>
      <c r="U2603">
        <v>7</v>
      </c>
      <c r="V2603">
        <v>4.0999999999999996</v>
      </c>
      <c r="W2603">
        <v>4.7</v>
      </c>
      <c r="X2603" t="s">
        <v>57</v>
      </c>
    </row>
    <row r="2604" spans="2:24" x14ac:dyDescent="0.3">
      <c r="B2604" t="s">
        <v>2697</v>
      </c>
      <c r="C2604" t="s">
        <v>106</v>
      </c>
      <c r="D2604" t="s">
        <v>8</v>
      </c>
      <c r="E2604" t="s">
        <v>18</v>
      </c>
      <c r="F2604" t="s">
        <v>9</v>
      </c>
      <c r="G2604" t="s">
        <v>131</v>
      </c>
      <c r="H2604">
        <v>2026</v>
      </c>
      <c r="I2604">
        <v>6305</v>
      </c>
      <c r="J2604">
        <v>29.7</v>
      </c>
      <c r="K2604" t="s">
        <v>25</v>
      </c>
      <c r="L2604">
        <v>12.6</v>
      </c>
      <c r="M2604">
        <v>10</v>
      </c>
      <c r="N2604">
        <v>1797</v>
      </c>
      <c r="O2604" t="s">
        <v>64</v>
      </c>
      <c r="P2604">
        <v>23.8</v>
      </c>
      <c r="Q2604" t="s">
        <v>79</v>
      </c>
      <c r="R2604">
        <v>71.7</v>
      </c>
      <c r="S2604">
        <v>0.9</v>
      </c>
      <c r="T2604">
        <v>-12.8</v>
      </c>
      <c r="U2604">
        <v>8.9</v>
      </c>
      <c r="V2604">
        <v>6.5</v>
      </c>
      <c r="W2604">
        <v>3.5</v>
      </c>
      <c r="X2604" t="s">
        <v>66</v>
      </c>
    </row>
    <row r="2605" spans="2:24" x14ac:dyDescent="0.3">
      <c r="B2605" t="s">
        <v>2698</v>
      </c>
      <c r="C2605" t="s">
        <v>90</v>
      </c>
      <c r="D2605" t="s">
        <v>3</v>
      </c>
      <c r="E2605" t="s">
        <v>15</v>
      </c>
      <c r="F2605" t="s">
        <v>12</v>
      </c>
      <c r="G2605" t="s">
        <v>101</v>
      </c>
      <c r="H2605">
        <v>2024</v>
      </c>
      <c r="I2605">
        <v>3538</v>
      </c>
      <c r="J2605">
        <v>8.4</v>
      </c>
      <c r="K2605" t="s">
        <v>24</v>
      </c>
      <c r="L2605">
        <v>1.8</v>
      </c>
      <c r="M2605">
        <v>1.5</v>
      </c>
      <c r="N2605">
        <v>1914</v>
      </c>
      <c r="O2605" t="s">
        <v>64</v>
      </c>
      <c r="P2605">
        <v>10.1</v>
      </c>
      <c r="Q2605" t="s">
        <v>86</v>
      </c>
      <c r="R2605">
        <v>57.6</v>
      </c>
      <c r="S2605">
        <v>55.1</v>
      </c>
      <c r="T2605">
        <v>18.600000000000001</v>
      </c>
      <c r="U2605">
        <v>2.2999999999999998</v>
      </c>
      <c r="V2605">
        <v>9.9</v>
      </c>
      <c r="W2605">
        <v>9.1</v>
      </c>
      <c r="X2605" t="s">
        <v>116</v>
      </c>
    </row>
    <row r="2606" spans="2:24" x14ac:dyDescent="0.3">
      <c r="B2606" t="s">
        <v>2699</v>
      </c>
      <c r="C2606" t="s">
        <v>122</v>
      </c>
      <c r="D2606" t="s">
        <v>2</v>
      </c>
      <c r="E2606" t="s">
        <v>17</v>
      </c>
      <c r="F2606" t="s">
        <v>12</v>
      </c>
      <c r="G2606" t="s">
        <v>112</v>
      </c>
      <c r="H2606">
        <v>2024</v>
      </c>
      <c r="I2606">
        <v>6334</v>
      </c>
      <c r="J2606">
        <v>17.899999999999999</v>
      </c>
      <c r="K2606" t="s">
        <v>24</v>
      </c>
      <c r="L2606">
        <v>2.2999999999999998</v>
      </c>
      <c r="M2606">
        <v>6</v>
      </c>
      <c r="N2606">
        <v>3157</v>
      </c>
      <c r="O2606" t="s">
        <v>64</v>
      </c>
      <c r="P2606">
        <v>25.4</v>
      </c>
      <c r="Q2606" t="s">
        <v>56</v>
      </c>
      <c r="R2606">
        <v>-29.6</v>
      </c>
      <c r="S2606">
        <v>57.1</v>
      </c>
      <c r="T2606">
        <v>18.399999999999999</v>
      </c>
      <c r="U2606">
        <v>2.7</v>
      </c>
      <c r="V2606">
        <v>5.8</v>
      </c>
      <c r="W2606">
        <v>5.9</v>
      </c>
      <c r="X2606" t="s">
        <v>66</v>
      </c>
    </row>
    <row r="2607" spans="2:24" x14ac:dyDescent="0.3">
      <c r="B2607" t="s">
        <v>2700</v>
      </c>
      <c r="C2607" t="s">
        <v>27</v>
      </c>
      <c r="D2607" t="s">
        <v>2</v>
      </c>
      <c r="E2607" t="s">
        <v>17</v>
      </c>
      <c r="F2607" t="s">
        <v>9</v>
      </c>
      <c r="G2607" t="s">
        <v>60</v>
      </c>
      <c r="H2607">
        <v>2025</v>
      </c>
      <c r="I2607">
        <v>6545</v>
      </c>
      <c r="J2607">
        <v>8.9</v>
      </c>
      <c r="K2607" t="s">
        <v>25</v>
      </c>
      <c r="L2607">
        <v>4.4000000000000004</v>
      </c>
      <c r="M2607">
        <v>2.2000000000000002</v>
      </c>
      <c r="N2607">
        <v>3481</v>
      </c>
      <c r="O2607" t="s">
        <v>55</v>
      </c>
      <c r="P2607">
        <v>77.900000000000006</v>
      </c>
      <c r="Q2607" t="s">
        <v>56</v>
      </c>
      <c r="R2607">
        <v>-26.5</v>
      </c>
      <c r="S2607">
        <v>4.8</v>
      </c>
      <c r="T2607">
        <v>-7.4</v>
      </c>
      <c r="U2607">
        <v>2.8</v>
      </c>
      <c r="V2607">
        <v>7.4</v>
      </c>
      <c r="W2607">
        <v>6.6</v>
      </c>
      <c r="X2607" t="s">
        <v>116</v>
      </c>
    </row>
    <row r="2608" spans="2:24" x14ac:dyDescent="0.3">
      <c r="B2608" t="s">
        <v>2701</v>
      </c>
      <c r="C2608" t="s">
        <v>81</v>
      </c>
      <c r="D2608" t="s">
        <v>5</v>
      </c>
      <c r="E2608" t="s">
        <v>17</v>
      </c>
      <c r="F2608" t="s">
        <v>12</v>
      </c>
      <c r="G2608" t="s">
        <v>74</v>
      </c>
      <c r="H2608">
        <v>2026</v>
      </c>
      <c r="I2608">
        <v>4494</v>
      </c>
      <c r="J2608">
        <v>14.1</v>
      </c>
      <c r="K2608" t="s">
        <v>24</v>
      </c>
      <c r="L2608">
        <v>4.4000000000000004</v>
      </c>
      <c r="M2608">
        <v>6.9</v>
      </c>
      <c r="N2608">
        <v>558</v>
      </c>
      <c r="O2608" t="s">
        <v>75</v>
      </c>
      <c r="P2608">
        <v>78.3</v>
      </c>
      <c r="Q2608" t="s">
        <v>125</v>
      </c>
      <c r="R2608">
        <v>43.5</v>
      </c>
      <c r="S2608">
        <v>50.4</v>
      </c>
      <c r="T2608">
        <v>17.899999999999999</v>
      </c>
      <c r="U2608">
        <v>3.5</v>
      </c>
      <c r="V2608">
        <v>8.4</v>
      </c>
      <c r="W2608">
        <v>7.1</v>
      </c>
      <c r="X2608" t="s">
        <v>116</v>
      </c>
    </row>
    <row r="2609" spans="2:24" x14ac:dyDescent="0.3">
      <c r="B2609" t="s">
        <v>2702</v>
      </c>
      <c r="C2609" t="s">
        <v>106</v>
      </c>
      <c r="D2609" t="s">
        <v>2</v>
      </c>
      <c r="E2609" t="s">
        <v>15</v>
      </c>
      <c r="F2609" t="s">
        <v>12</v>
      </c>
      <c r="G2609" t="s">
        <v>104</v>
      </c>
      <c r="H2609">
        <v>2025</v>
      </c>
      <c r="I2609">
        <v>8061</v>
      </c>
      <c r="J2609">
        <v>11.4</v>
      </c>
      <c r="K2609" t="s">
        <v>24</v>
      </c>
      <c r="L2609">
        <v>12.8</v>
      </c>
      <c r="M2609">
        <v>10</v>
      </c>
      <c r="N2609">
        <v>2876</v>
      </c>
      <c r="O2609" t="s">
        <v>64</v>
      </c>
      <c r="P2609">
        <v>16.100000000000001</v>
      </c>
      <c r="Q2609" t="s">
        <v>76</v>
      </c>
      <c r="R2609">
        <v>-41.3</v>
      </c>
      <c r="S2609">
        <v>48.9</v>
      </c>
      <c r="T2609">
        <v>19.899999999999999</v>
      </c>
      <c r="U2609">
        <v>7.8</v>
      </c>
      <c r="V2609">
        <v>8.9</v>
      </c>
      <c r="W2609">
        <v>6.5</v>
      </c>
      <c r="X2609" t="s">
        <v>66</v>
      </c>
    </row>
    <row r="2610" spans="2:24" x14ac:dyDescent="0.3">
      <c r="B2610" t="s">
        <v>2703</v>
      </c>
      <c r="C2610" t="s">
        <v>94</v>
      </c>
      <c r="D2610" t="s">
        <v>6</v>
      </c>
      <c r="E2610" t="s">
        <v>17</v>
      </c>
      <c r="F2610" t="s">
        <v>10</v>
      </c>
      <c r="G2610" t="s">
        <v>131</v>
      </c>
      <c r="H2610">
        <v>2024</v>
      </c>
      <c r="I2610">
        <v>6864</v>
      </c>
      <c r="J2610">
        <v>13.6</v>
      </c>
      <c r="K2610" t="s">
        <v>22</v>
      </c>
      <c r="L2610">
        <v>3.4</v>
      </c>
      <c r="M2610">
        <v>4.0999999999999996</v>
      </c>
      <c r="N2610">
        <v>2706</v>
      </c>
      <c r="O2610" t="s">
        <v>64</v>
      </c>
      <c r="P2610">
        <v>51.9</v>
      </c>
      <c r="Q2610" t="s">
        <v>88</v>
      </c>
      <c r="R2610">
        <v>54.4</v>
      </c>
      <c r="S2610">
        <v>-16.100000000000001</v>
      </c>
      <c r="T2610">
        <v>-4.8</v>
      </c>
      <c r="U2610">
        <v>2.4</v>
      </c>
      <c r="V2610">
        <v>3.9</v>
      </c>
      <c r="W2610">
        <v>4.5999999999999996</v>
      </c>
      <c r="X2610" t="s">
        <v>116</v>
      </c>
    </row>
    <row r="2611" spans="2:24" x14ac:dyDescent="0.3">
      <c r="B2611" t="s">
        <v>2704</v>
      </c>
      <c r="C2611" t="s">
        <v>94</v>
      </c>
      <c r="D2611" t="s">
        <v>6</v>
      </c>
      <c r="E2611" t="s">
        <v>14</v>
      </c>
      <c r="F2611" t="s">
        <v>11</v>
      </c>
      <c r="G2611" t="s">
        <v>60</v>
      </c>
      <c r="H2611">
        <v>2026</v>
      </c>
      <c r="I2611">
        <v>17014</v>
      </c>
      <c r="J2611">
        <v>38.4</v>
      </c>
      <c r="K2611" t="s">
        <v>25</v>
      </c>
      <c r="L2611">
        <v>10.199999999999999</v>
      </c>
      <c r="M2611">
        <v>10</v>
      </c>
      <c r="N2611">
        <v>1065</v>
      </c>
      <c r="O2611" t="s">
        <v>75</v>
      </c>
      <c r="P2611">
        <v>70.400000000000006</v>
      </c>
      <c r="Q2611" t="s">
        <v>56</v>
      </c>
      <c r="R2611">
        <v>-14</v>
      </c>
      <c r="S2611">
        <v>42.5</v>
      </c>
      <c r="T2611">
        <v>8.6999999999999993</v>
      </c>
      <c r="U2611">
        <v>7.5</v>
      </c>
      <c r="V2611">
        <v>4.5</v>
      </c>
      <c r="W2611">
        <v>3.1</v>
      </c>
      <c r="X2611" t="s">
        <v>66</v>
      </c>
    </row>
    <row r="2612" spans="2:24" x14ac:dyDescent="0.3">
      <c r="B2612" t="s">
        <v>2705</v>
      </c>
      <c r="C2612" t="s">
        <v>100</v>
      </c>
      <c r="D2612" t="s">
        <v>3</v>
      </c>
      <c r="E2612" t="s">
        <v>18</v>
      </c>
      <c r="F2612" t="s">
        <v>12</v>
      </c>
      <c r="G2612" t="s">
        <v>74</v>
      </c>
      <c r="H2612">
        <v>2024</v>
      </c>
      <c r="I2612">
        <v>1954</v>
      </c>
      <c r="J2612">
        <v>3.8</v>
      </c>
      <c r="K2612" t="s">
        <v>22</v>
      </c>
      <c r="L2612">
        <v>12.2</v>
      </c>
      <c r="M2612">
        <v>10</v>
      </c>
      <c r="N2612">
        <v>5847</v>
      </c>
      <c r="O2612" t="s">
        <v>118</v>
      </c>
      <c r="P2612">
        <v>72.8</v>
      </c>
      <c r="Q2612" t="s">
        <v>56</v>
      </c>
      <c r="R2612">
        <v>-29.1</v>
      </c>
      <c r="S2612">
        <v>7.1</v>
      </c>
      <c r="T2612">
        <v>12.4</v>
      </c>
      <c r="U2612">
        <v>8.1999999999999993</v>
      </c>
      <c r="V2612">
        <v>8.1999999999999993</v>
      </c>
      <c r="W2612">
        <v>5.3</v>
      </c>
      <c r="X2612" t="s">
        <v>57</v>
      </c>
    </row>
    <row r="2613" spans="2:24" x14ac:dyDescent="0.3">
      <c r="B2613" t="s">
        <v>2706</v>
      </c>
      <c r="C2613" t="s">
        <v>106</v>
      </c>
      <c r="D2613" t="s">
        <v>4</v>
      </c>
      <c r="E2613" t="s">
        <v>19</v>
      </c>
      <c r="F2613" t="s">
        <v>9</v>
      </c>
      <c r="G2613" t="s">
        <v>115</v>
      </c>
      <c r="H2613">
        <v>2025</v>
      </c>
      <c r="I2613">
        <v>1854</v>
      </c>
      <c r="J2613">
        <v>9.8000000000000007</v>
      </c>
      <c r="K2613" t="s">
        <v>24</v>
      </c>
      <c r="L2613">
        <v>14.9</v>
      </c>
      <c r="M2613">
        <v>7.6</v>
      </c>
      <c r="N2613">
        <v>2942</v>
      </c>
      <c r="O2613" t="s">
        <v>55</v>
      </c>
      <c r="P2613">
        <v>30.3</v>
      </c>
      <c r="Q2613" t="s">
        <v>125</v>
      </c>
      <c r="R2613">
        <v>63.5</v>
      </c>
      <c r="S2613">
        <v>27.4</v>
      </c>
      <c r="T2613">
        <v>18.899999999999999</v>
      </c>
      <c r="U2613">
        <v>9.8000000000000007</v>
      </c>
      <c r="V2613">
        <v>7.2</v>
      </c>
      <c r="W2613">
        <v>5.7</v>
      </c>
      <c r="X2613" t="s">
        <v>57</v>
      </c>
    </row>
    <row r="2614" spans="2:24" x14ac:dyDescent="0.3">
      <c r="B2614" t="s">
        <v>2707</v>
      </c>
      <c r="C2614" t="s">
        <v>83</v>
      </c>
      <c r="D2614" t="s">
        <v>4</v>
      </c>
      <c r="E2614" t="s">
        <v>14</v>
      </c>
      <c r="F2614" t="s">
        <v>9</v>
      </c>
      <c r="G2614" t="s">
        <v>115</v>
      </c>
      <c r="H2614">
        <v>2026</v>
      </c>
      <c r="I2614">
        <v>5640</v>
      </c>
      <c r="J2614">
        <v>4.0999999999999996</v>
      </c>
      <c r="K2614" t="s">
        <v>22</v>
      </c>
      <c r="L2614">
        <v>7.3</v>
      </c>
      <c r="M2614">
        <v>8.5</v>
      </c>
      <c r="N2614">
        <v>2494</v>
      </c>
      <c r="O2614" t="s">
        <v>55</v>
      </c>
      <c r="P2614">
        <v>79.8</v>
      </c>
      <c r="Q2614" t="s">
        <v>88</v>
      </c>
      <c r="R2614">
        <v>46.5</v>
      </c>
      <c r="S2614">
        <v>-10.7</v>
      </c>
      <c r="T2614">
        <v>-10.8</v>
      </c>
      <c r="U2614">
        <v>4.7</v>
      </c>
      <c r="V2614">
        <v>7.7</v>
      </c>
      <c r="W2614">
        <v>5.9</v>
      </c>
      <c r="X2614" t="s">
        <v>116</v>
      </c>
    </row>
    <row r="2615" spans="2:24" x14ac:dyDescent="0.3">
      <c r="B2615" t="s">
        <v>2708</v>
      </c>
      <c r="C2615" t="s">
        <v>90</v>
      </c>
      <c r="D2615" t="s">
        <v>2</v>
      </c>
      <c r="E2615" t="s">
        <v>18</v>
      </c>
      <c r="F2615" t="s">
        <v>12</v>
      </c>
      <c r="G2615" t="s">
        <v>60</v>
      </c>
      <c r="H2615">
        <v>2025</v>
      </c>
      <c r="I2615">
        <v>12115</v>
      </c>
      <c r="J2615">
        <v>9.6999999999999993</v>
      </c>
      <c r="K2615" t="s">
        <v>23</v>
      </c>
      <c r="L2615">
        <v>3.5</v>
      </c>
      <c r="M2615">
        <v>3.3</v>
      </c>
      <c r="N2615">
        <v>3209</v>
      </c>
      <c r="O2615" t="s">
        <v>64</v>
      </c>
      <c r="P2615">
        <v>40.299999999999997</v>
      </c>
      <c r="Q2615" t="s">
        <v>56</v>
      </c>
      <c r="R2615">
        <v>-38.299999999999997</v>
      </c>
      <c r="S2615">
        <v>-16.899999999999999</v>
      </c>
      <c r="T2615">
        <v>-12.7</v>
      </c>
      <c r="U2615">
        <v>3</v>
      </c>
      <c r="V2615">
        <v>6.8</v>
      </c>
      <c r="W2615">
        <v>6</v>
      </c>
      <c r="X2615" t="s">
        <v>66</v>
      </c>
    </row>
    <row r="2616" spans="2:24" x14ac:dyDescent="0.3">
      <c r="B2616" t="s">
        <v>2709</v>
      </c>
      <c r="C2616" t="s">
        <v>142</v>
      </c>
      <c r="D2616" t="s">
        <v>2</v>
      </c>
      <c r="E2616" t="s">
        <v>16</v>
      </c>
      <c r="F2616" t="s">
        <v>12</v>
      </c>
      <c r="G2616" t="s">
        <v>69</v>
      </c>
      <c r="H2616">
        <v>2026</v>
      </c>
      <c r="I2616">
        <v>2021</v>
      </c>
      <c r="J2616">
        <v>7</v>
      </c>
      <c r="K2616" t="s">
        <v>24</v>
      </c>
      <c r="L2616">
        <v>7</v>
      </c>
      <c r="M2616">
        <v>7.9</v>
      </c>
      <c r="N2616">
        <v>6890</v>
      </c>
      <c r="O2616" t="s">
        <v>118</v>
      </c>
      <c r="P2616">
        <v>15.5</v>
      </c>
      <c r="Q2616" t="s">
        <v>56</v>
      </c>
      <c r="R2616">
        <v>38.299999999999997</v>
      </c>
      <c r="S2616">
        <v>43.1</v>
      </c>
      <c r="T2616">
        <v>20.2</v>
      </c>
      <c r="U2616">
        <v>5.7</v>
      </c>
      <c r="V2616">
        <v>6.2</v>
      </c>
      <c r="W2616">
        <v>7.2</v>
      </c>
      <c r="X2616" t="s">
        <v>57</v>
      </c>
    </row>
    <row r="2617" spans="2:24" x14ac:dyDescent="0.3">
      <c r="B2617" t="s">
        <v>2710</v>
      </c>
      <c r="C2617" t="s">
        <v>53</v>
      </c>
      <c r="D2617" t="s">
        <v>3</v>
      </c>
      <c r="E2617" t="s">
        <v>14</v>
      </c>
      <c r="F2617" t="s">
        <v>9</v>
      </c>
      <c r="G2617" t="s">
        <v>115</v>
      </c>
      <c r="H2617">
        <v>2026</v>
      </c>
      <c r="I2617">
        <v>2367</v>
      </c>
      <c r="J2617">
        <v>9.4</v>
      </c>
      <c r="K2617" t="s">
        <v>24</v>
      </c>
      <c r="L2617">
        <v>12.8</v>
      </c>
      <c r="M2617">
        <v>10</v>
      </c>
      <c r="N2617">
        <v>528</v>
      </c>
      <c r="O2617" t="s">
        <v>64</v>
      </c>
      <c r="P2617">
        <v>68.3</v>
      </c>
      <c r="Q2617" t="s">
        <v>76</v>
      </c>
      <c r="R2617">
        <v>-19.5</v>
      </c>
      <c r="S2617">
        <v>56.5</v>
      </c>
      <c r="T2617">
        <v>31.3</v>
      </c>
      <c r="U2617">
        <v>8.1999999999999993</v>
      </c>
      <c r="V2617">
        <v>9.3000000000000007</v>
      </c>
      <c r="W2617">
        <v>6.6</v>
      </c>
      <c r="X2617" t="s">
        <v>57</v>
      </c>
    </row>
    <row r="2618" spans="2:24" x14ac:dyDescent="0.3">
      <c r="B2618" t="s">
        <v>2711</v>
      </c>
      <c r="C2618" t="s">
        <v>97</v>
      </c>
      <c r="D2618" t="s">
        <v>3</v>
      </c>
      <c r="E2618" t="s">
        <v>16</v>
      </c>
      <c r="F2618" t="s">
        <v>11</v>
      </c>
      <c r="G2618" t="s">
        <v>74</v>
      </c>
      <c r="H2618">
        <v>2024</v>
      </c>
      <c r="I2618">
        <v>202</v>
      </c>
      <c r="J2618">
        <v>2.9</v>
      </c>
      <c r="K2618" t="s">
        <v>25</v>
      </c>
      <c r="L2618">
        <v>12.5</v>
      </c>
      <c r="M2618">
        <v>4</v>
      </c>
      <c r="N2618">
        <v>1065</v>
      </c>
      <c r="O2618" t="s">
        <v>55</v>
      </c>
      <c r="P2618">
        <v>51.8</v>
      </c>
      <c r="Q2618" t="s">
        <v>88</v>
      </c>
      <c r="R2618">
        <v>-5.6</v>
      </c>
      <c r="S2618">
        <v>28.6</v>
      </c>
      <c r="T2618">
        <v>10.3</v>
      </c>
      <c r="U2618">
        <v>8.3000000000000007</v>
      </c>
      <c r="V2618">
        <v>8.9</v>
      </c>
      <c r="W2618">
        <v>8.6</v>
      </c>
      <c r="X2618" t="s">
        <v>57</v>
      </c>
    </row>
    <row r="2619" spans="2:24" x14ac:dyDescent="0.3">
      <c r="B2619" t="s">
        <v>2712</v>
      </c>
      <c r="C2619" t="s">
        <v>27</v>
      </c>
      <c r="D2619" t="s">
        <v>3</v>
      </c>
      <c r="E2619" t="s">
        <v>19</v>
      </c>
      <c r="F2619" t="s">
        <v>10</v>
      </c>
      <c r="G2619" t="s">
        <v>112</v>
      </c>
      <c r="H2619">
        <v>2024</v>
      </c>
      <c r="I2619">
        <v>773</v>
      </c>
      <c r="J2619">
        <v>5.0999999999999996</v>
      </c>
      <c r="K2619" t="s">
        <v>22</v>
      </c>
      <c r="L2619">
        <v>11.7</v>
      </c>
      <c r="M2619">
        <v>6.2</v>
      </c>
      <c r="N2619">
        <v>2912</v>
      </c>
      <c r="O2619" t="s">
        <v>55</v>
      </c>
      <c r="P2619">
        <v>73</v>
      </c>
      <c r="Q2619" t="s">
        <v>56</v>
      </c>
      <c r="R2619">
        <v>-8.6999999999999993</v>
      </c>
      <c r="S2619">
        <v>3.1</v>
      </c>
      <c r="T2619">
        <v>-1.2</v>
      </c>
      <c r="U2619">
        <v>8</v>
      </c>
      <c r="V2619">
        <v>5.9</v>
      </c>
      <c r="W2619">
        <v>6.1</v>
      </c>
      <c r="X2619" t="s">
        <v>57</v>
      </c>
    </row>
    <row r="2620" spans="2:24" x14ac:dyDescent="0.3">
      <c r="B2620" t="s">
        <v>2713</v>
      </c>
      <c r="C2620" t="s">
        <v>53</v>
      </c>
      <c r="D2620" t="s">
        <v>3</v>
      </c>
      <c r="E2620" t="s">
        <v>17</v>
      </c>
      <c r="F2620" t="s">
        <v>10</v>
      </c>
      <c r="G2620" t="s">
        <v>78</v>
      </c>
      <c r="H2620">
        <v>2024</v>
      </c>
      <c r="I2620">
        <v>14167</v>
      </c>
      <c r="J2620">
        <v>24.1</v>
      </c>
      <c r="K2620" t="s">
        <v>24</v>
      </c>
      <c r="L2620">
        <v>9.3000000000000007</v>
      </c>
      <c r="M2620">
        <v>10</v>
      </c>
      <c r="N2620">
        <v>328</v>
      </c>
      <c r="O2620" t="s">
        <v>64</v>
      </c>
      <c r="P2620">
        <v>69.7</v>
      </c>
      <c r="Q2620" t="s">
        <v>56</v>
      </c>
      <c r="R2620">
        <v>-4.7</v>
      </c>
      <c r="S2620">
        <v>27.1</v>
      </c>
      <c r="T2620">
        <v>17.899999999999999</v>
      </c>
      <c r="U2620">
        <v>9.9</v>
      </c>
      <c r="V2620">
        <v>4.5999999999999996</v>
      </c>
      <c r="W2620">
        <v>4.8</v>
      </c>
      <c r="X2620" t="s">
        <v>66</v>
      </c>
    </row>
    <row r="2621" spans="2:24" x14ac:dyDescent="0.3">
      <c r="B2621" t="s">
        <v>2714</v>
      </c>
      <c r="C2621" t="s">
        <v>90</v>
      </c>
      <c r="D2621" t="s">
        <v>3</v>
      </c>
      <c r="E2621" t="s">
        <v>14</v>
      </c>
      <c r="F2621" t="s">
        <v>10</v>
      </c>
      <c r="G2621" t="s">
        <v>131</v>
      </c>
      <c r="H2621">
        <v>2026</v>
      </c>
      <c r="I2621">
        <v>1147</v>
      </c>
      <c r="J2621">
        <v>7.3</v>
      </c>
      <c r="K2621" t="s">
        <v>23</v>
      </c>
      <c r="L2621">
        <v>4.7</v>
      </c>
      <c r="M2621">
        <v>6.5</v>
      </c>
      <c r="N2621">
        <v>5744</v>
      </c>
      <c r="O2621" t="s">
        <v>55</v>
      </c>
      <c r="P2621">
        <v>20.6</v>
      </c>
      <c r="Q2621" t="s">
        <v>76</v>
      </c>
      <c r="R2621">
        <v>56.2</v>
      </c>
      <c r="S2621">
        <v>12.5</v>
      </c>
      <c r="T2621">
        <v>9.8000000000000007</v>
      </c>
      <c r="U2621">
        <v>7</v>
      </c>
      <c r="V2621">
        <v>8.6999999999999993</v>
      </c>
      <c r="W2621">
        <v>7.3</v>
      </c>
      <c r="X2621" t="s">
        <v>57</v>
      </c>
    </row>
    <row r="2622" spans="2:24" x14ac:dyDescent="0.3">
      <c r="B2622" t="s">
        <v>2715</v>
      </c>
      <c r="C2622" t="s">
        <v>92</v>
      </c>
      <c r="D2622" t="s">
        <v>7</v>
      </c>
      <c r="E2622" t="s">
        <v>14</v>
      </c>
      <c r="F2622" t="s">
        <v>12</v>
      </c>
      <c r="G2622" t="s">
        <v>78</v>
      </c>
      <c r="H2622">
        <v>2024</v>
      </c>
      <c r="I2622">
        <v>19097</v>
      </c>
      <c r="J2622">
        <v>20.6</v>
      </c>
      <c r="K2622" t="s">
        <v>23</v>
      </c>
      <c r="L2622">
        <v>1.7</v>
      </c>
      <c r="M2622">
        <v>7.6</v>
      </c>
      <c r="N2622">
        <v>1016</v>
      </c>
      <c r="O2622" t="s">
        <v>75</v>
      </c>
      <c r="P2622">
        <v>62.4</v>
      </c>
      <c r="Q2622" t="s">
        <v>79</v>
      </c>
      <c r="R2622">
        <v>27</v>
      </c>
      <c r="S2622">
        <v>31.1</v>
      </c>
      <c r="T2622">
        <v>-1.8</v>
      </c>
      <c r="U2622">
        <v>2.4</v>
      </c>
      <c r="V2622">
        <v>6.8</v>
      </c>
      <c r="W2622">
        <v>5.9</v>
      </c>
      <c r="X2622" t="s">
        <v>66</v>
      </c>
    </row>
    <row r="2623" spans="2:24" x14ac:dyDescent="0.3">
      <c r="B2623" t="s">
        <v>2716</v>
      </c>
      <c r="C2623" t="s">
        <v>106</v>
      </c>
      <c r="D2623" t="s">
        <v>3</v>
      </c>
      <c r="E2623" t="s">
        <v>14</v>
      </c>
      <c r="F2623" t="s">
        <v>9</v>
      </c>
      <c r="G2623" t="s">
        <v>131</v>
      </c>
      <c r="H2623">
        <v>2024</v>
      </c>
      <c r="I2623">
        <v>9665</v>
      </c>
      <c r="J2623">
        <v>9.1999999999999993</v>
      </c>
      <c r="K2623" t="s">
        <v>25</v>
      </c>
      <c r="L2623">
        <v>6.4</v>
      </c>
      <c r="M2623">
        <v>6.6</v>
      </c>
      <c r="N2623">
        <v>775</v>
      </c>
      <c r="O2623" t="s">
        <v>64</v>
      </c>
      <c r="P2623">
        <v>89.3</v>
      </c>
      <c r="Q2623" t="s">
        <v>84</v>
      </c>
      <c r="R2623">
        <v>70.5</v>
      </c>
      <c r="S2623">
        <v>16.5</v>
      </c>
      <c r="T2623">
        <v>8.6</v>
      </c>
      <c r="U2623">
        <v>6</v>
      </c>
      <c r="V2623">
        <v>4.9000000000000004</v>
      </c>
      <c r="W2623">
        <v>5.8</v>
      </c>
      <c r="X2623" t="s">
        <v>66</v>
      </c>
    </row>
    <row r="2624" spans="2:24" x14ac:dyDescent="0.3">
      <c r="B2624" t="s">
        <v>2717</v>
      </c>
      <c r="C2624" t="s">
        <v>142</v>
      </c>
      <c r="D2624" t="s">
        <v>2</v>
      </c>
      <c r="E2624" t="s">
        <v>14</v>
      </c>
      <c r="F2624" t="s">
        <v>9</v>
      </c>
      <c r="G2624" t="s">
        <v>60</v>
      </c>
      <c r="H2624">
        <v>2024</v>
      </c>
      <c r="I2624">
        <v>5459</v>
      </c>
      <c r="J2624">
        <v>15.6</v>
      </c>
      <c r="K2624" t="s">
        <v>22</v>
      </c>
      <c r="L2624">
        <v>1.8</v>
      </c>
      <c r="M2624">
        <v>5.2</v>
      </c>
      <c r="N2624">
        <v>3842</v>
      </c>
      <c r="O2624" t="s">
        <v>64</v>
      </c>
      <c r="P2624">
        <v>85.2</v>
      </c>
      <c r="Q2624" t="s">
        <v>56</v>
      </c>
      <c r="R2624">
        <v>-40.200000000000003</v>
      </c>
      <c r="S2624">
        <v>-7.3</v>
      </c>
      <c r="T2624">
        <v>-11.6</v>
      </c>
      <c r="U2624">
        <v>2.9</v>
      </c>
      <c r="V2624">
        <v>7.4</v>
      </c>
      <c r="W2624">
        <v>4.8</v>
      </c>
      <c r="X2624" t="s">
        <v>116</v>
      </c>
    </row>
    <row r="2625" spans="2:24" x14ac:dyDescent="0.3">
      <c r="B2625" t="s">
        <v>2718</v>
      </c>
      <c r="C2625" t="s">
        <v>97</v>
      </c>
      <c r="D2625" t="s">
        <v>3</v>
      </c>
      <c r="E2625" t="s">
        <v>19</v>
      </c>
      <c r="F2625" t="s">
        <v>10</v>
      </c>
      <c r="G2625" t="s">
        <v>131</v>
      </c>
      <c r="H2625">
        <v>2026</v>
      </c>
      <c r="I2625">
        <v>19956</v>
      </c>
      <c r="J2625">
        <v>26.8</v>
      </c>
      <c r="K2625" t="s">
        <v>24</v>
      </c>
      <c r="L2625">
        <v>7.4</v>
      </c>
      <c r="M2625">
        <v>10</v>
      </c>
      <c r="N2625">
        <v>1687</v>
      </c>
      <c r="O2625" t="s">
        <v>75</v>
      </c>
      <c r="P2625">
        <v>76.599999999999994</v>
      </c>
      <c r="Q2625" t="s">
        <v>65</v>
      </c>
      <c r="R2625">
        <v>64.900000000000006</v>
      </c>
      <c r="S2625">
        <v>-14.9</v>
      </c>
      <c r="T2625">
        <v>-18.600000000000001</v>
      </c>
      <c r="U2625">
        <v>5</v>
      </c>
      <c r="V2625">
        <v>3.8</v>
      </c>
      <c r="W2625">
        <v>3.5</v>
      </c>
      <c r="X2625" t="s">
        <v>66</v>
      </c>
    </row>
    <row r="2626" spans="2:24" x14ac:dyDescent="0.3">
      <c r="B2626" t="s">
        <v>2719</v>
      </c>
      <c r="C2626" t="s">
        <v>106</v>
      </c>
      <c r="D2626" t="s">
        <v>7</v>
      </c>
      <c r="E2626" t="s">
        <v>17</v>
      </c>
      <c r="F2626" t="s">
        <v>11</v>
      </c>
      <c r="G2626" t="s">
        <v>74</v>
      </c>
      <c r="H2626">
        <v>2025</v>
      </c>
      <c r="I2626">
        <v>5224</v>
      </c>
      <c r="J2626">
        <v>9.8000000000000007</v>
      </c>
      <c r="K2626" t="s">
        <v>24</v>
      </c>
      <c r="L2626">
        <v>8.1999999999999993</v>
      </c>
      <c r="M2626">
        <v>10</v>
      </c>
      <c r="N2626">
        <v>928</v>
      </c>
      <c r="O2626" t="s">
        <v>64</v>
      </c>
      <c r="P2626">
        <v>70.900000000000006</v>
      </c>
      <c r="Q2626" t="s">
        <v>65</v>
      </c>
      <c r="R2626">
        <v>47.4</v>
      </c>
      <c r="S2626">
        <v>37.6</v>
      </c>
      <c r="T2626">
        <v>12.4</v>
      </c>
      <c r="U2626">
        <v>5.2</v>
      </c>
      <c r="V2626">
        <v>7</v>
      </c>
      <c r="W2626">
        <v>6.1</v>
      </c>
      <c r="X2626" t="s">
        <v>116</v>
      </c>
    </row>
    <row r="2627" spans="2:24" x14ac:dyDescent="0.3">
      <c r="B2627" t="s">
        <v>2720</v>
      </c>
      <c r="C2627" t="s">
        <v>90</v>
      </c>
      <c r="D2627" t="s">
        <v>2</v>
      </c>
      <c r="E2627" t="s">
        <v>17</v>
      </c>
      <c r="F2627" t="s">
        <v>10</v>
      </c>
      <c r="G2627" t="s">
        <v>69</v>
      </c>
      <c r="H2627">
        <v>2025</v>
      </c>
      <c r="I2627">
        <v>10940</v>
      </c>
      <c r="J2627">
        <v>29.6</v>
      </c>
      <c r="K2627" t="s">
        <v>22</v>
      </c>
      <c r="L2627">
        <v>11.3</v>
      </c>
      <c r="M2627">
        <v>10</v>
      </c>
      <c r="N2627">
        <v>2868</v>
      </c>
      <c r="O2627" t="s">
        <v>64</v>
      </c>
      <c r="P2627">
        <v>69.599999999999994</v>
      </c>
      <c r="Q2627" t="s">
        <v>76</v>
      </c>
      <c r="R2627">
        <v>-9.5</v>
      </c>
      <c r="S2627">
        <v>-11.6</v>
      </c>
      <c r="T2627">
        <v>-12.2</v>
      </c>
      <c r="U2627">
        <v>7.3</v>
      </c>
      <c r="V2627">
        <v>3.5</v>
      </c>
      <c r="W2627">
        <v>2.5</v>
      </c>
      <c r="X2627" t="s">
        <v>66</v>
      </c>
    </row>
    <row r="2628" spans="2:24" x14ac:dyDescent="0.3">
      <c r="B2628" t="s">
        <v>2721</v>
      </c>
      <c r="C2628" t="s">
        <v>53</v>
      </c>
      <c r="D2628" t="s">
        <v>7</v>
      </c>
      <c r="E2628" t="s">
        <v>18</v>
      </c>
      <c r="F2628" t="s">
        <v>9</v>
      </c>
      <c r="G2628" t="s">
        <v>104</v>
      </c>
      <c r="H2628">
        <v>2025</v>
      </c>
      <c r="I2628">
        <v>1156</v>
      </c>
      <c r="J2628">
        <v>13.7</v>
      </c>
      <c r="K2628" t="s">
        <v>25</v>
      </c>
      <c r="L2628">
        <v>10.9</v>
      </c>
      <c r="M2628">
        <v>8.9</v>
      </c>
      <c r="N2628">
        <v>5238</v>
      </c>
      <c r="O2628" t="s">
        <v>55</v>
      </c>
      <c r="P2628">
        <v>26.9</v>
      </c>
      <c r="Q2628" t="s">
        <v>65</v>
      </c>
      <c r="R2628">
        <v>-13</v>
      </c>
      <c r="S2628">
        <v>52.8</v>
      </c>
      <c r="T2628">
        <v>25.3</v>
      </c>
      <c r="U2628">
        <v>9.5</v>
      </c>
      <c r="V2628">
        <v>8.9</v>
      </c>
      <c r="W2628">
        <v>5.4</v>
      </c>
      <c r="X2628" t="s">
        <v>116</v>
      </c>
    </row>
    <row r="2629" spans="2:24" x14ac:dyDescent="0.3">
      <c r="B2629" t="s">
        <v>2722</v>
      </c>
      <c r="C2629" t="s">
        <v>100</v>
      </c>
      <c r="D2629" t="s">
        <v>3</v>
      </c>
      <c r="E2629" t="s">
        <v>14</v>
      </c>
      <c r="F2629" t="s">
        <v>9</v>
      </c>
      <c r="G2629" t="s">
        <v>115</v>
      </c>
      <c r="H2629">
        <v>2026</v>
      </c>
      <c r="I2629">
        <v>6153</v>
      </c>
      <c r="J2629">
        <v>31.7</v>
      </c>
      <c r="K2629" t="s">
        <v>24</v>
      </c>
      <c r="L2629">
        <v>9</v>
      </c>
      <c r="M2629">
        <v>10</v>
      </c>
      <c r="N2629">
        <v>530</v>
      </c>
      <c r="O2629" t="s">
        <v>75</v>
      </c>
      <c r="P2629">
        <v>15</v>
      </c>
      <c r="Q2629" t="s">
        <v>76</v>
      </c>
      <c r="R2629">
        <v>58.5</v>
      </c>
      <c r="S2629">
        <v>49.5</v>
      </c>
      <c r="T2629">
        <v>6.6</v>
      </c>
      <c r="U2629">
        <v>7.8</v>
      </c>
      <c r="V2629">
        <v>5.8</v>
      </c>
      <c r="W2629">
        <v>4.7</v>
      </c>
      <c r="X2629" t="s">
        <v>66</v>
      </c>
    </row>
    <row r="2630" spans="2:24" x14ac:dyDescent="0.3">
      <c r="B2630" t="s">
        <v>2723</v>
      </c>
      <c r="C2630" t="s">
        <v>106</v>
      </c>
      <c r="D2630" t="s">
        <v>4</v>
      </c>
      <c r="E2630" t="s">
        <v>16</v>
      </c>
      <c r="F2630" t="s">
        <v>12</v>
      </c>
      <c r="G2630" t="s">
        <v>78</v>
      </c>
      <c r="H2630">
        <v>2025</v>
      </c>
      <c r="I2630">
        <v>14451</v>
      </c>
      <c r="J2630">
        <v>13</v>
      </c>
      <c r="K2630" t="s">
        <v>21</v>
      </c>
      <c r="L2630">
        <v>11</v>
      </c>
      <c r="M2630">
        <v>10</v>
      </c>
      <c r="N2630">
        <v>1557</v>
      </c>
      <c r="O2630" t="s">
        <v>64</v>
      </c>
      <c r="P2630">
        <v>65.5</v>
      </c>
      <c r="Q2630" t="s">
        <v>88</v>
      </c>
      <c r="R2630">
        <v>43.7</v>
      </c>
      <c r="S2630">
        <v>47.7</v>
      </c>
      <c r="T2630">
        <v>9.8000000000000007</v>
      </c>
      <c r="U2630">
        <v>7</v>
      </c>
      <c r="V2630">
        <v>6</v>
      </c>
      <c r="W2630">
        <v>6.1</v>
      </c>
      <c r="X2630" t="s">
        <v>66</v>
      </c>
    </row>
    <row r="2631" spans="2:24" x14ac:dyDescent="0.3">
      <c r="B2631" t="s">
        <v>2724</v>
      </c>
      <c r="C2631" t="s">
        <v>97</v>
      </c>
      <c r="D2631" t="s">
        <v>3</v>
      </c>
      <c r="E2631" t="s">
        <v>19</v>
      </c>
      <c r="F2631" t="s">
        <v>9</v>
      </c>
      <c r="G2631" t="s">
        <v>101</v>
      </c>
      <c r="H2631">
        <v>2024</v>
      </c>
      <c r="I2631">
        <v>4210</v>
      </c>
      <c r="J2631">
        <v>14.9</v>
      </c>
      <c r="K2631" t="s">
        <v>23</v>
      </c>
      <c r="L2631">
        <v>16.2</v>
      </c>
      <c r="M2631">
        <v>10</v>
      </c>
      <c r="N2631">
        <v>820</v>
      </c>
      <c r="O2631" t="s">
        <v>55</v>
      </c>
      <c r="P2631">
        <v>26.1</v>
      </c>
      <c r="Q2631" t="s">
        <v>84</v>
      </c>
      <c r="R2631">
        <v>68.599999999999994</v>
      </c>
      <c r="S2631">
        <v>34.4</v>
      </c>
      <c r="T2631">
        <v>4.3</v>
      </c>
      <c r="U2631">
        <v>9.6</v>
      </c>
      <c r="V2631">
        <v>7.6</v>
      </c>
      <c r="W2631">
        <v>4.9000000000000004</v>
      </c>
      <c r="X2631" t="s">
        <v>116</v>
      </c>
    </row>
    <row r="2632" spans="2:24" x14ac:dyDescent="0.3">
      <c r="B2632" t="s">
        <v>2725</v>
      </c>
      <c r="C2632" t="s">
        <v>159</v>
      </c>
      <c r="D2632" t="s">
        <v>7</v>
      </c>
      <c r="E2632" t="s">
        <v>18</v>
      </c>
      <c r="F2632" t="s">
        <v>9</v>
      </c>
      <c r="G2632" t="s">
        <v>74</v>
      </c>
      <c r="H2632">
        <v>2024</v>
      </c>
      <c r="I2632">
        <v>4333</v>
      </c>
      <c r="J2632">
        <v>13.9</v>
      </c>
      <c r="K2632" t="s">
        <v>21</v>
      </c>
      <c r="L2632">
        <v>7.5</v>
      </c>
      <c r="M2632">
        <v>9.1</v>
      </c>
      <c r="N2632">
        <v>5389</v>
      </c>
      <c r="O2632" t="s">
        <v>55</v>
      </c>
      <c r="P2632">
        <v>67.900000000000006</v>
      </c>
      <c r="Q2632" t="s">
        <v>86</v>
      </c>
      <c r="R2632">
        <v>8.5</v>
      </c>
      <c r="S2632">
        <v>59.3</v>
      </c>
      <c r="T2632">
        <v>19.100000000000001</v>
      </c>
      <c r="U2632">
        <v>6.4</v>
      </c>
      <c r="V2632">
        <v>9.5</v>
      </c>
      <c r="W2632">
        <v>6.3</v>
      </c>
      <c r="X2632" t="s">
        <v>116</v>
      </c>
    </row>
    <row r="2633" spans="2:24" x14ac:dyDescent="0.3">
      <c r="B2633" t="s">
        <v>2726</v>
      </c>
      <c r="C2633" t="s">
        <v>73</v>
      </c>
      <c r="D2633" t="s">
        <v>3</v>
      </c>
      <c r="E2633" t="s">
        <v>18</v>
      </c>
      <c r="F2633" t="s">
        <v>11</v>
      </c>
      <c r="G2633" t="s">
        <v>78</v>
      </c>
      <c r="H2633">
        <v>2026</v>
      </c>
      <c r="I2633">
        <v>14066</v>
      </c>
      <c r="J2633">
        <v>18.600000000000001</v>
      </c>
      <c r="K2633" t="s">
        <v>25</v>
      </c>
      <c r="L2633">
        <v>2.6</v>
      </c>
      <c r="M2633">
        <v>8.6</v>
      </c>
      <c r="N2633">
        <v>333</v>
      </c>
      <c r="O2633" t="s">
        <v>75</v>
      </c>
      <c r="P2633">
        <v>27</v>
      </c>
      <c r="Q2633" t="s">
        <v>86</v>
      </c>
      <c r="R2633">
        <v>6.8</v>
      </c>
      <c r="S2633">
        <v>4.3</v>
      </c>
      <c r="T2633">
        <v>-0.7</v>
      </c>
      <c r="U2633">
        <v>4.2</v>
      </c>
      <c r="V2633">
        <v>5</v>
      </c>
      <c r="W2633">
        <v>4.4000000000000004</v>
      </c>
      <c r="X2633" t="s">
        <v>66</v>
      </c>
    </row>
    <row r="2634" spans="2:24" x14ac:dyDescent="0.3">
      <c r="B2634" t="s">
        <v>2727</v>
      </c>
      <c r="C2634" t="s">
        <v>53</v>
      </c>
      <c r="D2634" t="s">
        <v>3</v>
      </c>
      <c r="E2634" t="s">
        <v>18</v>
      </c>
      <c r="F2634" t="s">
        <v>12</v>
      </c>
      <c r="G2634" t="s">
        <v>115</v>
      </c>
      <c r="H2634">
        <v>2025</v>
      </c>
      <c r="I2634">
        <v>1178</v>
      </c>
      <c r="J2634">
        <v>10.1</v>
      </c>
      <c r="K2634" t="s">
        <v>24</v>
      </c>
      <c r="L2634">
        <v>7</v>
      </c>
      <c r="M2634">
        <v>6.4</v>
      </c>
      <c r="N2634">
        <v>5962</v>
      </c>
      <c r="O2634" t="s">
        <v>55</v>
      </c>
      <c r="P2634">
        <v>22.6</v>
      </c>
      <c r="Q2634" t="s">
        <v>56</v>
      </c>
      <c r="R2634">
        <v>-2</v>
      </c>
      <c r="S2634">
        <v>7.4</v>
      </c>
      <c r="T2634">
        <v>1.8</v>
      </c>
      <c r="U2634">
        <v>5.3</v>
      </c>
      <c r="V2634">
        <v>5.2</v>
      </c>
      <c r="W2634">
        <v>5.9</v>
      </c>
      <c r="X2634" t="s">
        <v>116</v>
      </c>
    </row>
    <row r="2635" spans="2:24" x14ac:dyDescent="0.3">
      <c r="B2635" t="s">
        <v>2728</v>
      </c>
      <c r="C2635" t="s">
        <v>137</v>
      </c>
      <c r="D2635" t="s">
        <v>4</v>
      </c>
      <c r="E2635" t="s">
        <v>14</v>
      </c>
      <c r="F2635" t="s">
        <v>11</v>
      </c>
      <c r="G2635" t="s">
        <v>54</v>
      </c>
      <c r="H2635">
        <v>2025</v>
      </c>
      <c r="I2635">
        <v>18113</v>
      </c>
      <c r="J2635">
        <v>15.8</v>
      </c>
      <c r="K2635" t="s">
        <v>21</v>
      </c>
      <c r="L2635">
        <v>5.0999999999999996</v>
      </c>
      <c r="M2635">
        <v>9.5</v>
      </c>
      <c r="N2635">
        <v>1931</v>
      </c>
      <c r="O2635" t="s">
        <v>64</v>
      </c>
      <c r="P2635">
        <v>79.099999999999994</v>
      </c>
      <c r="Q2635" t="s">
        <v>84</v>
      </c>
      <c r="R2635">
        <v>65.8</v>
      </c>
      <c r="S2635">
        <v>58.8</v>
      </c>
      <c r="T2635">
        <v>22.3</v>
      </c>
      <c r="U2635">
        <v>6.6</v>
      </c>
      <c r="V2635">
        <v>6.7</v>
      </c>
      <c r="W2635">
        <v>6.4</v>
      </c>
      <c r="X2635" t="s">
        <v>66</v>
      </c>
    </row>
    <row r="2636" spans="2:24" x14ac:dyDescent="0.3">
      <c r="B2636" t="s">
        <v>2729</v>
      </c>
      <c r="C2636" t="s">
        <v>106</v>
      </c>
      <c r="D2636" t="s">
        <v>8</v>
      </c>
      <c r="E2636" t="s">
        <v>18</v>
      </c>
      <c r="F2636" t="s">
        <v>9</v>
      </c>
      <c r="G2636" t="s">
        <v>60</v>
      </c>
      <c r="H2636">
        <v>2025</v>
      </c>
      <c r="I2636">
        <v>6398</v>
      </c>
      <c r="J2636">
        <v>7.9</v>
      </c>
      <c r="K2636" t="s">
        <v>22</v>
      </c>
      <c r="L2636">
        <v>4.9000000000000004</v>
      </c>
      <c r="M2636">
        <v>3.7</v>
      </c>
      <c r="N2636">
        <v>345</v>
      </c>
      <c r="O2636" t="s">
        <v>64</v>
      </c>
      <c r="P2636">
        <v>72.900000000000006</v>
      </c>
      <c r="Q2636" t="s">
        <v>84</v>
      </c>
      <c r="R2636">
        <v>55.5</v>
      </c>
      <c r="S2636">
        <v>47.2</v>
      </c>
      <c r="T2636">
        <v>13.5</v>
      </c>
      <c r="U2636">
        <v>3.7</v>
      </c>
      <c r="V2636">
        <v>8.1999999999999993</v>
      </c>
      <c r="W2636">
        <v>8</v>
      </c>
      <c r="X2636" t="s">
        <v>116</v>
      </c>
    </row>
    <row r="2637" spans="2:24" x14ac:dyDescent="0.3">
      <c r="B2637" t="s">
        <v>2730</v>
      </c>
      <c r="C2637" t="s">
        <v>73</v>
      </c>
      <c r="D2637" t="s">
        <v>2</v>
      </c>
      <c r="E2637" t="s">
        <v>17</v>
      </c>
      <c r="F2637" t="s">
        <v>11</v>
      </c>
      <c r="G2637" t="s">
        <v>78</v>
      </c>
      <c r="H2637">
        <v>2025</v>
      </c>
      <c r="I2637">
        <v>1063</v>
      </c>
      <c r="J2637">
        <v>7.6</v>
      </c>
      <c r="K2637" t="s">
        <v>24</v>
      </c>
      <c r="L2637">
        <v>5.7</v>
      </c>
      <c r="M2637">
        <v>4.5</v>
      </c>
      <c r="N2637">
        <v>9704</v>
      </c>
      <c r="O2637" t="s">
        <v>118</v>
      </c>
      <c r="P2637">
        <v>51.8</v>
      </c>
      <c r="Q2637" t="s">
        <v>76</v>
      </c>
      <c r="R2637">
        <v>3.4</v>
      </c>
      <c r="S2637">
        <v>35.1</v>
      </c>
      <c r="T2637">
        <v>21.3</v>
      </c>
      <c r="U2637">
        <v>3.4</v>
      </c>
      <c r="V2637">
        <v>8.9</v>
      </c>
      <c r="W2637">
        <v>8</v>
      </c>
      <c r="X2637" t="s">
        <v>57</v>
      </c>
    </row>
    <row r="2638" spans="2:24" x14ac:dyDescent="0.3">
      <c r="B2638" t="s">
        <v>2731</v>
      </c>
      <c r="C2638" t="s">
        <v>53</v>
      </c>
      <c r="D2638" t="s">
        <v>2</v>
      </c>
      <c r="E2638" t="s">
        <v>16</v>
      </c>
      <c r="F2638" t="s">
        <v>11</v>
      </c>
      <c r="G2638" t="s">
        <v>131</v>
      </c>
      <c r="H2638">
        <v>2026</v>
      </c>
      <c r="I2638">
        <v>611</v>
      </c>
      <c r="J2638">
        <v>16.8</v>
      </c>
      <c r="K2638" t="s">
        <v>25</v>
      </c>
      <c r="L2638">
        <v>5.9</v>
      </c>
      <c r="M2638">
        <v>9.6999999999999993</v>
      </c>
      <c r="N2638">
        <v>4577</v>
      </c>
      <c r="O2638" t="s">
        <v>55</v>
      </c>
      <c r="P2638">
        <v>55.1</v>
      </c>
      <c r="Q2638" t="s">
        <v>56</v>
      </c>
      <c r="R2638">
        <v>60.8</v>
      </c>
      <c r="S2638">
        <v>48</v>
      </c>
      <c r="T2638">
        <v>21.3</v>
      </c>
      <c r="U2638">
        <v>4.2</v>
      </c>
      <c r="V2638">
        <v>8.8000000000000007</v>
      </c>
      <c r="W2638">
        <v>6</v>
      </c>
      <c r="X2638" t="s">
        <v>116</v>
      </c>
    </row>
    <row r="2639" spans="2:24" x14ac:dyDescent="0.3">
      <c r="B2639" t="s">
        <v>2732</v>
      </c>
      <c r="C2639" t="s">
        <v>106</v>
      </c>
      <c r="D2639" t="s">
        <v>3</v>
      </c>
      <c r="E2639" t="s">
        <v>17</v>
      </c>
      <c r="F2639" t="s">
        <v>9</v>
      </c>
      <c r="G2639" t="s">
        <v>63</v>
      </c>
      <c r="H2639">
        <v>2024</v>
      </c>
      <c r="I2639">
        <v>3063</v>
      </c>
      <c r="J2639">
        <v>5.8</v>
      </c>
      <c r="K2639" t="s">
        <v>23</v>
      </c>
      <c r="L2639">
        <v>5</v>
      </c>
      <c r="M2639">
        <v>10</v>
      </c>
      <c r="N2639">
        <v>1226</v>
      </c>
      <c r="O2639" t="s">
        <v>55</v>
      </c>
      <c r="P2639">
        <v>24.8</v>
      </c>
      <c r="Q2639" t="s">
        <v>88</v>
      </c>
      <c r="R2639">
        <v>-30.2</v>
      </c>
      <c r="S2639">
        <v>44.1</v>
      </c>
      <c r="T2639">
        <v>10.4</v>
      </c>
      <c r="U2639">
        <v>6.2</v>
      </c>
      <c r="V2639">
        <v>6.7</v>
      </c>
      <c r="W2639">
        <v>6.2</v>
      </c>
      <c r="X2639" t="s">
        <v>116</v>
      </c>
    </row>
    <row r="2640" spans="2:24" x14ac:dyDescent="0.3">
      <c r="B2640" t="s">
        <v>2733</v>
      </c>
      <c r="C2640" t="s">
        <v>142</v>
      </c>
      <c r="D2640" t="s">
        <v>8</v>
      </c>
      <c r="E2640" t="s">
        <v>14</v>
      </c>
      <c r="F2640" t="s">
        <v>11</v>
      </c>
      <c r="G2640" t="s">
        <v>78</v>
      </c>
      <c r="H2640">
        <v>2025</v>
      </c>
      <c r="I2640">
        <v>1078</v>
      </c>
      <c r="J2640">
        <v>7.6</v>
      </c>
      <c r="K2640" t="s">
        <v>23</v>
      </c>
      <c r="L2640">
        <v>4.5999999999999996</v>
      </c>
      <c r="M2640">
        <v>6.6</v>
      </c>
      <c r="N2640">
        <v>5738</v>
      </c>
      <c r="O2640" t="s">
        <v>55</v>
      </c>
      <c r="P2640">
        <v>58.9</v>
      </c>
      <c r="Q2640" t="s">
        <v>88</v>
      </c>
      <c r="R2640">
        <v>49.5</v>
      </c>
      <c r="S2640">
        <v>-8</v>
      </c>
      <c r="T2640">
        <v>-7.2</v>
      </c>
      <c r="U2640">
        <v>5.4</v>
      </c>
      <c r="V2640">
        <v>8</v>
      </c>
      <c r="W2640">
        <v>5.9</v>
      </c>
      <c r="X2640" t="s">
        <v>57</v>
      </c>
    </row>
    <row r="2641" spans="2:24" x14ac:dyDescent="0.3">
      <c r="B2641" t="s">
        <v>2734</v>
      </c>
      <c r="C2641" t="s">
        <v>137</v>
      </c>
      <c r="D2641" t="s">
        <v>4</v>
      </c>
      <c r="E2641" t="s">
        <v>15</v>
      </c>
      <c r="F2641" t="s">
        <v>9</v>
      </c>
      <c r="G2641" t="s">
        <v>112</v>
      </c>
      <c r="H2641">
        <v>2024</v>
      </c>
      <c r="I2641">
        <v>2496</v>
      </c>
      <c r="J2641">
        <v>1.6</v>
      </c>
      <c r="K2641" t="s">
        <v>22</v>
      </c>
      <c r="L2641">
        <v>8.6999999999999993</v>
      </c>
      <c r="M2641">
        <v>10</v>
      </c>
      <c r="N2641">
        <v>3978</v>
      </c>
      <c r="O2641" t="s">
        <v>55</v>
      </c>
      <c r="P2641">
        <v>43.1</v>
      </c>
      <c r="Q2641" t="s">
        <v>65</v>
      </c>
      <c r="R2641">
        <v>-30</v>
      </c>
      <c r="S2641">
        <v>9.1999999999999993</v>
      </c>
      <c r="T2641">
        <v>16.7</v>
      </c>
      <c r="U2641">
        <v>8.9</v>
      </c>
      <c r="V2641">
        <v>7.4</v>
      </c>
      <c r="W2641">
        <v>7</v>
      </c>
      <c r="X2641" t="s">
        <v>57</v>
      </c>
    </row>
    <row r="2642" spans="2:24" x14ac:dyDescent="0.3">
      <c r="B2642" t="s">
        <v>2735</v>
      </c>
      <c r="C2642" t="s">
        <v>139</v>
      </c>
      <c r="D2642" t="s">
        <v>8</v>
      </c>
      <c r="E2642" t="s">
        <v>19</v>
      </c>
      <c r="F2642" t="s">
        <v>11</v>
      </c>
      <c r="G2642" t="s">
        <v>60</v>
      </c>
      <c r="H2642">
        <v>2025</v>
      </c>
      <c r="I2642">
        <v>11739</v>
      </c>
      <c r="J2642">
        <v>23.3</v>
      </c>
      <c r="K2642" t="s">
        <v>23</v>
      </c>
      <c r="L2642">
        <v>8.8000000000000007</v>
      </c>
      <c r="M2642">
        <v>10</v>
      </c>
      <c r="N2642">
        <v>885</v>
      </c>
      <c r="O2642" t="s">
        <v>75</v>
      </c>
      <c r="P2642">
        <v>67.099999999999994</v>
      </c>
      <c r="Q2642" t="s">
        <v>88</v>
      </c>
      <c r="R2642">
        <v>-43.9</v>
      </c>
      <c r="S2642">
        <v>23.2</v>
      </c>
      <c r="T2642">
        <v>7.5</v>
      </c>
      <c r="U2642">
        <v>5.9</v>
      </c>
      <c r="V2642">
        <v>4.7</v>
      </c>
      <c r="W2642">
        <v>5.3</v>
      </c>
      <c r="X2642" t="s">
        <v>66</v>
      </c>
    </row>
    <row r="2643" spans="2:24" x14ac:dyDescent="0.3">
      <c r="B2643" t="s">
        <v>2736</v>
      </c>
      <c r="C2643" t="s">
        <v>159</v>
      </c>
      <c r="D2643" t="s">
        <v>2</v>
      </c>
      <c r="E2643" t="s">
        <v>16</v>
      </c>
      <c r="F2643" t="s">
        <v>12</v>
      </c>
      <c r="G2643" t="s">
        <v>78</v>
      </c>
      <c r="H2643">
        <v>2026</v>
      </c>
      <c r="I2643">
        <v>2828</v>
      </c>
      <c r="J2643">
        <v>5.7</v>
      </c>
      <c r="K2643" t="s">
        <v>25</v>
      </c>
      <c r="L2643">
        <v>9.5</v>
      </c>
      <c r="M2643">
        <v>3.2</v>
      </c>
      <c r="N2643">
        <v>8874</v>
      </c>
      <c r="O2643" t="s">
        <v>118</v>
      </c>
      <c r="P2643">
        <v>20.7</v>
      </c>
      <c r="Q2643" t="s">
        <v>76</v>
      </c>
      <c r="R2643">
        <v>3.8</v>
      </c>
      <c r="S2643">
        <v>23.5</v>
      </c>
      <c r="T2643">
        <v>11.3</v>
      </c>
      <c r="U2643">
        <v>6.3</v>
      </c>
      <c r="V2643">
        <v>5.8</v>
      </c>
      <c r="W2643">
        <v>7.6</v>
      </c>
      <c r="X2643" t="s">
        <v>116</v>
      </c>
    </row>
    <row r="2644" spans="2:24" x14ac:dyDescent="0.3">
      <c r="B2644" t="s">
        <v>2737</v>
      </c>
      <c r="C2644" t="s">
        <v>137</v>
      </c>
      <c r="D2644" t="s">
        <v>4</v>
      </c>
      <c r="E2644" t="s">
        <v>17</v>
      </c>
      <c r="F2644" t="s">
        <v>11</v>
      </c>
      <c r="G2644" t="s">
        <v>63</v>
      </c>
      <c r="H2644">
        <v>2024</v>
      </c>
      <c r="I2644">
        <v>11291</v>
      </c>
      <c r="J2644">
        <v>12.5</v>
      </c>
      <c r="K2644" t="s">
        <v>24</v>
      </c>
      <c r="L2644">
        <v>5.7</v>
      </c>
      <c r="M2644">
        <v>9</v>
      </c>
      <c r="N2644">
        <v>314</v>
      </c>
      <c r="O2644" t="s">
        <v>64</v>
      </c>
      <c r="P2644">
        <v>89.6</v>
      </c>
      <c r="Q2644" t="s">
        <v>65</v>
      </c>
      <c r="R2644">
        <v>31.4</v>
      </c>
      <c r="S2644">
        <v>23.5</v>
      </c>
      <c r="T2644">
        <v>8.5</v>
      </c>
      <c r="U2644">
        <v>4.3</v>
      </c>
      <c r="V2644">
        <v>6.1</v>
      </c>
      <c r="W2644">
        <v>5</v>
      </c>
      <c r="X2644" t="s">
        <v>66</v>
      </c>
    </row>
    <row r="2645" spans="2:24" x14ac:dyDescent="0.3">
      <c r="B2645" t="s">
        <v>2738</v>
      </c>
      <c r="C2645" t="s">
        <v>137</v>
      </c>
      <c r="D2645" t="s">
        <v>3</v>
      </c>
      <c r="E2645" t="s">
        <v>19</v>
      </c>
      <c r="F2645" t="s">
        <v>9</v>
      </c>
      <c r="G2645" t="s">
        <v>115</v>
      </c>
      <c r="H2645">
        <v>2026</v>
      </c>
      <c r="I2645">
        <v>41</v>
      </c>
      <c r="J2645">
        <v>5.9</v>
      </c>
      <c r="K2645" t="s">
        <v>23</v>
      </c>
      <c r="L2645">
        <v>10.5</v>
      </c>
      <c r="M2645">
        <v>5.5</v>
      </c>
      <c r="N2645">
        <v>2077</v>
      </c>
      <c r="O2645" t="s">
        <v>64</v>
      </c>
      <c r="P2645">
        <v>16.2</v>
      </c>
      <c r="Q2645" t="s">
        <v>79</v>
      </c>
      <c r="R2645">
        <v>73.8</v>
      </c>
      <c r="S2645">
        <v>32.700000000000003</v>
      </c>
      <c r="T2645">
        <v>9.1999999999999993</v>
      </c>
      <c r="U2645">
        <v>6.3</v>
      </c>
      <c r="V2645">
        <v>7.5</v>
      </c>
      <c r="W2645">
        <v>6.7</v>
      </c>
      <c r="X2645" t="s">
        <v>57</v>
      </c>
    </row>
    <row r="2646" spans="2:24" x14ac:dyDescent="0.3">
      <c r="B2646" t="s">
        <v>2739</v>
      </c>
      <c r="C2646" t="s">
        <v>71</v>
      </c>
      <c r="D2646" t="s">
        <v>6</v>
      </c>
      <c r="E2646" t="s">
        <v>17</v>
      </c>
      <c r="F2646" t="s">
        <v>12</v>
      </c>
      <c r="G2646" t="s">
        <v>69</v>
      </c>
      <c r="H2646">
        <v>2025</v>
      </c>
      <c r="I2646">
        <v>304</v>
      </c>
      <c r="J2646">
        <v>4.4000000000000004</v>
      </c>
      <c r="K2646" t="s">
        <v>23</v>
      </c>
      <c r="L2646">
        <v>3.1</v>
      </c>
      <c r="M2646">
        <v>7.9</v>
      </c>
      <c r="N2646">
        <v>5864</v>
      </c>
      <c r="O2646" t="s">
        <v>55</v>
      </c>
      <c r="P2646">
        <v>33.1</v>
      </c>
      <c r="Q2646" t="s">
        <v>125</v>
      </c>
      <c r="R2646">
        <v>50.1</v>
      </c>
      <c r="S2646">
        <v>33.700000000000003</v>
      </c>
      <c r="T2646">
        <v>18.8</v>
      </c>
      <c r="U2646">
        <v>4.2</v>
      </c>
      <c r="V2646">
        <v>9.1999999999999993</v>
      </c>
      <c r="W2646">
        <v>6.3</v>
      </c>
      <c r="X2646" t="s">
        <v>57</v>
      </c>
    </row>
    <row r="2647" spans="2:24" x14ac:dyDescent="0.3">
      <c r="B2647" t="s">
        <v>2740</v>
      </c>
      <c r="C2647" t="s">
        <v>53</v>
      </c>
      <c r="D2647" t="s">
        <v>4</v>
      </c>
      <c r="E2647" t="s">
        <v>14</v>
      </c>
      <c r="F2647" t="s">
        <v>11</v>
      </c>
      <c r="G2647" t="s">
        <v>74</v>
      </c>
      <c r="H2647">
        <v>2024</v>
      </c>
      <c r="I2647">
        <v>1877</v>
      </c>
      <c r="J2647">
        <v>32.299999999999997</v>
      </c>
      <c r="K2647" t="s">
        <v>24</v>
      </c>
      <c r="L2647">
        <v>2.4</v>
      </c>
      <c r="M2647">
        <v>6.2</v>
      </c>
      <c r="N2647">
        <v>1576</v>
      </c>
      <c r="O2647" t="s">
        <v>75</v>
      </c>
      <c r="P2647">
        <v>73.900000000000006</v>
      </c>
      <c r="Q2647" t="s">
        <v>76</v>
      </c>
      <c r="R2647">
        <v>46.4</v>
      </c>
      <c r="S2647">
        <v>40.299999999999997</v>
      </c>
      <c r="T2647">
        <v>10.3</v>
      </c>
      <c r="U2647">
        <v>1.8</v>
      </c>
      <c r="V2647">
        <v>7.2</v>
      </c>
      <c r="W2647">
        <v>4.2</v>
      </c>
      <c r="X2647" t="s">
        <v>66</v>
      </c>
    </row>
    <row r="2648" spans="2:24" x14ac:dyDescent="0.3">
      <c r="B2648" t="s">
        <v>2741</v>
      </c>
      <c r="C2648" t="s">
        <v>100</v>
      </c>
      <c r="D2648" t="s">
        <v>3</v>
      </c>
      <c r="E2648" t="s">
        <v>16</v>
      </c>
      <c r="F2648" t="s">
        <v>10</v>
      </c>
      <c r="G2648" t="s">
        <v>60</v>
      </c>
      <c r="H2648">
        <v>2024</v>
      </c>
      <c r="I2648">
        <v>4208</v>
      </c>
      <c r="J2648">
        <v>1</v>
      </c>
      <c r="K2648" t="s">
        <v>24</v>
      </c>
      <c r="L2648">
        <v>7.7</v>
      </c>
      <c r="M2648">
        <v>10</v>
      </c>
      <c r="N2648">
        <v>4359</v>
      </c>
      <c r="O2648" t="s">
        <v>55</v>
      </c>
      <c r="P2648">
        <v>64.400000000000006</v>
      </c>
      <c r="Q2648" t="s">
        <v>76</v>
      </c>
      <c r="R2648">
        <v>35.799999999999997</v>
      </c>
      <c r="S2648">
        <v>-21.4</v>
      </c>
      <c r="T2648">
        <v>-4.7</v>
      </c>
      <c r="U2648">
        <v>7.7</v>
      </c>
      <c r="V2648">
        <v>5.4</v>
      </c>
      <c r="W2648">
        <v>6.1</v>
      </c>
      <c r="X2648" t="s">
        <v>116</v>
      </c>
    </row>
    <row r="2649" spans="2:24" x14ac:dyDescent="0.3">
      <c r="B2649" t="s">
        <v>2742</v>
      </c>
      <c r="C2649" t="s">
        <v>106</v>
      </c>
      <c r="D2649" t="s">
        <v>8</v>
      </c>
      <c r="E2649" t="s">
        <v>16</v>
      </c>
      <c r="F2649" t="s">
        <v>12</v>
      </c>
      <c r="G2649" t="s">
        <v>115</v>
      </c>
      <c r="H2649">
        <v>2025</v>
      </c>
      <c r="I2649">
        <v>3937</v>
      </c>
      <c r="J2649">
        <v>22.5</v>
      </c>
      <c r="K2649" t="s">
        <v>22</v>
      </c>
      <c r="L2649">
        <v>8.4</v>
      </c>
      <c r="M2649">
        <v>10</v>
      </c>
      <c r="N2649">
        <v>1813</v>
      </c>
      <c r="O2649" t="s">
        <v>64</v>
      </c>
      <c r="P2649">
        <v>89.5</v>
      </c>
      <c r="Q2649" t="s">
        <v>56</v>
      </c>
      <c r="R2649">
        <v>31.9</v>
      </c>
      <c r="S2649">
        <v>-4.4000000000000004</v>
      </c>
      <c r="T2649">
        <v>-6.2</v>
      </c>
      <c r="U2649">
        <v>8.5</v>
      </c>
      <c r="V2649">
        <v>6.4</v>
      </c>
      <c r="W2649">
        <v>3.1</v>
      </c>
      <c r="X2649" t="s">
        <v>66</v>
      </c>
    </row>
    <row r="2650" spans="2:24" x14ac:dyDescent="0.3">
      <c r="B2650" t="s">
        <v>2743</v>
      </c>
      <c r="C2650" t="s">
        <v>106</v>
      </c>
      <c r="D2650" t="s">
        <v>7</v>
      </c>
      <c r="E2650" t="s">
        <v>17</v>
      </c>
      <c r="F2650" t="s">
        <v>11</v>
      </c>
      <c r="G2650" t="s">
        <v>115</v>
      </c>
      <c r="H2650">
        <v>2026</v>
      </c>
      <c r="I2650">
        <v>6750</v>
      </c>
      <c r="J2650">
        <v>3.2</v>
      </c>
      <c r="K2650" t="s">
        <v>24</v>
      </c>
      <c r="L2650">
        <v>6.2</v>
      </c>
      <c r="M2650">
        <v>7.5</v>
      </c>
      <c r="N2650">
        <v>1018</v>
      </c>
      <c r="O2650" t="s">
        <v>55</v>
      </c>
      <c r="P2650">
        <v>19.399999999999999</v>
      </c>
      <c r="Q2650" t="s">
        <v>56</v>
      </c>
      <c r="R2650">
        <v>-14.7</v>
      </c>
      <c r="S2650">
        <v>-20.399999999999999</v>
      </c>
      <c r="T2650">
        <v>2.2000000000000002</v>
      </c>
      <c r="U2650">
        <v>6.5</v>
      </c>
      <c r="V2650">
        <v>4.4000000000000004</v>
      </c>
      <c r="W2650">
        <v>6</v>
      </c>
      <c r="X2650" t="s">
        <v>116</v>
      </c>
    </row>
    <row r="2651" spans="2:24" x14ac:dyDescent="0.3">
      <c r="B2651" t="s">
        <v>2744</v>
      </c>
      <c r="C2651" t="s">
        <v>100</v>
      </c>
      <c r="D2651" t="s">
        <v>3</v>
      </c>
      <c r="E2651" t="s">
        <v>15</v>
      </c>
      <c r="F2651" t="s">
        <v>10</v>
      </c>
      <c r="G2651" t="s">
        <v>78</v>
      </c>
      <c r="H2651">
        <v>2024</v>
      </c>
      <c r="I2651">
        <v>209</v>
      </c>
      <c r="J2651">
        <v>4.9000000000000004</v>
      </c>
      <c r="K2651" t="s">
        <v>23</v>
      </c>
      <c r="L2651">
        <v>12.2</v>
      </c>
      <c r="M2651">
        <v>4</v>
      </c>
      <c r="N2651">
        <v>5134</v>
      </c>
      <c r="O2651" t="s">
        <v>118</v>
      </c>
      <c r="P2651">
        <v>84.9</v>
      </c>
      <c r="Q2651" t="s">
        <v>76</v>
      </c>
      <c r="R2651">
        <v>25.8</v>
      </c>
      <c r="S2651">
        <v>35.700000000000003</v>
      </c>
      <c r="T2651">
        <v>18</v>
      </c>
      <c r="U2651">
        <v>9</v>
      </c>
      <c r="V2651">
        <v>8.3000000000000007</v>
      </c>
      <c r="W2651">
        <v>6.9</v>
      </c>
      <c r="X2651" t="s">
        <v>57</v>
      </c>
    </row>
    <row r="2652" spans="2:24" x14ac:dyDescent="0.3">
      <c r="B2652" t="s">
        <v>2745</v>
      </c>
      <c r="C2652" t="s">
        <v>106</v>
      </c>
      <c r="D2652" t="s">
        <v>7</v>
      </c>
      <c r="E2652" t="s">
        <v>18</v>
      </c>
      <c r="F2652" t="s">
        <v>9</v>
      </c>
      <c r="G2652" t="s">
        <v>115</v>
      </c>
      <c r="H2652">
        <v>2024</v>
      </c>
      <c r="I2652">
        <v>240</v>
      </c>
      <c r="J2652">
        <v>8.9</v>
      </c>
      <c r="K2652" t="s">
        <v>21</v>
      </c>
      <c r="L2652">
        <v>7.4</v>
      </c>
      <c r="M2652">
        <v>6.4</v>
      </c>
      <c r="N2652">
        <v>4416</v>
      </c>
      <c r="O2652" t="s">
        <v>118</v>
      </c>
      <c r="P2652">
        <v>38.9</v>
      </c>
      <c r="Q2652" t="s">
        <v>56</v>
      </c>
      <c r="R2652">
        <v>34.299999999999997</v>
      </c>
      <c r="S2652">
        <v>58.6</v>
      </c>
      <c r="T2652">
        <v>21.6</v>
      </c>
      <c r="U2652">
        <v>9.3000000000000007</v>
      </c>
      <c r="V2652">
        <v>8.6999999999999993</v>
      </c>
      <c r="W2652">
        <v>7.7</v>
      </c>
      <c r="X2652" t="s">
        <v>57</v>
      </c>
    </row>
    <row r="2653" spans="2:24" x14ac:dyDescent="0.3">
      <c r="B2653" t="s">
        <v>2746</v>
      </c>
      <c r="C2653" t="s">
        <v>27</v>
      </c>
      <c r="D2653" t="s">
        <v>3</v>
      </c>
      <c r="E2653" t="s">
        <v>16</v>
      </c>
      <c r="F2653" t="s">
        <v>12</v>
      </c>
      <c r="G2653" t="s">
        <v>54</v>
      </c>
      <c r="H2653">
        <v>2026</v>
      </c>
      <c r="I2653">
        <v>4262</v>
      </c>
      <c r="J2653">
        <v>7.8</v>
      </c>
      <c r="K2653" t="s">
        <v>22</v>
      </c>
      <c r="L2653">
        <v>4.0999999999999996</v>
      </c>
      <c r="M2653">
        <v>5.5</v>
      </c>
      <c r="N2653">
        <v>2573</v>
      </c>
      <c r="O2653" t="s">
        <v>64</v>
      </c>
      <c r="P2653">
        <v>56.9</v>
      </c>
      <c r="Q2653" t="s">
        <v>79</v>
      </c>
      <c r="R2653">
        <v>70.400000000000006</v>
      </c>
      <c r="S2653">
        <v>-14.6</v>
      </c>
      <c r="T2653">
        <v>-7.8</v>
      </c>
      <c r="U2653">
        <v>3.4</v>
      </c>
      <c r="V2653">
        <v>7.4</v>
      </c>
      <c r="W2653">
        <v>4.8</v>
      </c>
      <c r="X2653" t="s">
        <v>116</v>
      </c>
    </row>
    <row r="2654" spans="2:24" x14ac:dyDescent="0.3">
      <c r="B2654" t="s">
        <v>2747</v>
      </c>
      <c r="C2654" t="s">
        <v>81</v>
      </c>
      <c r="D2654" t="s">
        <v>5</v>
      </c>
      <c r="E2654" t="s">
        <v>19</v>
      </c>
      <c r="F2654" t="s">
        <v>10</v>
      </c>
      <c r="G2654" t="s">
        <v>69</v>
      </c>
      <c r="H2654">
        <v>2025</v>
      </c>
      <c r="I2654">
        <v>1466</v>
      </c>
      <c r="J2654">
        <v>31.7</v>
      </c>
      <c r="K2654" t="s">
        <v>25</v>
      </c>
      <c r="L2654">
        <v>5.9</v>
      </c>
      <c r="M2654">
        <v>10</v>
      </c>
      <c r="N2654">
        <v>1499</v>
      </c>
      <c r="O2654" t="s">
        <v>75</v>
      </c>
      <c r="P2654">
        <v>29.3</v>
      </c>
      <c r="Q2654" t="s">
        <v>86</v>
      </c>
      <c r="R2654">
        <v>-28.1</v>
      </c>
      <c r="S2654">
        <v>-9.6</v>
      </c>
      <c r="T2654">
        <v>-9.3000000000000007</v>
      </c>
      <c r="U2654">
        <v>7.8</v>
      </c>
      <c r="V2654">
        <v>3.2</v>
      </c>
      <c r="W2654">
        <v>1.8</v>
      </c>
      <c r="X2654" t="s">
        <v>66</v>
      </c>
    </row>
    <row r="2655" spans="2:24" x14ac:dyDescent="0.3">
      <c r="B2655" t="s">
        <v>2748</v>
      </c>
      <c r="C2655" t="s">
        <v>53</v>
      </c>
      <c r="D2655" t="s">
        <v>2</v>
      </c>
      <c r="E2655" t="s">
        <v>19</v>
      </c>
      <c r="F2655" t="s">
        <v>9</v>
      </c>
      <c r="G2655" t="s">
        <v>104</v>
      </c>
      <c r="H2655">
        <v>2025</v>
      </c>
      <c r="I2655">
        <v>7858</v>
      </c>
      <c r="J2655">
        <v>32.4</v>
      </c>
      <c r="K2655" t="s">
        <v>21</v>
      </c>
      <c r="L2655">
        <v>7.7</v>
      </c>
      <c r="M2655">
        <v>10</v>
      </c>
      <c r="N2655">
        <v>4594</v>
      </c>
      <c r="O2655" t="s">
        <v>64</v>
      </c>
      <c r="P2655">
        <v>47.1</v>
      </c>
      <c r="Q2655" t="s">
        <v>56</v>
      </c>
      <c r="R2655">
        <v>87.9</v>
      </c>
      <c r="S2655">
        <v>15.4</v>
      </c>
      <c r="T2655">
        <v>6.1</v>
      </c>
      <c r="U2655">
        <v>5.8</v>
      </c>
      <c r="V2655">
        <v>5.6</v>
      </c>
      <c r="W2655">
        <v>2.6</v>
      </c>
      <c r="X2655" t="s">
        <v>66</v>
      </c>
    </row>
    <row r="2656" spans="2:24" x14ac:dyDescent="0.3">
      <c r="B2656" t="s">
        <v>2749</v>
      </c>
      <c r="C2656" t="s">
        <v>53</v>
      </c>
      <c r="D2656" t="s">
        <v>4</v>
      </c>
      <c r="E2656" t="s">
        <v>16</v>
      </c>
      <c r="F2656" t="s">
        <v>10</v>
      </c>
      <c r="G2656" t="s">
        <v>69</v>
      </c>
      <c r="H2656">
        <v>2025</v>
      </c>
      <c r="I2656">
        <v>609</v>
      </c>
      <c r="J2656">
        <v>7.7</v>
      </c>
      <c r="K2656" t="s">
        <v>24</v>
      </c>
      <c r="L2656">
        <v>3.1</v>
      </c>
      <c r="M2656">
        <v>5.4</v>
      </c>
      <c r="N2656">
        <v>2993</v>
      </c>
      <c r="O2656" t="s">
        <v>55</v>
      </c>
      <c r="P2656">
        <v>34.200000000000003</v>
      </c>
      <c r="Q2656" t="s">
        <v>88</v>
      </c>
      <c r="R2656">
        <v>52.8</v>
      </c>
      <c r="S2656">
        <v>45.7</v>
      </c>
      <c r="T2656">
        <v>20.5</v>
      </c>
      <c r="U2656">
        <v>3.6</v>
      </c>
      <c r="V2656">
        <v>9.1</v>
      </c>
      <c r="W2656">
        <v>8</v>
      </c>
      <c r="X2656" t="s">
        <v>57</v>
      </c>
    </row>
    <row r="2657" spans="2:24" x14ac:dyDescent="0.3">
      <c r="B2657" t="s">
        <v>2750</v>
      </c>
      <c r="C2657" t="s">
        <v>53</v>
      </c>
      <c r="D2657" t="s">
        <v>7</v>
      </c>
      <c r="E2657" t="s">
        <v>16</v>
      </c>
      <c r="F2657" t="s">
        <v>10</v>
      </c>
      <c r="G2657" t="s">
        <v>69</v>
      </c>
      <c r="H2657">
        <v>2024</v>
      </c>
      <c r="I2657">
        <v>388</v>
      </c>
      <c r="J2657">
        <v>2.8</v>
      </c>
      <c r="K2657" t="s">
        <v>25</v>
      </c>
      <c r="L2657">
        <v>9.5</v>
      </c>
      <c r="M2657">
        <v>10</v>
      </c>
      <c r="N2657">
        <v>3593</v>
      </c>
      <c r="O2657" t="s">
        <v>55</v>
      </c>
      <c r="P2657">
        <v>83.6</v>
      </c>
      <c r="Q2657" t="s">
        <v>76</v>
      </c>
      <c r="R2657">
        <v>15.9</v>
      </c>
      <c r="S2657">
        <v>55.6</v>
      </c>
      <c r="T2657">
        <v>33.9</v>
      </c>
      <c r="U2657">
        <v>9.6</v>
      </c>
      <c r="V2657">
        <v>6.7</v>
      </c>
      <c r="W2657">
        <v>7.4</v>
      </c>
      <c r="X2657" t="s">
        <v>57</v>
      </c>
    </row>
    <row r="2658" spans="2:24" x14ac:dyDescent="0.3">
      <c r="B2658" t="s">
        <v>2751</v>
      </c>
      <c r="C2658" t="s">
        <v>159</v>
      </c>
      <c r="D2658" t="s">
        <v>7</v>
      </c>
      <c r="E2658" t="s">
        <v>17</v>
      </c>
      <c r="F2658" t="s">
        <v>11</v>
      </c>
      <c r="G2658" t="s">
        <v>60</v>
      </c>
      <c r="H2658">
        <v>2024</v>
      </c>
      <c r="I2658">
        <v>6187</v>
      </c>
      <c r="J2658">
        <v>11.4</v>
      </c>
      <c r="K2658" t="s">
        <v>22</v>
      </c>
      <c r="L2658">
        <v>10</v>
      </c>
      <c r="M2658">
        <v>10</v>
      </c>
      <c r="N2658">
        <v>4449</v>
      </c>
      <c r="O2658" t="s">
        <v>55</v>
      </c>
      <c r="P2658">
        <v>13.8</v>
      </c>
      <c r="Q2658" t="s">
        <v>65</v>
      </c>
      <c r="R2658">
        <v>-42.6</v>
      </c>
      <c r="S2658">
        <v>-12.3</v>
      </c>
      <c r="T2658">
        <v>-4.2</v>
      </c>
      <c r="U2658">
        <v>9.8000000000000007</v>
      </c>
      <c r="V2658">
        <v>6.7</v>
      </c>
      <c r="W2658">
        <v>4.5</v>
      </c>
      <c r="X2658" t="s">
        <v>116</v>
      </c>
    </row>
    <row r="2659" spans="2:24" x14ac:dyDescent="0.3">
      <c r="B2659" t="s">
        <v>2752</v>
      </c>
      <c r="C2659" t="s">
        <v>27</v>
      </c>
      <c r="D2659" t="s">
        <v>3</v>
      </c>
      <c r="E2659" t="s">
        <v>16</v>
      </c>
      <c r="F2659" t="s">
        <v>11</v>
      </c>
      <c r="G2659" t="s">
        <v>54</v>
      </c>
      <c r="H2659">
        <v>2025</v>
      </c>
      <c r="I2659">
        <v>15439</v>
      </c>
      <c r="J2659">
        <v>38.4</v>
      </c>
      <c r="K2659" t="s">
        <v>22</v>
      </c>
      <c r="L2659">
        <v>2.8</v>
      </c>
      <c r="M2659">
        <v>10</v>
      </c>
      <c r="N2659">
        <v>1945</v>
      </c>
      <c r="O2659" t="s">
        <v>75</v>
      </c>
      <c r="P2659">
        <v>74.5</v>
      </c>
      <c r="Q2659" t="s">
        <v>125</v>
      </c>
      <c r="R2659">
        <v>77.5</v>
      </c>
      <c r="S2659">
        <v>14.7</v>
      </c>
      <c r="T2659">
        <v>2.9</v>
      </c>
      <c r="U2659">
        <v>4.3</v>
      </c>
      <c r="V2659">
        <v>5.8</v>
      </c>
      <c r="W2659">
        <v>2</v>
      </c>
      <c r="X2659" t="s">
        <v>66</v>
      </c>
    </row>
    <row r="2660" spans="2:24" x14ac:dyDescent="0.3">
      <c r="B2660" t="s">
        <v>2753</v>
      </c>
      <c r="C2660" t="s">
        <v>62</v>
      </c>
      <c r="D2660" t="s">
        <v>2</v>
      </c>
      <c r="E2660" t="s">
        <v>18</v>
      </c>
      <c r="F2660" t="s">
        <v>9</v>
      </c>
      <c r="G2660" t="s">
        <v>69</v>
      </c>
      <c r="H2660">
        <v>2024</v>
      </c>
      <c r="I2660">
        <v>3327</v>
      </c>
      <c r="J2660">
        <v>21.3</v>
      </c>
      <c r="K2660" t="s">
        <v>25</v>
      </c>
      <c r="L2660">
        <v>14.4</v>
      </c>
      <c r="M2660">
        <v>8.4</v>
      </c>
      <c r="N2660">
        <v>1068</v>
      </c>
      <c r="O2660" t="s">
        <v>55</v>
      </c>
      <c r="P2660">
        <v>10.8</v>
      </c>
      <c r="Q2660" t="s">
        <v>56</v>
      </c>
      <c r="R2660">
        <v>68.3</v>
      </c>
      <c r="S2660">
        <v>28.6</v>
      </c>
      <c r="T2660">
        <v>5.0999999999999996</v>
      </c>
      <c r="U2660">
        <v>9.5</v>
      </c>
      <c r="V2660">
        <v>7.1</v>
      </c>
      <c r="W2660">
        <v>4.3</v>
      </c>
      <c r="X2660" t="s">
        <v>66</v>
      </c>
    </row>
    <row r="2661" spans="2:24" x14ac:dyDescent="0.3">
      <c r="B2661" t="s">
        <v>2754</v>
      </c>
      <c r="C2661" t="s">
        <v>159</v>
      </c>
      <c r="D2661" t="s">
        <v>2</v>
      </c>
      <c r="E2661" t="s">
        <v>19</v>
      </c>
      <c r="F2661" t="s">
        <v>10</v>
      </c>
      <c r="G2661" t="s">
        <v>60</v>
      </c>
      <c r="H2661">
        <v>2025</v>
      </c>
      <c r="I2661">
        <v>6532</v>
      </c>
      <c r="J2661">
        <v>8.3000000000000007</v>
      </c>
      <c r="K2661" t="s">
        <v>21</v>
      </c>
      <c r="L2661">
        <v>11.3</v>
      </c>
      <c r="M2661">
        <v>10</v>
      </c>
      <c r="N2661">
        <v>4792</v>
      </c>
      <c r="O2661" t="s">
        <v>55</v>
      </c>
      <c r="P2661">
        <v>83.1</v>
      </c>
      <c r="Q2661" t="s">
        <v>56</v>
      </c>
      <c r="R2661">
        <v>76.2</v>
      </c>
      <c r="S2661">
        <v>-0.5</v>
      </c>
      <c r="T2661">
        <v>2.8</v>
      </c>
      <c r="U2661">
        <v>7.6</v>
      </c>
      <c r="V2661">
        <v>7.5</v>
      </c>
      <c r="W2661">
        <v>5</v>
      </c>
      <c r="X2661" t="s">
        <v>116</v>
      </c>
    </row>
    <row r="2662" spans="2:24" x14ac:dyDescent="0.3">
      <c r="B2662" t="s">
        <v>2755</v>
      </c>
      <c r="C2662" t="s">
        <v>92</v>
      </c>
      <c r="D2662" t="s">
        <v>7</v>
      </c>
      <c r="E2662" t="s">
        <v>16</v>
      </c>
      <c r="F2662" t="s">
        <v>12</v>
      </c>
      <c r="G2662" t="s">
        <v>54</v>
      </c>
      <c r="H2662">
        <v>2025</v>
      </c>
      <c r="I2662">
        <v>6118</v>
      </c>
      <c r="J2662">
        <v>9.8000000000000007</v>
      </c>
      <c r="K2662" t="s">
        <v>21</v>
      </c>
      <c r="L2662">
        <v>2.5</v>
      </c>
      <c r="M2662">
        <v>3.1</v>
      </c>
      <c r="N2662">
        <v>2020</v>
      </c>
      <c r="O2662" t="s">
        <v>64</v>
      </c>
      <c r="P2662">
        <v>28.9</v>
      </c>
      <c r="Q2662" t="s">
        <v>84</v>
      </c>
      <c r="R2662">
        <v>-26.2</v>
      </c>
      <c r="S2662">
        <v>15.8</v>
      </c>
      <c r="T2662">
        <v>8.3000000000000007</v>
      </c>
      <c r="U2662">
        <v>2</v>
      </c>
      <c r="V2662">
        <v>4.9000000000000004</v>
      </c>
      <c r="W2662">
        <v>7.5</v>
      </c>
      <c r="X2662" t="s">
        <v>116</v>
      </c>
    </row>
    <row r="2663" spans="2:24" x14ac:dyDescent="0.3">
      <c r="B2663" t="s">
        <v>2756</v>
      </c>
      <c r="C2663" t="s">
        <v>71</v>
      </c>
      <c r="D2663" t="s">
        <v>5</v>
      </c>
      <c r="E2663" t="s">
        <v>19</v>
      </c>
      <c r="F2663" t="s">
        <v>11</v>
      </c>
      <c r="G2663" t="s">
        <v>115</v>
      </c>
      <c r="H2663">
        <v>2024</v>
      </c>
      <c r="I2663">
        <v>5705</v>
      </c>
      <c r="J2663">
        <v>1.6</v>
      </c>
      <c r="K2663" t="s">
        <v>24</v>
      </c>
      <c r="L2663">
        <v>1.6</v>
      </c>
      <c r="M2663">
        <v>4.8</v>
      </c>
      <c r="N2663">
        <v>799</v>
      </c>
      <c r="O2663" t="s">
        <v>64</v>
      </c>
      <c r="P2663">
        <v>83.2</v>
      </c>
      <c r="Q2663" t="s">
        <v>65</v>
      </c>
      <c r="R2663">
        <v>-12.4</v>
      </c>
      <c r="S2663">
        <v>30.5</v>
      </c>
      <c r="T2663">
        <v>6.5</v>
      </c>
      <c r="U2663">
        <v>2</v>
      </c>
      <c r="V2663">
        <v>8.8000000000000007</v>
      </c>
      <c r="W2663">
        <v>8.6</v>
      </c>
      <c r="X2663" t="s">
        <v>116</v>
      </c>
    </row>
    <row r="2664" spans="2:24" x14ac:dyDescent="0.3">
      <c r="B2664" t="s">
        <v>2757</v>
      </c>
      <c r="C2664" t="s">
        <v>106</v>
      </c>
      <c r="D2664" t="s">
        <v>8</v>
      </c>
      <c r="E2664" t="s">
        <v>19</v>
      </c>
      <c r="F2664" t="s">
        <v>12</v>
      </c>
      <c r="G2664" t="s">
        <v>69</v>
      </c>
      <c r="H2664">
        <v>2026</v>
      </c>
      <c r="I2664">
        <v>951</v>
      </c>
      <c r="J2664">
        <v>3.7</v>
      </c>
      <c r="K2664" t="s">
        <v>25</v>
      </c>
      <c r="L2664">
        <v>6.7</v>
      </c>
      <c r="M2664">
        <v>3.1</v>
      </c>
      <c r="N2664">
        <v>4986</v>
      </c>
      <c r="O2664" t="s">
        <v>55</v>
      </c>
      <c r="P2664">
        <v>35.200000000000003</v>
      </c>
      <c r="Q2664" t="s">
        <v>86</v>
      </c>
      <c r="R2664">
        <v>-7.4</v>
      </c>
      <c r="S2664">
        <v>-24.7</v>
      </c>
      <c r="T2664">
        <v>1.6</v>
      </c>
      <c r="U2664">
        <v>5.7</v>
      </c>
      <c r="V2664">
        <v>4.3</v>
      </c>
      <c r="W2664">
        <v>5.9</v>
      </c>
      <c r="X2664" t="s">
        <v>57</v>
      </c>
    </row>
    <row r="2665" spans="2:24" x14ac:dyDescent="0.3">
      <c r="B2665" t="s">
        <v>2758</v>
      </c>
      <c r="C2665" t="s">
        <v>122</v>
      </c>
      <c r="D2665" t="s">
        <v>2</v>
      </c>
      <c r="E2665" t="s">
        <v>18</v>
      </c>
      <c r="F2665" t="s">
        <v>11</v>
      </c>
      <c r="G2665" t="s">
        <v>78</v>
      </c>
      <c r="H2665">
        <v>2024</v>
      </c>
      <c r="I2665">
        <v>1648</v>
      </c>
      <c r="J2665">
        <v>13.5</v>
      </c>
      <c r="K2665" t="s">
        <v>25</v>
      </c>
      <c r="L2665">
        <v>3.8</v>
      </c>
      <c r="M2665">
        <v>9.1</v>
      </c>
      <c r="N2665">
        <v>3518</v>
      </c>
      <c r="O2665" t="s">
        <v>55</v>
      </c>
      <c r="P2665">
        <v>64.8</v>
      </c>
      <c r="Q2665" t="s">
        <v>56</v>
      </c>
      <c r="R2665">
        <v>-11.9</v>
      </c>
      <c r="S2665">
        <v>53.2</v>
      </c>
      <c r="T2665">
        <v>23.2</v>
      </c>
      <c r="U2665">
        <v>3.8</v>
      </c>
      <c r="V2665">
        <v>6.4</v>
      </c>
      <c r="W2665">
        <v>7.2</v>
      </c>
      <c r="X2665" t="s">
        <v>116</v>
      </c>
    </row>
    <row r="2666" spans="2:24" x14ac:dyDescent="0.3">
      <c r="B2666" t="s">
        <v>2759</v>
      </c>
      <c r="C2666" t="s">
        <v>73</v>
      </c>
      <c r="D2666" t="s">
        <v>2</v>
      </c>
      <c r="E2666" t="s">
        <v>14</v>
      </c>
      <c r="F2666" t="s">
        <v>10</v>
      </c>
      <c r="G2666" t="s">
        <v>60</v>
      </c>
      <c r="H2666">
        <v>2024</v>
      </c>
      <c r="I2666">
        <v>3644</v>
      </c>
      <c r="J2666">
        <v>37</v>
      </c>
      <c r="K2666" t="s">
        <v>24</v>
      </c>
      <c r="L2666">
        <v>0.7</v>
      </c>
      <c r="M2666">
        <v>8.1</v>
      </c>
      <c r="N2666">
        <v>7454</v>
      </c>
      <c r="O2666" t="s">
        <v>64</v>
      </c>
      <c r="P2666">
        <v>37.5</v>
      </c>
      <c r="Q2666" t="s">
        <v>56</v>
      </c>
      <c r="R2666">
        <v>-1.4</v>
      </c>
      <c r="S2666">
        <v>26.6</v>
      </c>
      <c r="T2666">
        <v>-3.8</v>
      </c>
      <c r="U2666">
        <v>1.1000000000000001</v>
      </c>
      <c r="V2666">
        <v>4.2</v>
      </c>
      <c r="W2666">
        <v>3.5</v>
      </c>
      <c r="X2666" t="s">
        <v>66</v>
      </c>
    </row>
    <row r="2667" spans="2:24" x14ac:dyDescent="0.3">
      <c r="B2667" t="s">
        <v>2760</v>
      </c>
      <c r="C2667" t="s">
        <v>90</v>
      </c>
      <c r="D2667" t="s">
        <v>3</v>
      </c>
      <c r="E2667" t="s">
        <v>15</v>
      </c>
      <c r="F2667" t="s">
        <v>12</v>
      </c>
      <c r="G2667" t="s">
        <v>54</v>
      </c>
      <c r="H2667">
        <v>2025</v>
      </c>
      <c r="I2667">
        <v>859</v>
      </c>
      <c r="J2667">
        <v>0</v>
      </c>
      <c r="K2667" t="s">
        <v>22</v>
      </c>
      <c r="L2667">
        <v>10.199999999999999</v>
      </c>
      <c r="M2667">
        <v>10</v>
      </c>
      <c r="N2667">
        <v>1533</v>
      </c>
      <c r="O2667" t="s">
        <v>55</v>
      </c>
      <c r="P2667">
        <v>75</v>
      </c>
      <c r="Q2667" t="s">
        <v>56</v>
      </c>
      <c r="R2667">
        <v>4.0999999999999996</v>
      </c>
      <c r="S2667">
        <v>9.1999999999999993</v>
      </c>
      <c r="T2667">
        <v>5.5</v>
      </c>
      <c r="U2667">
        <v>6.9</v>
      </c>
      <c r="V2667">
        <v>6.7</v>
      </c>
      <c r="W2667">
        <v>6.4</v>
      </c>
      <c r="X2667" t="s">
        <v>57</v>
      </c>
    </row>
    <row r="2668" spans="2:24" x14ac:dyDescent="0.3">
      <c r="B2668" t="s">
        <v>2761</v>
      </c>
      <c r="C2668" t="s">
        <v>94</v>
      </c>
      <c r="D2668" t="s">
        <v>6</v>
      </c>
      <c r="E2668" t="s">
        <v>19</v>
      </c>
      <c r="F2668" t="s">
        <v>12</v>
      </c>
      <c r="G2668" t="s">
        <v>104</v>
      </c>
      <c r="H2668">
        <v>2025</v>
      </c>
      <c r="I2668">
        <v>3830</v>
      </c>
      <c r="J2668">
        <v>11.2</v>
      </c>
      <c r="K2668" t="s">
        <v>25</v>
      </c>
      <c r="L2668">
        <v>7.6</v>
      </c>
      <c r="M2668">
        <v>5.5</v>
      </c>
      <c r="N2668">
        <v>3147</v>
      </c>
      <c r="O2668" t="s">
        <v>55</v>
      </c>
      <c r="P2668">
        <v>44.5</v>
      </c>
      <c r="Q2668" t="s">
        <v>56</v>
      </c>
      <c r="R2668">
        <v>31.8</v>
      </c>
      <c r="S2668">
        <v>33.9</v>
      </c>
      <c r="T2668">
        <v>6.9</v>
      </c>
      <c r="U2668">
        <v>5.6</v>
      </c>
      <c r="V2668">
        <v>9.1</v>
      </c>
      <c r="W2668">
        <v>6.3</v>
      </c>
      <c r="X2668" t="s">
        <v>116</v>
      </c>
    </row>
    <row r="2669" spans="2:24" x14ac:dyDescent="0.3">
      <c r="B2669" t="s">
        <v>2762</v>
      </c>
      <c r="C2669" t="s">
        <v>94</v>
      </c>
      <c r="D2669" t="s">
        <v>6</v>
      </c>
      <c r="E2669" t="s">
        <v>14</v>
      </c>
      <c r="F2669" t="s">
        <v>12</v>
      </c>
      <c r="G2669" t="s">
        <v>101</v>
      </c>
      <c r="H2669">
        <v>2025</v>
      </c>
      <c r="I2669">
        <v>1304</v>
      </c>
      <c r="J2669">
        <v>15.3</v>
      </c>
      <c r="K2669" t="s">
        <v>25</v>
      </c>
      <c r="L2669">
        <v>10.9</v>
      </c>
      <c r="M2669">
        <v>10</v>
      </c>
      <c r="N2669">
        <v>392</v>
      </c>
      <c r="O2669" t="s">
        <v>64</v>
      </c>
      <c r="P2669">
        <v>24.4</v>
      </c>
      <c r="Q2669" t="s">
        <v>79</v>
      </c>
      <c r="R2669">
        <v>-21.3</v>
      </c>
      <c r="S2669">
        <v>52.5</v>
      </c>
      <c r="T2669">
        <v>15.8</v>
      </c>
      <c r="U2669">
        <v>6.5</v>
      </c>
      <c r="V2669">
        <v>8.8000000000000007</v>
      </c>
      <c r="W2669">
        <v>5.7</v>
      </c>
      <c r="X2669" t="s">
        <v>116</v>
      </c>
    </row>
    <row r="2670" spans="2:24" x14ac:dyDescent="0.3">
      <c r="B2670" t="s">
        <v>2763</v>
      </c>
      <c r="C2670" t="s">
        <v>83</v>
      </c>
      <c r="D2670" t="s">
        <v>4</v>
      </c>
      <c r="E2670" t="s">
        <v>19</v>
      </c>
      <c r="F2670" t="s">
        <v>9</v>
      </c>
      <c r="G2670" t="s">
        <v>104</v>
      </c>
      <c r="H2670">
        <v>2025</v>
      </c>
      <c r="I2670">
        <v>18</v>
      </c>
      <c r="J2670">
        <v>5.9</v>
      </c>
      <c r="K2670" t="s">
        <v>25</v>
      </c>
      <c r="L2670">
        <v>5.6</v>
      </c>
      <c r="M2670">
        <v>3.6</v>
      </c>
      <c r="N2670">
        <v>2633</v>
      </c>
      <c r="O2670" t="s">
        <v>55</v>
      </c>
      <c r="P2670">
        <v>41.4</v>
      </c>
      <c r="Q2670" t="s">
        <v>88</v>
      </c>
      <c r="R2670">
        <v>51</v>
      </c>
      <c r="S2670">
        <v>-19.2</v>
      </c>
      <c r="T2670">
        <v>-17.100000000000001</v>
      </c>
      <c r="U2670">
        <v>4.0999999999999996</v>
      </c>
      <c r="V2670">
        <v>7.1</v>
      </c>
      <c r="W2670">
        <v>5.5</v>
      </c>
      <c r="X2670" t="s">
        <v>57</v>
      </c>
    </row>
    <row r="2671" spans="2:24" x14ac:dyDescent="0.3">
      <c r="B2671" t="s">
        <v>2764</v>
      </c>
      <c r="C2671" t="s">
        <v>106</v>
      </c>
      <c r="D2671" t="s">
        <v>7</v>
      </c>
      <c r="E2671" t="s">
        <v>14</v>
      </c>
      <c r="F2671" t="s">
        <v>12</v>
      </c>
      <c r="G2671" t="s">
        <v>98</v>
      </c>
      <c r="H2671">
        <v>2024</v>
      </c>
      <c r="I2671">
        <v>7685</v>
      </c>
      <c r="J2671">
        <v>18.3</v>
      </c>
      <c r="K2671" t="s">
        <v>21</v>
      </c>
      <c r="L2671">
        <v>2.2000000000000002</v>
      </c>
      <c r="M2671">
        <v>6.7</v>
      </c>
      <c r="N2671">
        <v>1466</v>
      </c>
      <c r="O2671" t="s">
        <v>64</v>
      </c>
      <c r="P2671">
        <v>28.6</v>
      </c>
      <c r="Q2671" t="s">
        <v>79</v>
      </c>
      <c r="R2671">
        <v>79.8</v>
      </c>
      <c r="S2671">
        <v>15.1</v>
      </c>
      <c r="T2671">
        <v>4.8</v>
      </c>
      <c r="U2671">
        <v>2.4</v>
      </c>
      <c r="V2671">
        <v>6.2</v>
      </c>
      <c r="W2671">
        <v>5.5</v>
      </c>
      <c r="X2671" t="s">
        <v>66</v>
      </c>
    </row>
    <row r="2672" spans="2:24" x14ac:dyDescent="0.3">
      <c r="B2672" t="s">
        <v>2765</v>
      </c>
      <c r="C2672" t="s">
        <v>59</v>
      </c>
      <c r="D2672" t="s">
        <v>4</v>
      </c>
      <c r="E2672" t="s">
        <v>19</v>
      </c>
      <c r="F2672" t="s">
        <v>12</v>
      </c>
      <c r="G2672" t="s">
        <v>131</v>
      </c>
      <c r="H2672">
        <v>2026</v>
      </c>
      <c r="I2672">
        <v>11749</v>
      </c>
      <c r="J2672">
        <v>19.600000000000001</v>
      </c>
      <c r="K2672" t="s">
        <v>21</v>
      </c>
      <c r="L2672">
        <v>6.2</v>
      </c>
      <c r="M2672">
        <v>6.6</v>
      </c>
      <c r="N2672">
        <v>1007</v>
      </c>
      <c r="O2672" t="s">
        <v>64</v>
      </c>
      <c r="P2672">
        <v>20.6</v>
      </c>
      <c r="Q2672" t="s">
        <v>76</v>
      </c>
      <c r="R2672">
        <v>37.700000000000003</v>
      </c>
      <c r="S2672">
        <v>-20.399999999999999</v>
      </c>
      <c r="T2672">
        <v>-8.1</v>
      </c>
      <c r="U2672">
        <v>3.9</v>
      </c>
      <c r="V2672">
        <v>4.4000000000000004</v>
      </c>
      <c r="W2672">
        <v>4</v>
      </c>
      <c r="X2672" t="s">
        <v>66</v>
      </c>
    </row>
    <row r="2673" spans="2:24" x14ac:dyDescent="0.3">
      <c r="B2673" t="s">
        <v>2766</v>
      </c>
      <c r="C2673" t="s">
        <v>83</v>
      </c>
      <c r="D2673" t="s">
        <v>4</v>
      </c>
      <c r="E2673" t="s">
        <v>15</v>
      </c>
      <c r="F2673" t="s">
        <v>9</v>
      </c>
      <c r="G2673" t="s">
        <v>63</v>
      </c>
      <c r="H2673">
        <v>2026</v>
      </c>
      <c r="I2673">
        <v>2150</v>
      </c>
      <c r="J2673">
        <v>4.5999999999999996</v>
      </c>
      <c r="K2673" t="s">
        <v>24</v>
      </c>
      <c r="L2673">
        <v>13.8</v>
      </c>
      <c r="M2673">
        <v>10</v>
      </c>
      <c r="N2673">
        <v>5467</v>
      </c>
      <c r="O2673" t="s">
        <v>55</v>
      </c>
      <c r="P2673">
        <v>83.4</v>
      </c>
      <c r="Q2673" t="s">
        <v>76</v>
      </c>
      <c r="R2673">
        <v>12.6</v>
      </c>
      <c r="S2673">
        <v>-21.8</v>
      </c>
      <c r="T2673">
        <v>-14.1</v>
      </c>
      <c r="U2673">
        <v>9.1999999999999993</v>
      </c>
      <c r="V2673">
        <v>5.5</v>
      </c>
      <c r="W2673">
        <v>5.0999999999999996</v>
      </c>
      <c r="X2673" t="s">
        <v>57</v>
      </c>
    </row>
    <row r="2674" spans="2:24" x14ac:dyDescent="0.3">
      <c r="B2674" t="s">
        <v>2767</v>
      </c>
      <c r="C2674" t="s">
        <v>90</v>
      </c>
      <c r="D2674" t="s">
        <v>2</v>
      </c>
      <c r="E2674" t="s">
        <v>15</v>
      </c>
      <c r="F2674" t="s">
        <v>12</v>
      </c>
      <c r="G2674" t="s">
        <v>104</v>
      </c>
      <c r="H2674">
        <v>2025</v>
      </c>
      <c r="I2674">
        <v>5196</v>
      </c>
      <c r="J2674">
        <v>10.4</v>
      </c>
      <c r="K2674" t="s">
        <v>23</v>
      </c>
      <c r="L2674">
        <v>8.1999999999999993</v>
      </c>
      <c r="M2674">
        <v>10</v>
      </c>
      <c r="N2674">
        <v>4591</v>
      </c>
      <c r="O2674" t="s">
        <v>55</v>
      </c>
      <c r="P2674">
        <v>24.3</v>
      </c>
      <c r="Q2674" t="s">
        <v>76</v>
      </c>
      <c r="R2674">
        <v>32</v>
      </c>
      <c r="S2674">
        <v>50.5</v>
      </c>
      <c r="T2674">
        <v>30.3</v>
      </c>
      <c r="U2674">
        <v>8.6999999999999993</v>
      </c>
      <c r="V2674">
        <v>7.1</v>
      </c>
      <c r="W2674">
        <v>6</v>
      </c>
      <c r="X2674" t="s">
        <v>66</v>
      </c>
    </row>
    <row r="2675" spans="2:24" x14ac:dyDescent="0.3">
      <c r="B2675" t="s">
        <v>2768</v>
      </c>
      <c r="C2675" t="s">
        <v>53</v>
      </c>
      <c r="D2675" t="s">
        <v>4</v>
      </c>
      <c r="E2675" t="s">
        <v>14</v>
      </c>
      <c r="F2675" t="s">
        <v>10</v>
      </c>
      <c r="G2675" t="s">
        <v>74</v>
      </c>
      <c r="H2675">
        <v>2026</v>
      </c>
      <c r="I2675">
        <v>1693</v>
      </c>
      <c r="J2675">
        <v>5.7</v>
      </c>
      <c r="K2675" t="s">
        <v>25</v>
      </c>
      <c r="L2675">
        <v>5.6</v>
      </c>
      <c r="M2675">
        <v>3.7</v>
      </c>
      <c r="N2675">
        <v>1959</v>
      </c>
      <c r="O2675" t="s">
        <v>55</v>
      </c>
      <c r="P2675">
        <v>80.599999999999994</v>
      </c>
      <c r="Q2675" t="s">
        <v>79</v>
      </c>
      <c r="R2675">
        <v>62</v>
      </c>
      <c r="S2675">
        <v>30.1</v>
      </c>
      <c r="T2675">
        <v>17.7</v>
      </c>
      <c r="U2675">
        <v>3.8</v>
      </c>
      <c r="V2675">
        <v>9.3000000000000007</v>
      </c>
      <c r="W2675">
        <v>8</v>
      </c>
      <c r="X2675" t="s">
        <v>57</v>
      </c>
    </row>
    <row r="2676" spans="2:24" x14ac:dyDescent="0.3">
      <c r="B2676" t="s">
        <v>2769</v>
      </c>
      <c r="C2676" t="s">
        <v>106</v>
      </c>
      <c r="D2676" t="s">
        <v>7</v>
      </c>
      <c r="E2676" t="s">
        <v>16</v>
      </c>
      <c r="F2676" t="s">
        <v>11</v>
      </c>
      <c r="G2676" t="s">
        <v>78</v>
      </c>
      <c r="H2676">
        <v>2025</v>
      </c>
      <c r="I2676">
        <v>17514</v>
      </c>
      <c r="J2676">
        <v>36.1</v>
      </c>
      <c r="K2676" t="s">
        <v>21</v>
      </c>
      <c r="L2676">
        <v>7.1</v>
      </c>
      <c r="M2676">
        <v>9.6</v>
      </c>
      <c r="N2676">
        <v>343</v>
      </c>
      <c r="O2676" t="s">
        <v>75</v>
      </c>
      <c r="P2676">
        <v>50.9</v>
      </c>
      <c r="Q2676" t="s">
        <v>125</v>
      </c>
      <c r="R2676">
        <v>21.8</v>
      </c>
      <c r="S2676">
        <v>58.8</v>
      </c>
      <c r="T2676">
        <v>23.9</v>
      </c>
      <c r="U2676">
        <v>4.8</v>
      </c>
      <c r="V2676">
        <v>7</v>
      </c>
      <c r="W2676">
        <v>4.9000000000000004</v>
      </c>
      <c r="X2676" t="s">
        <v>66</v>
      </c>
    </row>
    <row r="2677" spans="2:24" x14ac:dyDescent="0.3">
      <c r="B2677" t="s">
        <v>2770</v>
      </c>
      <c r="C2677" t="s">
        <v>73</v>
      </c>
      <c r="D2677" t="s">
        <v>3</v>
      </c>
      <c r="E2677" t="s">
        <v>15</v>
      </c>
      <c r="F2677" t="s">
        <v>12</v>
      </c>
      <c r="G2677" t="s">
        <v>54</v>
      </c>
      <c r="H2677">
        <v>2024</v>
      </c>
      <c r="I2677">
        <v>4974</v>
      </c>
      <c r="J2677">
        <v>31.7</v>
      </c>
      <c r="K2677" t="s">
        <v>22</v>
      </c>
      <c r="L2677">
        <v>2.7</v>
      </c>
      <c r="M2677">
        <v>10</v>
      </c>
      <c r="N2677">
        <v>484</v>
      </c>
      <c r="O2677" t="s">
        <v>75</v>
      </c>
      <c r="P2677">
        <v>53.4</v>
      </c>
      <c r="Q2677" t="s">
        <v>125</v>
      </c>
      <c r="R2677">
        <v>30.3</v>
      </c>
      <c r="S2677">
        <v>56.8</v>
      </c>
      <c r="T2677">
        <v>7.4</v>
      </c>
      <c r="U2677">
        <v>1.9</v>
      </c>
      <c r="V2677">
        <v>7.3</v>
      </c>
      <c r="W2677">
        <v>3.7</v>
      </c>
      <c r="X2677" t="s">
        <v>66</v>
      </c>
    </row>
    <row r="2678" spans="2:24" x14ac:dyDescent="0.3">
      <c r="B2678" t="s">
        <v>2771</v>
      </c>
      <c r="C2678" t="s">
        <v>53</v>
      </c>
      <c r="D2678" t="s">
        <v>4</v>
      </c>
      <c r="E2678" t="s">
        <v>19</v>
      </c>
      <c r="F2678" t="s">
        <v>12</v>
      </c>
      <c r="G2678" t="s">
        <v>54</v>
      </c>
      <c r="H2678">
        <v>2026</v>
      </c>
      <c r="I2678">
        <v>1528</v>
      </c>
      <c r="J2678">
        <v>5.4</v>
      </c>
      <c r="K2678" t="s">
        <v>21</v>
      </c>
      <c r="L2678">
        <v>3.5</v>
      </c>
      <c r="M2678">
        <v>2.2999999999999998</v>
      </c>
      <c r="N2678">
        <v>3531</v>
      </c>
      <c r="O2678" t="s">
        <v>64</v>
      </c>
      <c r="P2678">
        <v>45.4</v>
      </c>
      <c r="Q2678" t="s">
        <v>88</v>
      </c>
      <c r="R2678">
        <v>-26.5</v>
      </c>
      <c r="S2678">
        <v>7.7</v>
      </c>
      <c r="T2678">
        <v>-4.0999999999999996</v>
      </c>
      <c r="U2678">
        <v>2.8</v>
      </c>
      <c r="V2678">
        <v>7.3</v>
      </c>
      <c r="W2678">
        <v>7.4</v>
      </c>
      <c r="X2678" t="s">
        <v>57</v>
      </c>
    </row>
    <row r="2679" spans="2:24" x14ac:dyDescent="0.3">
      <c r="B2679" t="s">
        <v>2772</v>
      </c>
      <c r="C2679" t="s">
        <v>27</v>
      </c>
      <c r="D2679" t="s">
        <v>3</v>
      </c>
      <c r="E2679" t="s">
        <v>14</v>
      </c>
      <c r="F2679" t="s">
        <v>10</v>
      </c>
      <c r="G2679" t="s">
        <v>115</v>
      </c>
      <c r="H2679">
        <v>2025</v>
      </c>
      <c r="I2679">
        <v>1047</v>
      </c>
      <c r="J2679">
        <v>3.6</v>
      </c>
      <c r="K2679" t="s">
        <v>22</v>
      </c>
      <c r="L2679">
        <v>9.3000000000000007</v>
      </c>
      <c r="M2679">
        <v>9</v>
      </c>
      <c r="N2679">
        <v>3902</v>
      </c>
      <c r="O2679" t="s">
        <v>55</v>
      </c>
      <c r="P2679">
        <v>87.4</v>
      </c>
      <c r="Q2679" t="s">
        <v>88</v>
      </c>
      <c r="R2679">
        <v>-29.5</v>
      </c>
      <c r="S2679">
        <v>-20.9</v>
      </c>
      <c r="T2679">
        <v>-7.4</v>
      </c>
      <c r="U2679">
        <v>7.4</v>
      </c>
      <c r="V2679">
        <v>4.7</v>
      </c>
      <c r="W2679">
        <v>5.6</v>
      </c>
      <c r="X2679" t="s">
        <v>57</v>
      </c>
    </row>
    <row r="2680" spans="2:24" x14ac:dyDescent="0.3">
      <c r="B2680" t="s">
        <v>2773</v>
      </c>
      <c r="C2680" t="s">
        <v>142</v>
      </c>
      <c r="D2680" t="s">
        <v>2</v>
      </c>
      <c r="E2680" t="s">
        <v>18</v>
      </c>
      <c r="F2680" t="s">
        <v>10</v>
      </c>
      <c r="G2680" t="s">
        <v>54</v>
      </c>
      <c r="H2680">
        <v>2024</v>
      </c>
      <c r="I2680">
        <v>10004</v>
      </c>
      <c r="J2680">
        <v>25.1</v>
      </c>
      <c r="K2680" t="s">
        <v>25</v>
      </c>
      <c r="L2680">
        <v>1.8</v>
      </c>
      <c r="M2680">
        <v>6.8</v>
      </c>
      <c r="N2680">
        <v>7668</v>
      </c>
      <c r="O2680" t="s">
        <v>64</v>
      </c>
      <c r="P2680">
        <v>18.2</v>
      </c>
      <c r="Q2680" t="s">
        <v>76</v>
      </c>
      <c r="R2680">
        <v>70.099999999999994</v>
      </c>
      <c r="S2680">
        <v>57.4</v>
      </c>
      <c r="T2680">
        <v>19.899999999999999</v>
      </c>
      <c r="U2680">
        <v>2.1</v>
      </c>
      <c r="V2680">
        <v>7.8</v>
      </c>
      <c r="W2680">
        <v>5.4</v>
      </c>
      <c r="X2680" t="s">
        <v>66</v>
      </c>
    </row>
    <row r="2681" spans="2:24" x14ac:dyDescent="0.3">
      <c r="B2681" t="s">
        <v>2774</v>
      </c>
      <c r="C2681" t="s">
        <v>106</v>
      </c>
      <c r="D2681" t="s">
        <v>4</v>
      </c>
      <c r="E2681" t="s">
        <v>16</v>
      </c>
      <c r="F2681" t="s">
        <v>11</v>
      </c>
      <c r="G2681" t="s">
        <v>74</v>
      </c>
      <c r="H2681">
        <v>2026</v>
      </c>
      <c r="I2681">
        <v>8120</v>
      </c>
      <c r="J2681">
        <v>13.4</v>
      </c>
      <c r="K2681" t="s">
        <v>23</v>
      </c>
      <c r="L2681">
        <v>2.2000000000000002</v>
      </c>
      <c r="M2681">
        <v>3.8</v>
      </c>
      <c r="N2681">
        <v>901</v>
      </c>
      <c r="O2681" t="s">
        <v>75</v>
      </c>
      <c r="P2681">
        <v>12.8</v>
      </c>
      <c r="Q2681" t="s">
        <v>88</v>
      </c>
      <c r="R2681">
        <v>40.200000000000003</v>
      </c>
      <c r="S2681">
        <v>20.399999999999999</v>
      </c>
      <c r="T2681">
        <v>5.3</v>
      </c>
      <c r="U2681">
        <v>1.8</v>
      </c>
      <c r="V2681">
        <v>8.5</v>
      </c>
      <c r="W2681">
        <v>6.3</v>
      </c>
      <c r="X2681" t="s">
        <v>66</v>
      </c>
    </row>
    <row r="2682" spans="2:24" x14ac:dyDescent="0.3">
      <c r="B2682" t="s">
        <v>2775</v>
      </c>
      <c r="C2682" t="s">
        <v>62</v>
      </c>
      <c r="D2682" t="s">
        <v>2</v>
      </c>
      <c r="E2682" t="s">
        <v>18</v>
      </c>
      <c r="F2682" t="s">
        <v>9</v>
      </c>
      <c r="G2682" t="s">
        <v>63</v>
      </c>
      <c r="H2682">
        <v>2026</v>
      </c>
      <c r="I2682">
        <v>152</v>
      </c>
      <c r="J2682">
        <v>0.7</v>
      </c>
      <c r="K2682" t="s">
        <v>25</v>
      </c>
      <c r="L2682">
        <v>6.9</v>
      </c>
      <c r="M2682">
        <v>8.4</v>
      </c>
      <c r="N2682">
        <v>8152</v>
      </c>
      <c r="O2682" t="s">
        <v>118</v>
      </c>
      <c r="P2682">
        <v>23.9</v>
      </c>
      <c r="Q2682" t="s">
        <v>76</v>
      </c>
      <c r="R2682">
        <v>-13.5</v>
      </c>
      <c r="S2682">
        <v>24.6</v>
      </c>
      <c r="T2682">
        <v>16</v>
      </c>
      <c r="U2682">
        <v>5.9</v>
      </c>
      <c r="V2682">
        <v>9.1</v>
      </c>
      <c r="W2682">
        <v>6.4</v>
      </c>
      <c r="X2682" t="s">
        <v>57</v>
      </c>
    </row>
    <row r="2683" spans="2:24" x14ac:dyDescent="0.3">
      <c r="B2683" t="s">
        <v>2776</v>
      </c>
      <c r="C2683" t="s">
        <v>142</v>
      </c>
      <c r="D2683" t="s">
        <v>2</v>
      </c>
      <c r="E2683" t="s">
        <v>19</v>
      </c>
      <c r="F2683" t="s">
        <v>10</v>
      </c>
      <c r="G2683" t="s">
        <v>101</v>
      </c>
      <c r="H2683">
        <v>2026</v>
      </c>
      <c r="I2683">
        <v>15450</v>
      </c>
      <c r="J2683">
        <v>18.3</v>
      </c>
      <c r="K2683" t="s">
        <v>24</v>
      </c>
      <c r="L2683">
        <v>9.6999999999999993</v>
      </c>
      <c r="M2683">
        <v>10</v>
      </c>
      <c r="N2683">
        <v>1408</v>
      </c>
      <c r="O2683" t="s">
        <v>64</v>
      </c>
      <c r="P2683">
        <v>31.2</v>
      </c>
      <c r="Q2683" t="s">
        <v>76</v>
      </c>
      <c r="R2683">
        <v>69.7</v>
      </c>
      <c r="S2683">
        <v>17.8</v>
      </c>
      <c r="T2683">
        <v>5.2</v>
      </c>
      <c r="U2683">
        <v>8.5</v>
      </c>
      <c r="V2683">
        <v>5.5</v>
      </c>
      <c r="W2683">
        <v>5.4</v>
      </c>
      <c r="X2683" t="s">
        <v>66</v>
      </c>
    </row>
    <row r="2684" spans="2:24" x14ac:dyDescent="0.3">
      <c r="B2684" t="s">
        <v>2777</v>
      </c>
      <c r="C2684" t="s">
        <v>71</v>
      </c>
      <c r="D2684" t="s">
        <v>6</v>
      </c>
      <c r="E2684" t="s">
        <v>14</v>
      </c>
      <c r="F2684" t="s">
        <v>9</v>
      </c>
      <c r="G2684" t="s">
        <v>101</v>
      </c>
      <c r="H2684">
        <v>2025</v>
      </c>
      <c r="I2684">
        <v>13282</v>
      </c>
      <c r="J2684">
        <v>38</v>
      </c>
      <c r="K2684" t="s">
        <v>21</v>
      </c>
      <c r="L2684">
        <v>4.4000000000000004</v>
      </c>
      <c r="M2684">
        <v>10</v>
      </c>
      <c r="N2684">
        <v>1516</v>
      </c>
      <c r="O2684" t="s">
        <v>75</v>
      </c>
      <c r="P2684">
        <v>42.9</v>
      </c>
      <c r="Q2684" t="s">
        <v>88</v>
      </c>
      <c r="R2684">
        <v>82.4</v>
      </c>
      <c r="S2684">
        <v>57.1</v>
      </c>
      <c r="T2684">
        <v>23.6</v>
      </c>
      <c r="U2684">
        <v>4.7</v>
      </c>
      <c r="V2684">
        <v>7.1</v>
      </c>
      <c r="W2684">
        <v>3.6</v>
      </c>
      <c r="X2684" t="s">
        <v>66</v>
      </c>
    </row>
    <row r="2685" spans="2:24" x14ac:dyDescent="0.3">
      <c r="B2685" t="s">
        <v>2778</v>
      </c>
      <c r="C2685" t="s">
        <v>73</v>
      </c>
      <c r="D2685" t="s">
        <v>3</v>
      </c>
      <c r="E2685" t="s">
        <v>17</v>
      </c>
      <c r="F2685" t="s">
        <v>9</v>
      </c>
      <c r="G2685" t="s">
        <v>69</v>
      </c>
      <c r="H2685">
        <v>2024</v>
      </c>
      <c r="I2685">
        <v>2705</v>
      </c>
      <c r="J2685">
        <v>36</v>
      </c>
      <c r="K2685" t="s">
        <v>23</v>
      </c>
      <c r="L2685">
        <v>4.2</v>
      </c>
      <c r="M2685">
        <v>9.1999999999999993</v>
      </c>
      <c r="N2685">
        <v>574</v>
      </c>
      <c r="O2685" t="s">
        <v>75</v>
      </c>
      <c r="P2685">
        <v>78.3</v>
      </c>
      <c r="Q2685" t="s">
        <v>84</v>
      </c>
      <c r="R2685">
        <v>-40.299999999999997</v>
      </c>
      <c r="S2685">
        <v>-23.5</v>
      </c>
      <c r="T2685">
        <v>-8.1999999999999993</v>
      </c>
      <c r="U2685">
        <v>5.9</v>
      </c>
      <c r="V2685">
        <v>3.2</v>
      </c>
      <c r="W2685">
        <v>2.1</v>
      </c>
      <c r="X2685" t="s">
        <v>66</v>
      </c>
    </row>
    <row r="2686" spans="2:24" x14ac:dyDescent="0.3">
      <c r="B2686" t="s">
        <v>2779</v>
      </c>
      <c r="C2686" t="s">
        <v>142</v>
      </c>
      <c r="D2686" t="s">
        <v>8</v>
      </c>
      <c r="E2686" t="s">
        <v>15</v>
      </c>
      <c r="F2686" t="s">
        <v>11</v>
      </c>
      <c r="G2686" t="s">
        <v>112</v>
      </c>
      <c r="H2686">
        <v>2024</v>
      </c>
      <c r="I2686">
        <v>10509</v>
      </c>
      <c r="J2686">
        <v>22.2</v>
      </c>
      <c r="K2686" t="s">
        <v>23</v>
      </c>
      <c r="L2686">
        <v>7.5</v>
      </c>
      <c r="M2686">
        <v>10</v>
      </c>
      <c r="N2686">
        <v>1982</v>
      </c>
      <c r="O2686" t="s">
        <v>64</v>
      </c>
      <c r="P2686">
        <v>57.9</v>
      </c>
      <c r="Q2686" t="s">
        <v>88</v>
      </c>
      <c r="R2686">
        <v>-11.9</v>
      </c>
      <c r="S2686">
        <v>0.6</v>
      </c>
      <c r="T2686">
        <v>5.3</v>
      </c>
      <c r="U2686">
        <v>8.6</v>
      </c>
      <c r="V2686">
        <v>5.0999999999999996</v>
      </c>
      <c r="W2686">
        <v>3.6</v>
      </c>
      <c r="X2686" t="s">
        <v>66</v>
      </c>
    </row>
    <row r="2687" spans="2:24" x14ac:dyDescent="0.3">
      <c r="B2687" t="s">
        <v>2780</v>
      </c>
      <c r="C2687" t="s">
        <v>106</v>
      </c>
      <c r="D2687" t="s">
        <v>3</v>
      </c>
      <c r="E2687" t="s">
        <v>15</v>
      </c>
      <c r="F2687" t="s">
        <v>9</v>
      </c>
      <c r="G2687" t="s">
        <v>101</v>
      </c>
      <c r="H2687">
        <v>2024</v>
      </c>
      <c r="I2687">
        <v>2162</v>
      </c>
      <c r="J2687">
        <v>17.3</v>
      </c>
      <c r="K2687" t="s">
        <v>22</v>
      </c>
      <c r="L2687">
        <v>5.2</v>
      </c>
      <c r="M2687">
        <v>9.6999999999999993</v>
      </c>
      <c r="N2687">
        <v>1793</v>
      </c>
      <c r="O2687" t="s">
        <v>64</v>
      </c>
      <c r="P2687">
        <v>53</v>
      </c>
      <c r="Q2687" t="s">
        <v>88</v>
      </c>
      <c r="R2687">
        <v>46.7</v>
      </c>
      <c r="S2687">
        <v>-23.6</v>
      </c>
      <c r="T2687">
        <v>-14.4</v>
      </c>
      <c r="U2687">
        <v>5.7</v>
      </c>
      <c r="V2687">
        <v>3.2</v>
      </c>
      <c r="W2687">
        <v>2.7</v>
      </c>
      <c r="X2687" t="s">
        <v>116</v>
      </c>
    </row>
    <row r="2688" spans="2:24" x14ac:dyDescent="0.3">
      <c r="B2688" t="s">
        <v>2781</v>
      </c>
      <c r="C2688" t="s">
        <v>106</v>
      </c>
      <c r="D2688" t="s">
        <v>4</v>
      </c>
      <c r="E2688" t="s">
        <v>18</v>
      </c>
      <c r="F2688" t="s">
        <v>10</v>
      </c>
      <c r="G2688" t="s">
        <v>69</v>
      </c>
      <c r="H2688">
        <v>2026</v>
      </c>
      <c r="I2688">
        <v>5572</v>
      </c>
      <c r="J2688">
        <v>19.600000000000001</v>
      </c>
      <c r="K2688" t="s">
        <v>21</v>
      </c>
      <c r="L2688">
        <v>2.5</v>
      </c>
      <c r="M2688">
        <v>4.2</v>
      </c>
      <c r="N2688">
        <v>1346</v>
      </c>
      <c r="O2688" t="s">
        <v>64</v>
      </c>
      <c r="P2688">
        <v>66.099999999999994</v>
      </c>
      <c r="Q2688" t="s">
        <v>86</v>
      </c>
      <c r="R2688">
        <v>22.8</v>
      </c>
      <c r="S2688">
        <v>40.4</v>
      </c>
      <c r="T2688">
        <v>4.5</v>
      </c>
      <c r="U2688">
        <v>1.7</v>
      </c>
      <c r="V2688">
        <v>8.4</v>
      </c>
      <c r="W2688">
        <v>6.8</v>
      </c>
      <c r="X2688" t="s">
        <v>66</v>
      </c>
    </row>
    <row r="2689" spans="2:24" x14ac:dyDescent="0.3">
      <c r="B2689" t="s">
        <v>2782</v>
      </c>
      <c r="C2689" t="s">
        <v>90</v>
      </c>
      <c r="D2689" t="s">
        <v>5</v>
      </c>
      <c r="E2689" t="s">
        <v>16</v>
      </c>
      <c r="F2689" t="s">
        <v>10</v>
      </c>
      <c r="G2689" t="s">
        <v>60</v>
      </c>
      <c r="H2689">
        <v>2024</v>
      </c>
      <c r="I2689">
        <v>12242</v>
      </c>
      <c r="J2689">
        <v>9.4</v>
      </c>
      <c r="K2689" t="s">
        <v>25</v>
      </c>
      <c r="L2689">
        <v>6</v>
      </c>
      <c r="M2689">
        <v>4.9000000000000004</v>
      </c>
      <c r="N2689">
        <v>605</v>
      </c>
      <c r="O2689" t="s">
        <v>64</v>
      </c>
      <c r="P2689">
        <v>22.6</v>
      </c>
      <c r="Q2689" t="s">
        <v>76</v>
      </c>
      <c r="R2689">
        <v>76.2</v>
      </c>
      <c r="S2689">
        <v>8.8000000000000007</v>
      </c>
      <c r="T2689">
        <v>6.8</v>
      </c>
      <c r="U2689">
        <v>3.6</v>
      </c>
      <c r="V2689">
        <v>6.2</v>
      </c>
      <c r="W2689">
        <v>7</v>
      </c>
      <c r="X2689" t="s">
        <v>66</v>
      </c>
    </row>
    <row r="2690" spans="2:24" x14ac:dyDescent="0.3">
      <c r="B2690" t="s">
        <v>2783</v>
      </c>
      <c r="C2690" t="s">
        <v>106</v>
      </c>
      <c r="D2690" t="s">
        <v>3</v>
      </c>
      <c r="E2690" t="s">
        <v>15</v>
      </c>
      <c r="F2690" t="s">
        <v>11</v>
      </c>
      <c r="G2690" t="s">
        <v>115</v>
      </c>
      <c r="H2690">
        <v>2024</v>
      </c>
      <c r="I2690">
        <v>4983</v>
      </c>
      <c r="J2690">
        <v>14.5</v>
      </c>
      <c r="K2690" t="s">
        <v>23</v>
      </c>
      <c r="L2690">
        <v>4.8</v>
      </c>
      <c r="M2690">
        <v>9.3000000000000007</v>
      </c>
      <c r="N2690">
        <v>5332</v>
      </c>
      <c r="O2690" t="s">
        <v>64</v>
      </c>
      <c r="P2690">
        <v>59.2</v>
      </c>
      <c r="Q2690" t="s">
        <v>86</v>
      </c>
      <c r="R2690">
        <v>-23.4</v>
      </c>
      <c r="S2690">
        <v>-24.8</v>
      </c>
      <c r="T2690">
        <v>-13.2</v>
      </c>
      <c r="U2690">
        <v>6.5</v>
      </c>
      <c r="V2690">
        <v>4.9000000000000004</v>
      </c>
      <c r="W2690">
        <v>3.3</v>
      </c>
      <c r="X2690" t="s">
        <v>116</v>
      </c>
    </row>
    <row r="2691" spans="2:24" x14ac:dyDescent="0.3">
      <c r="B2691" t="s">
        <v>2784</v>
      </c>
      <c r="C2691" t="s">
        <v>27</v>
      </c>
      <c r="D2691" t="s">
        <v>3</v>
      </c>
      <c r="E2691" t="s">
        <v>18</v>
      </c>
      <c r="F2691" t="s">
        <v>11</v>
      </c>
      <c r="G2691" t="s">
        <v>131</v>
      </c>
      <c r="H2691">
        <v>2025</v>
      </c>
      <c r="I2691">
        <v>57</v>
      </c>
      <c r="J2691">
        <v>1.2</v>
      </c>
      <c r="K2691" t="s">
        <v>23</v>
      </c>
      <c r="L2691">
        <v>6.2</v>
      </c>
      <c r="M2691">
        <v>4.4000000000000004</v>
      </c>
      <c r="N2691">
        <v>378</v>
      </c>
      <c r="O2691" t="s">
        <v>64</v>
      </c>
      <c r="P2691">
        <v>83.9</v>
      </c>
      <c r="Q2691" t="s">
        <v>88</v>
      </c>
      <c r="R2691">
        <v>-37.1</v>
      </c>
      <c r="S2691">
        <v>0.4</v>
      </c>
      <c r="T2691">
        <v>1.7</v>
      </c>
      <c r="U2691">
        <v>4.0999999999999996</v>
      </c>
      <c r="V2691">
        <v>6.1</v>
      </c>
      <c r="W2691">
        <v>6.8</v>
      </c>
      <c r="X2691" t="s">
        <v>57</v>
      </c>
    </row>
    <row r="2692" spans="2:24" x14ac:dyDescent="0.3">
      <c r="B2692" t="s">
        <v>2785</v>
      </c>
      <c r="C2692" t="s">
        <v>90</v>
      </c>
      <c r="D2692" t="s">
        <v>3</v>
      </c>
      <c r="E2692" t="s">
        <v>15</v>
      </c>
      <c r="F2692" t="s">
        <v>11</v>
      </c>
      <c r="G2692" t="s">
        <v>104</v>
      </c>
      <c r="H2692">
        <v>2024</v>
      </c>
      <c r="I2692">
        <v>2247</v>
      </c>
      <c r="J2692">
        <v>11.3</v>
      </c>
      <c r="K2692" t="s">
        <v>24</v>
      </c>
      <c r="L2692">
        <v>3.6</v>
      </c>
      <c r="M2692">
        <v>2.8</v>
      </c>
      <c r="N2692">
        <v>58</v>
      </c>
      <c r="O2692" t="s">
        <v>64</v>
      </c>
      <c r="P2692">
        <v>59.5</v>
      </c>
      <c r="Q2692" t="s">
        <v>56</v>
      </c>
      <c r="R2692">
        <v>69.400000000000006</v>
      </c>
      <c r="S2692">
        <v>46</v>
      </c>
      <c r="T2692">
        <v>22.6</v>
      </c>
      <c r="U2692">
        <v>2.4</v>
      </c>
      <c r="V2692">
        <v>8.1999999999999993</v>
      </c>
      <c r="W2692">
        <v>8.1</v>
      </c>
      <c r="X2692" t="s">
        <v>66</v>
      </c>
    </row>
    <row r="2693" spans="2:24" x14ac:dyDescent="0.3">
      <c r="B2693" t="s">
        <v>2786</v>
      </c>
      <c r="C2693" t="s">
        <v>92</v>
      </c>
      <c r="D2693" t="s">
        <v>7</v>
      </c>
      <c r="E2693" t="s">
        <v>19</v>
      </c>
      <c r="F2693" t="s">
        <v>11</v>
      </c>
      <c r="G2693" t="s">
        <v>115</v>
      </c>
      <c r="H2693">
        <v>2024</v>
      </c>
      <c r="I2693">
        <v>882</v>
      </c>
      <c r="J2693">
        <v>8.3000000000000007</v>
      </c>
      <c r="K2693" t="s">
        <v>24</v>
      </c>
      <c r="L2693">
        <v>6.4</v>
      </c>
      <c r="M2693">
        <v>6.2</v>
      </c>
      <c r="N2693">
        <v>3793</v>
      </c>
      <c r="O2693" t="s">
        <v>55</v>
      </c>
      <c r="P2693">
        <v>34.1</v>
      </c>
      <c r="Q2693" t="s">
        <v>84</v>
      </c>
      <c r="R2693">
        <v>-45</v>
      </c>
      <c r="S2693">
        <v>49.3</v>
      </c>
      <c r="T2693">
        <v>28.3</v>
      </c>
      <c r="U2693">
        <v>7</v>
      </c>
      <c r="V2693">
        <v>8.4</v>
      </c>
      <c r="W2693">
        <v>7.4</v>
      </c>
      <c r="X2693" t="s">
        <v>116</v>
      </c>
    </row>
    <row r="2694" spans="2:24" x14ac:dyDescent="0.3">
      <c r="B2694" t="s">
        <v>2787</v>
      </c>
      <c r="C2694" t="s">
        <v>62</v>
      </c>
      <c r="D2694" t="s">
        <v>2</v>
      </c>
      <c r="E2694" t="s">
        <v>17</v>
      </c>
      <c r="F2694" t="s">
        <v>11</v>
      </c>
      <c r="G2694" t="s">
        <v>101</v>
      </c>
      <c r="H2694">
        <v>2026</v>
      </c>
      <c r="I2694">
        <v>1871</v>
      </c>
      <c r="J2694">
        <v>6.5</v>
      </c>
      <c r="K2694" t="s">
        <v>21</v>
      </c>
      <c r="L2694">
        <v>3.6</v>
      </c>
      <c r="M2694">
        <v>7.8</v>
      </c>
      <c r="N2694">
        <v>9543</v>
      </c>
      <c r="O2694" t="s">
        <v>118</v>
      </c>
      <c r="P2694">
        <v>49.5</v>
      </c>
      <c r="Q2694" t="s">
        <v>76</v>
      </c>
      <c r="R2694">
        <v>70.099999999999994</v>
      </c>
      <c r="S2694">
        <v>35.200000000000003</v>
      </c>
      <c r="T2694">
        <v>7.4</v>
      </c>
      <c r="U2694">
        <v>4.2</v>
      </c>
      <c r="V2694">
        <v>7.8</v>
      </c>
      <c r="W2694">
        <v>5.9</v>
      </c>
      <c r="X2694" t="s">
        <v>57</v>
      </c>
    </row>
    <row r="2695" spans="2:24" x14ac:dyDescent="0.3">
      <c r="B2695" t="s">
        <v>2788</v>
      </c>
      <c r="C2695" t="s">
        <v>71</v>
      </c>
      <c r="D2695" t="s">
        <v>6</v>
      </c>
      <c r="E2695" t="s">
        <v>17</v>
      </c>
      <c r="F2695" t="s">
        <v>9</v>
      </c>
      <c r="G2695" t="s">
        <v>63</v>
      </c>
      <c r="H2695">
        <v>2025</v>
      </c>
      <c r="I2695">
        <v>12283</v>
      </c>
      <c r="J2695">
        <v>39.9</v>
      </c>
      <c r="K2695" t="s">
        <v>25</v>
      </c>
      <c r="L2695">
        <v>11.9</v>
      </c>
      <c r="M2695">
        <v>10</v>
      </c>
      <c r="N2695">
        <v>1645</v>
      </c>
      <c r="O2695" t="s">
        <v>75</v>
      </c>
      <c r="P2695">
        <v>45.9</v>
      </c>
      <c r="Q2695" t="s">
        <v>76</v>
      </c>
      <c r="R2695">
        <v>25.7</v>
      </c>
      <c r="S2695">
        <v>58.2</v>
      </c>
      <c r="T2695">
        <v>21.3</v>
      </c>
      <c r="U2695">
        <v>9.1</v>
      </c>
      <c r="V2695">
        <v>4.0999999999999996</v>
      </c>
      <c r="W2695">
        <v>3.3</v>
      </c>
      <c r="X2695" t="s">
        <v>66</v>
      </c>
    </row>
    <row r="2696" spans="2:24" x14ac:dyDescent="0.3">
      <c r="B2696" t="s">
        <v>2789</v>
      </c>
      <c r="C2696" t="s">
        <v>62</v>
      </c>
      <c r="D2696" t="s">
        <v>2</v>
      </c>
      <c r="E2696" t="s">
        <v>14</v>
      </c>
      <c r="F2696" t="s">
        <v>10</v>
      </c>
      <c r="G2696" t="s">
        <v>115</v>
      </c>
      <c r="H2696">
        <v>2025</v>
      </c>
      <c r="I2696">
        <v>14856</v>
      </c>
      <c r="J2696">
        <v>29.9</v>
      </c>
      <c r="K2696" t="s">
        <v>25</v>
      </c>
      <c r="L2696">
        <v>1.8</v>
      </c>
      <c r="M2696">
        <v>10</v>
      </c>
      <c r="N2696">
        <v>1303</v>
      </c>
      <c r="O2696" t="s">
        <v>75</v>
      </c>
      <c r="P2696">
        <v>76.2</v>
      </c>
      <c r="Q2696" t="s">
        <v>76</v>
      </c>
      <c r="R2696">
        <v>29.4</v>
      </c>
      <c r="S2696">
        <v>49.2</v>
      </c>
      <c r="T2696">
        <v>21.4</v>
      </c>
      <c r="U2696">
        <v>2.9</v>
      </c>
      <c r="V2696">
        <v>6.9</v>
      </c>
      <c r="W2696">
        <v>5.2</v>
      </c>
      <c r="X2696" t="s">
        <v>66</v>
      </c>
    </row>
    <row r="2697" spans="2:24" x14ac:dyDescent="0.3">
      <c r="B2697" t="s">
        <v>2790</v>
      </c>
      <c r="C2697" t="s">
        <v>97</v>
      </c>
      <c r="D2697" t="s">
        <v>3</v>
      </c>
      <c r="E2697" t="s">
        <v>18</v>
      </c>
      <c r="F2697" t="s">
        <v>10</v>
      </c>
      <c r="G2697" t="s">
        <v>69</v>
      </c>
      <c r="H2697">
        <v>2025</v>
      </c>
      <c r="I2697">
        <v>6997</v>
      </c>
      <c r="J2697">
        <v>39.299999999999997</v>
      </c>
      <c r="K2697" t="s">
        <v>25</v>
      </c>
      <c r="L2697">
        <v>7.1</v>
      </c>
      <c r="M2697">
        <v>10</v>
      </c>
      <c r="N2697">
        <v>381</v>
      </c>
      <c r="O2697" t="s">
        <v>75</v>
      </c>
      <c r="P2697">
        <v>88.4</v>
      </c>
      <c r="Q2697" t="s">
        <v>79</v>
      </c>
      <c r="R2697">
        <v>5.4</v>
      </c>
      <c r="S2697">
        <v>42.4</v>
      </c>
      <c r="T2697">
        <v>5</v>
      </c>
      <c r="U2697">
        <v>4.8</v>
      </c>
      <c r="V2697">
        <v>5.7</v>
      </c>
      <c r="W2697">
        <v>2.6</v>
      </c>
      <c r="X2697" t="s">
        <v>66</v>
      </c>
    </row>
    <row r="2698" spans="2:24" x14ac:dyDescent="0.3">
      <c r="B2698" t="s">
        <v>2791</v>
      </c>
      <c r="C2698" t="s">
        <v>53</v>
      </c>
      <c r="D2698" t="s">
        <v>7</v>
      </c>
      <c r="E2698" t="s">
        <v>17</v>
      </c>
      <c r="F2698" t="s">
        <v>11</v>
      </c>
      <c r="G2698" t="s">
        <v>60</v>
      </c>
      <c r="H2698">
        <v>2024</v>
      </c>
      <c r="I2698">
        <v>2029</v>
      </c>
      <c r="J2698">
        <v>7.3</v>
      </c>
      <c r="K2698" t="s">
        <v>24</v>
      </c>
      <c r="L2698">
        <v>3.4</v>
      </c>
      <c r="M2698">
        <v>5.2</v>
      </c>
      <c r="N2698">
        <v>227</v>
      </c>
      <c r="O2698" t="s">
        <v>64</v>
      </c>
      <c r="P2698">
        <v>77.5</v>
      </c>
      <c r="Q2698" t="s">
        <v>76</v>
      </c>
      <c r="R2698">
        <v>45.4</v>
      </c>
      <c r="S2698">
        <v>42.7</v>
      </c>
      <c r="T2698">
        <v>6.8</v>
      </c>
      <c r="U2698">
        <v>2.8</v>
      </c>
      <c r="V2698">
        <v>9.1</v>
      </c>
      <c r="W2698">
        <v>7.2</v>
      </c>
      <c r="X2698" t="s">
        <v>57</v>
      </c>
    </row>
    <row r="2699" spans="2:24" x14ac:dyDescent="0.3">
      <c r="B2699" t="s">
        <v>2792</v>
      </c>
      <c r="C2699" t="s">
        <v>137</v>
      </c>
      <c r="D2699" t="s">
        <v>4</v>
      </c>
      <c r="E2699" t="s">
        <v>15</v>
      </c>
      <c r="F2699" t="s">
        <v>9</v>
      </c>
      <c r="G2699" t="s">
        <v>78</v>
      </c>
      <c r="H2699">
        <v>2026</v>
      </c>
      <c r="I2699">
        <v>318</v>
      </c>
      <c r="J2699">
        <v>5.5</v>
      </c>
      <c r="K2699" t="s">
        <v>21</v>
      </c>
      <c r="L2699">
        <v>3.6</v>
      </c>
      <c r="M2699">
        <v>4.9000000000000004</v>
      </c>
      <c r="N2699">
        <v>3166</v>
      </c>
      <c r="O2699" t="s">
        <v>64</v>
      </c>
      <c r="P2699">
        <v>52.7</v>
      </c>
      <c r="Q2699" t="s">
        <v>84</v>
      </c>
      <c r="R2699">
        <v>60.2</v>
      </c>
      <c r="S2699">
        <v>-21.4</v>
      </c>
      <c r="T2699">
        <v>-9.4</v>
      </c>
      <c r="U2699">
        <v>2.2999999999999998</v>
      </c>
      <c r="V2699">
        <v>7.6</v>
      </c>
      <c r="W2699">
        <v>6.5</v>
      </c>
      <c r="X2699" t="s">
        <v>57</v>
      </c>
    </row>
    <row r="2700" spans="2:24" x14ac:dyDescent="0.3">
      <c r="B2700" t="s">
        <v>2793</v>
      </c>
      <c r="C2700" t="s">
        <v>68</v>
      </c>
      <c r="D2700" t="s">
        <v>8</v>
      </c>
      <c r="E2700" t="s">
        <v>17</v>
      </c>
      <c r="F2700" t="s">
        <v>9</v>
      </c>
      <c r="G2700" t="s">
        <v>112</v>
      </c>
      <c r="H2700">
        <v>2024</v>
      </c>
      <c r="I2700">
        <v>2702</v>
      </c>
      <c r="J2700">
        <v>28.8</v>
      </c>
      <c r="K2700" t="s">
        <v>21</v>
      </c>
      <c r="L2700">
        <v>1.4</v>
      </c>
      <c r="M2700">
        <v>6.9</v>
      </c>
      <c r="N2700">
        <v>1151</v>
      </c>
      <c r="O2700" t="s">
        <v>75</v>
      </c>
      <c r="P2700">
        <v>36.299999999999997</v>
      </c>
      <c r="Q2700" t="s">
        <v>84</v>
      </c>
      <c r="R2700">
        <v>-9</v>
      </c>
      <c r="S2700">
        <v>59.6</v>
      </c>
      <c r="T2700">
        <v>17.8</v>
      </c>
      <c r="U2700">
        <v>2.2000000000000002</v>
      </c>
      <c r="V2700">
        <v>6.4</v>
      </c>
      <c r="W2700">
        <v>5</v>
      </c>
      <c r="X2700" t="s">
        <v>66</v>
      </c>
    </row>
    <row r="2701" spans="2:24" x14ac:dyDescent="0.3">
      <c r="B2701" t="s">
        <v>2794</v>
      </c>
      <c r="C2701" t="s">
        <v>90</v>
      </c>
      <c r="D2701" t="s">
        <v>2</v>
      </c>
      <c r="E2701" t="s">
        <v>15</v>
      </c>
      <c r="F2701" t="s">
        <v>9</v>
      </c>
      <c r="G2701" t="s">
        <v>69</v>
      </c>
      <c r="H2701">
        <v>2024</v>
      </c>
      <c r="I2701">
        <v>2250</v>
      </c>
      <c r="J2701">
        <v>7.4</v>
      </c>
      <c r="K2701" t="s">
        <v>21</v>
      </c>
      <c r="L2701">
        <v>3.3</v>
      </c>
      <c r="M2701">
        <v>3.9</v>
      </c>
      <c r="N2701">
        <v>8667</v>
      </c>
      <c r="O2701" t="s">
        <v>55</v>
      </c>
      <c r="P2701">
        <v>70.8</v>
      </c>
      <c r="Q2701" t="s">
        <v>56</v>
      </c>
      <c r="R2701">
        <v>38.6</v>
      </c>
      <c r="S2701">
        <v>-17.7</v>
      </c>
      <c r="T2701">
        <v>-8.3000000000000007</v>
      </c>
      <c r="U2701">
        <v>2.6</v>
      </c>
      <c r="V2701">
        <v>7.6</v>
      </c>
      <c r="W2701">
        <v>6</v>
      </c>
      <c r="X2701" t="s">
        <v>57</v>
      </c>
    </row>
    <row r="2702" spans="2:24" x14ac:dyDescent="0.3">
      <c r="B2702" t="s">
        <v>2795</v>
      </c>
      <c r="C2702" t="s">
        <v>53</v>
      </c>
      <c r="D2702" t="s">
        <v>2</v>
      </c>
      <c r="E2702" t="s">
        <v>18</v>
      </c>
      <c r="F2702" t="s">
        <v>12</v>
      </c>
      <c r="G2702" t="s">
        <v>112</v>
      </c>
      <c r="H2702">
        <v>2025</v>
      </c>
      <c r="I2702">
        <v>1577</v>
      </c>
      <c r="J2702">
        <v>35.9</v>
      </c>
      <c r="K2702" t="s">
        <v>25</v>
      </c>
      <c r="L2702">
        <v>5</v>
      </c>
      <c r="M2702">
        <v>8.9</v>
      </c>
      <c r="N2702">
        <v>4059</v>
      </c>
      <c r="O2702" t="s">
        <v>75</v>
      </c>
      <c r="P2702">
        <v>23.1</v>
      </c>
      <c r="Q2702" t="s">
        <v>76</v>
      </c>
      <c r="R2702">
        <v>3.4</v>
      </c>
      <c r="S2702">
        <v>19.7</v>
      </c>
      <c r="T2702">
        <v>3.4</v>
      </c>
      <c r="U2702">
        <v>3.6</v>
      </c>
      <c r="V2702">
        <v>6</v>
      </c>
      <c r="W2702">
        <v>3.4</v>
      </c>
      <c r="X2702" t="s">
        <v>66</v>
      </c>
    </row>
    <row r="2703" spans="2:24" x14ac:dyDescent="0.3">
      <c r="B2703" t="s">
        <v>2796</v>
      </c>
      <c r="C2703" t="s">
        <v>68</v>
      </c>
      <c r="D2703" t="s">
        <v>8</v>
      </c>
      <c r="E2703" t="s">
        <v>17</v>
      </c>
      <c r="F2703" t="s">
        <v>9</v>
      </c>
      <c r="G2703" t="s">
        <v>78</v>
      </c>
      <c r="H2703">
        <v>2026</v>
      </c>
      <c r="I2703">
        <v>8326</v>
      </c>
      <c r="J2703">
        <v>31.5</v>
      </c>
      <c r="K2703" t="s">
        <v>25</v>
      </c>
      <c r="L2703">
        <v>7.4</v>
      </c>
      <c r="M2703">
        <v>10</v>
      </c>
      <c r="N2703">
        <v>1844</v>
      </c>
      <c r="O2703" t="s">
        <v>64</v>
      </c>
      <c r="P2703">
        <v>44.2</v>
      </c>
      <c r="Q2703" t="s">
        <v>88</v>
      </c>
      <c r="R2703">
        <v>83.2</v>
      </c>
      <c r="S2703">
        <v>-16.399999999999999</v>
      </c>
      <c r="T2703">
        <v>-11.9</v>
      </c>
      <c r="U2703">
        <v>9.6999999999999993</v>
      </c>
      <c r="V2703">
        <v>5.9</v>
      </c>
      <c r="W2703">
        <v>2.4</v>
      </c>
      <c r="X2703" t="s">
        <v>66</v>
      </c>
    </row>
    <row r="2704" spans="2:24" x14ac:dyDescent="0.3">
      <c r="B2704" t="s">
        <v>2797</v>
      </c>
      <c r="C2704" t="s">
        <v>137</v>
      </c>
      <c r="D2704" t="s">
        <v>3</v>
      </c>
      <c r="E2704" t="s">
        <v>19</v>
      </c>
      <c r="F2704" t="s">
        <v>11</v>
      </c>
      <c r="G2704" t="s">
        <v>101</v>
      </c>
      <c r="H2704">
        <v>2024</v>
      </c>
      <c r="I2704">
        <v>1395</v>
      </c>
      <c r="J2704">
        <v>16.100000000000001</v>
      </c>
      <c r="K2704" t="s">
        <v>23</v>
      </c>
      <c r="L2704">
        <v>4.9000000000000004</v>
      </c>
      <c r="M2704">
        <v>6.9</v>
      </c>
      <c r="N2704">
        <v>2951</v>
      </c>
      <c r="O2704" t="s">
        <v>64</v>
      </c>
      <c r="P2704">
        <v>83.7</v>
      </c>
      <c r="Q2704" t="s">
        <v>125</v>
      </c>
      <c r="R2704">
        <v>74.099999999999994</v>
      </c>
      <c r="S2704">
        <v>-20</v>
      </c>
      <c r="T2704">
        <v>-17.899999999999999</v>
      </c>
      <c r="U2704">
        <v>5.7</v>
      </c>
      <c r="V2704">
        <v>3.8</v>
      </c>
      <c r="W2704">
        <v>4.5999999999999996</v>
      </c>
      <c r="X2704" t="s">
        <v>116</v>
      </c>
    </row>
    <row r="2705" spans="2:24" x14ac:dyDescent="0.3">
      <c r="B2705" t="s">
        <v>2798</v>
      </c>
      <c r="C2705" t="s">
        <v>53</v>
      </c>
      <c r="D2705" t="s">
        <v>7</v>
      </c>
      <c r="E2705" t="s">
        <v>16</v>
      </c>
      <c r="F2705" t="s">
        <v>12</v>
      </c>
      <c r="G2705" t="s">
        <v>54</v>
      </c>
      <c r="H2705">
        <v>2024</v>
      </c>
      <c r="I2705">
        <v>8362</v>
      </c>
      <c r="J2705">
        <v>36.4</v>
      </c>
      <c r="K2705" t="s">
        <v>23</v>
      </c>
      <c r="L2705">
        <v>8.9</v>
      </c>
      <c r="M2705">
        <v>10</v>
      </c>
      <c r="N2705">
        <v>1904</v>
      </c>
      <c r="O2705" t="s">
        <v>64</v>
      </c>
      <c r="P2705">
        <v>72.099999999999994</v>
      </c>
      <c r="Q2705" t="s">
        <v>76</v>
      </c>
      <c r="R2705">
        <v>73</v>
      </c>
      <c r="S2705">
        <v>-20.399999999999999</v>
      </c>
      <c r="T2705">
        <v>-24.4</v>
      </c>
      <c r="U2705">
        <v>8.3000000000000007</v>
      </c>
      <c r="V2705">
        <v>5</v>
      </c>
      <c r="W2705">
        <v>1.4</v>
      </c>
      <c r="X2705" t="s">
        <v>66</v>
      </c>
    </row>
    <row r="2706" spans="2:24" x14ac:dyDescent="0.3">
      <c r="B2706" t="s">
        <v>2799</v>
      </c>
      <c r="C2706" t="s">
        <v>106</v>
      </c>
      <c r="D2706" t="s">
        <v>4</v>
      </c>
      <c r="E2706" t="s">
        <v>14</v>
      </c>
      <c r="F2706" t="s">
        <v>10</v>
      </c>
      <c r="G2706" t="s">
        <v>115</v>
      </c>
      <c r="H2706">
        <v>2024</v>
      </c>
      <c r="I2706">
        <v>5840</v>
      </c>
      <c r="J2706">
        <v>7.3</v>
      </c>
      <c r="K2706" t="s">
        <v>22</v>
      </c>
      <c r="L2706">
        <v>0.8</v>
      </c>
      <c r="M2706">
        <v>3.3</v>
      </c>
      <c r="N2706">
        <v>4667</v>
      </c>
      <c r="O2706" t="s">
        <v>64</v>
      </c>
      <c r="P2706">
        <v>21.8</v>
      </c>
      <c r="Q2706" t="s">
        <v>125</v>
      </c>
      <c r="R2706">
        <v>-22.3</v>
      </c>
      <c r="S2706">
        <v>11.3</v>
      </c>
      <c r="T2706">
        <v>-1.9</v>
      </c>
      <c r="U2706">
        <v>1.2</v>
      </c>
      <c r="V2706">
        <v>6.6</v>
      </c>
      <c r="W2706">
        <v>7.8</v>
      </c>
      <c r="X2706" t="s">
        <v>116</v>
      </c>
    </row>
    <row r="2707" spans="2:24" x14ac:dyDescent="0.3">
      <c r="B2707" t="s">
        <v>2800</v>
      </c>
      <c r="C2707" t="s">
        <v>90</v>
      </c>
      <c r="D2707" t="s">
        <v>3</v>
      </c>
      <c r="E2707" t="s">
        <v>18</v>
      </c>
      <c r="F2707" t="s">
        <v>12</v>
      </c>
      <c r="G2707" t="s">
        <v>104</v>
      </c>
      <c r="H2707">
        <v>2024</v>
      </c>
      <c r="I2707">
        <v>511</v>
      </c>
      <c r="J2707">
        <v>6.3</v>
      </c>
      <c r="K2707" t="s">
        <v>23</v>
      </c>
      <c r="L2707">
        <v>6.2</v>
      </c>
      <c r="M2707">
        <v>7.8</v>
      </c>
      <c r="N2707">
        <v>3373</v>
      </c>
      <c r="O2707" t="s">
        <v>55</v>
      </c>
      <c r="P2707">
        <v>20.3</v>
      </c>
      <c r="Q2707" t="s">
        <v>56</v>
      </c>
      <c r="R2707">
        <v>-22.7</v>
      </c>
      <c r="S2707">
        <v>47</v>
      </c>
      <c r="T2707">
        <v>20.399999999999999</v>
      </c>
      <c r="U2707">
        <v>8.5</v>
      </c>
      <c r="V2707">
        <v>8.3000000000000007</v>
      </c>
      <c r="W2707">
        <v>6.8</v>
      </c>
      <c r="X2707" t="s">
        <v>57</v>
      </c>
    </row>
    <row r="2708" spans="2:24" x14ac:dyDescent="0.3">
      <c r="B2708" t="s">
        <v>2801</v>
      </c>
      <c r="C2708" t="s">
        <v>106</v>
      </c>
      <c r="D2708" t="s">
        <v>3</v>
      </c>
      <c r="E2708" t="s">
        <v>18</v>
      </c>
      <c r="F2708" t="s">
        <v>12</v>
      </c>
      <c r="G2708" t="s">
        <v>60</v>
      </c>
      <c r="H2708">
        <v>2025</v>
      </c>
      <c r="I2708">
        <v>2377</v>
      </c>
      <c r="J2708">
        <v>4.2</v>
      </c>
      <c r="K2708" t="s">
        <v>23</v>
      </c>
      <c r="L2708">
        <v>5.7</v>
      </c>
      <c r="M2708">
        <v>10</v>
      </c>
      <c r="N2708">
        <v>4990</v>
      </c>
      <c r="O2708" t="s">
        <v>118</v>
      </c>
      <c r="P2708">
        <v>88.8</v>
      </c>
      <c r="Q2708" t="s">
        <v>86</v>
      </c>
      <c r="R2708">
        <v>2.2999999999999998</v>
      </c>
      <c r="S2708">
        <v>23.5</v>
      </c>
      <c r="T2708">
        <v>20.100000000000001</v>
      </c>
      <c r="U2708">
        <v>9.1999999999999993</v>
      </c>
      <c r="V2708">
        <v>5.6</v>
      </c>
      <c r="W2708">
        <v>5.7</v>
      </c>
      <c r="X2708" t="s">
        <v>57</v>
      </c>
    </row>
    <row r="2709" spans="2:24" x14ac:dyDescent="0.3">
      <c r="B2709" t="s">
        <v>2802</v>
      </c>
      <c r="C2709" t="s">
        <v>90</v>
      </c>
      <c r="D2709" t="s">
        <v>5</v>
      </c>
      <c r="E2709" t="s">
        <v>17</v>
      </c>
      <c r="F2709" t="s">
        <v>9</v>
      </c>
      <c r="G2709" t="s">
        <v>131</v>
      </c>
      <c r="H2709">
        <v>2025</v>
      </c>
      <c r="I2709">
        <v>1357</v>
      </c>
      <c r="J2709">
        <v>5</v>
      </c>
      <c r="K2709" t="s">
        <v>25</v>
      </c>
      <c r="L2709">
        <v>2.5</v>
      </c>
      <c r="M2709">
        <v>2.8</v>
      </c>
      <c r="N2709">
        <v>1798</v>
      </c>
      <c r="O2709" t="s">
        <v>55</v>
      </c>
      <c r="P2709">
        <v>86.4</v>
      </c>
      <c r="Q2709" t="s">
        <v>76</v>
      </c>
      <c r="R2709">
        <v>10</v>
      </c>
      <c r="S2709">
        <v>-19.3</v>
      </c>
      <c r="T2709">
        <v>-5.7</v>
      </c>
      <c r="U2709">
        <v>2.9</v>
      </c>
      <c r="V2709">
        <v>4.3</v>
      </c>
      <c r="W2709">
        <v>6.8</v>
      </c>
      <c r="X2709" t="s">
        <v>57</v>
      </c>
    </row>
    <row r="2710" spans="2:24" x14ac:dyDescent="0.3">
      <c r="B2710" t="s">
        <v>2803</v>
      </c>
      <c r="C2710" t="s">
        <v>92</v>
      </c>
      <c r="D2710" t="s">
        <v>7</v>
      </c>
      <c r="E2710" t="s">
        <v>18</v>
      </c>
      <c r="F2710" t="s">
        <v>11</v>
      </c>
      <c r="G2710" t="s">
        <v>98</v>
      </c>
      <c r="H2710">
        <v>2026</v>
      </c>
      <c r="I2710">
        <v>4140</v>
      </c>
      <c r="J2710">
        <v>16</v>
      </c>
      <c r="K2710" t="s">
        <v>23</v>
      </c>
      <c r="L2710">
        <v>6.1</v>
      </c>
      <c r="M2710">
        <v>9.6</v>
      </c>
      <c r="N2710">
        <v>4432</v>
      </c>
      <c r="O2710" t="s">
        <v>64</v>
      </c>
      <c r="P2710">
        <v>64.900000000000006</v>
      </c>
      <c r="Q2710" t="s">
        <v>65</v>
      </c>
      <c r="R2710">
        <v>38.5</v>
      </c>
      <c r="S2710">
        <v>14.9</v>
      </c>
      <c r="T2710">
        <v>6.2</v>
      </c>
      <c r="U2710">
        <v>6.4</v>
      </c>
      <c r="V2710">
        <v>6.1</v>
      </c>
      <c r="W2710">
        <v>4.3</v>
      </c>
      <c r="X2710" t="s">
        <v>116</v>
      </c>
    </row>
    <row r="2711" spans="2:24" x14ac:dyDescent="0.3">
      <c r="B2711" t="s">
        <v>2804</v>
      </c>
      <c r="C2711" t="s">
        <v>53</v>
      </c>
      <c r="D2711" t="s">
        <v>2</v>
      </c>
      <c r="E2711" t="s">
        <v>18</v>
      </c>
      <c r="F2711" t="s">
        <v>10</v>
      </c>
      <c r="G2711" t="s">
        <v>101</v>
      </c>
      <c r="H2711">
        <v>2024</v>
      </c>
      <c r="I2711">
        <v>1527</v>
      </c>
      <c r="J2711">
        <v>11.5</v>
      </c>
      <c r="K2711" t="s">
        <v>22</v>
      </c>
      <c r="L2711">
        <v>12.5</v>
      </c>
      <c r="M2711">
        <v>7.6</v>
      </c>
      <c r="N2711">
        <v>3045</v>
      </c>
      <c r="O2711" t="s">
        <v>55</v>
      </c>
      <c r="P2711">
        <v>23.5</v>
      </c>
      <c r="Q2711" t="s">
        <v>76</v>
      </c>
      <c r="R2711">
        <v>58.5</v>
      </c>
      <c r="S2711">
        <v>-20.399999999999999</v>
      </c>
      <c r="T2711">
        <v>-12.2</v>
      </c>
      <c r="U2711">
        <v>9.9</v>
      </c>
      <c r="V2711">
        <v>6.8</v>
      </c>
      <c r="W2711">
        <v>4.5</v>
      </c>
      <c r="X2711" t="s">
        <v>116</v>
      </c>
    </row>
    <row r="2712" spans="2:24" x14ac:dyDescent="0.3">
      <c r="B2712" t="s">
        <v>2805</v>
      </c>
      <c r="C2712" t="s">
        <v>27</v>
      </c>
      <c r="D2712" t="s">
        <v>3</v>
      </c>
      <c r="E2712" t="s">
        <v>16</v>
      </c>
      <c r="F2712" t="s">
        <v>12</v>
      </c>
      <c r="G2712" t="s">
        <v>101</v>
      </c>
      <c r="H2712">
        <v>2024</v>
      </c>
      <c r="I2712">
        <v>1748</v>
      </c>
      <c r="J2712">
        <v>8.4</v>
      </c>
      <c r="K2712" t="s">
        <v>24</v>
      </c>
      <c r="L2712">
        <v>12.6</v>
      </c>
      <c r="M2712">
        <v>8.9</v>
      </c>
      <c r="N2712">
        <v>1827</v>
      </c>
      <c r="O2712" t="s">
        <v>55</v>
      </c>
      <c r="P2712">
        <v>82.8</v>
      </c>
      <c r="Q2712" t="s">
        <v>79</v>
      </c>
      <c r="R2712">
        <v>14.2</v>
      </c>
      <c r="S2712">
        <v>-13.3</v>
      </c>
      <c r="T2712">
        <v>0.4</v>
      </c>
      <c r="U2712">
        <v>9.6999999999999993</v>
      </c>
      <c r="V2712">
        <v>4.3</v>
      </c>
      <c r="W2712">
        <v>4.0999999999999996</v>
      </c>
      <c r="X2712" t="s">
        <v>57</v>
      </c>
    </row>
    <row r="2713" spans="2:24" x14ac:dyDescent="0.3">
      <c r="B2713" t="s">
        <v>2806</v>
      </c>
      <c r="C2713" t="s">
        <v>90</v>
      </c>
      <c r="D2713" t="s">
        <v>3</v>
      </c>
      <c r="E2713" t="s">
        <v>18</v>
      </c>
      <c r="F2713" t="s">
        <v>11</v>
      </c>
      <c r="G2713" t="s">
        <v>98</v>
      </c>
      <c r="H2713">
        <v>2026</v>
      </c>
      <c r="I2713">
        <v>5557</v>
      </c>
      <c r="J2713">
        <v>9.5</v>
      </c>
      <c r="K2713" t="s">
        <v>24</v>
      </c>
      <c r="L2713">
        <v>13</v>
      </c>
      <c r="M2713">
        <v>10</v>
      </c>
      <c r="N2713">
        <v>4192</v>
      </c>
      <c r="O2713" t="s">
        <v>55</v>
      </c>
      <c r="P2713">
        <v>25.5</v>
      </c>
      <c r="Q2713" t="s">
        <v>65</v>
      </c>
      <c r="R2713">
        <v>28.3</v>
      </c>
      <c r="S2713">
        <v>28.5</v>
      </c>
      <c r="T2713">
        <v>19</v>
      </c>
      <c r="U2713">
        <v>8.8000000000000007</v>
      </c>
      <c r="V2713">
        <v>6.5</v>
      </c>
      <c r="W2713">
        <v>5.3</v>
      </c>
      <c r="X2713" t="s">
        <v>116</v>
      </c>
    </row>
    <row r="2714" spans="2:24" x14ac:dyDescent="0.3">
      <c r="B2714" t="s">
        <v>2807</v>
      </c>
      <c r="C2714" t="s">
        <v>90</v>
      </c>
      <c r="D2714" t="s">
        <v>5</v>
      </c>
      <c r="E2714" t="s">
        <v>17</v>
      </c>
      <c r="F2714" t="s">
        <v>12</v>
      </c>
      <c r="G2714" t="s">
        <v>74</v>
      </c>
      <c r="H2714">
        <v>2025</v>
      </c>
      <c r="I2714">
        <v>14587</v>
      </c>
      <c r="J2714">
        <v>30.6</v>
      </c>
      <c r="K2714" t="s">
        <v>21</v>
      </c>
      <c r="L2714">
        <v>7.2</v>
      </c>
      <c r="M2714">
        <v>10</v>
      </c>
      <c r="N2714">
        <v>660</v>
      </c>
      <c r="O2714" t="s">
        <v>64</v>
      </c>
      <c r="P2714">
        <v>13.8</v>
      </c>
      <c r="Q2714" t="s">
        <v>88</v>
      </c>
      <c r="R2714">
        <v>74.400000000000006</v>
      </c>
      <c r="S2714">
        <v>2.5</v>
      </c>
      <c r="T2714">
        <v>-13.5</v>
      </c>
      <c r="U2714">
        <v>5.0999999999999996</v>
      </c>
      <c r="V2714">
        <v>5.3</v>
      </c>
      <c r="W2714">
        <v>3.9</v>
      </c>
      <c r="X2714" t="s">
        <v>66</v>
      </c>
    </row>
    <row r="2715" spans="2:24" x14ac:dyDescent="0.3">
      <c r="B2715" t="s">
        <v>2808</v>
      </c>
      <c r="C2715" t="s">
        <v>27</v>
      </c>
      <c r="D2715" t="s">
        <v>2</v>
      </c>
      <c r="E2715" t="s">
        <v>14</v>
      </c>
      <c r="F2715" t="s">
        <v>10</v>
      </c>
      <c r="G2715" t="s">
        <v>60</v>
      </c>
      <c r="H2715">
        <v>2026</v>
      </c>
      <c r="I2715">
        <v>17836</v>
      </c>
      <c r="J2715">
        <v>25</v>
      </c>
      <c r="K2715" t="s">
        <v>22</v>
      </c>
      <c r="L2715">
        <v>3.7</v>
      </c>
      <c r="M2715">
        <v>10</v>
      </c>
      <c r="N2715">
        <v>1210</v>
      </c>
      <c r="O2715" t="s">
        <v>75</v>
      </c>
      <c r="P2715">
        <v>20.3</v>
      </c>
      <c r="Q2715" t="s">
        <v>76</v>
      </c>
      <c r="R2715">
        <v>30.5</v>
      </c>
      <c r="S2715">
        <v>16.5</v>
      </c>
      <c r="T2715">
        <v>8.9</v>
      </c>
      <c r="U2715">
        <v>3.5</v>
      </c>
      <c r="V2715">
        <v>3.8</v>
      </c>
      <c r="W2715">
        <v>4.8</v>
      </c>
      <c r="X2715" t="s">
        <v>66</v>
      </c>
    </row>
    <row r="2716" spans="2:24" x14ac:dyDescent="0.3">
      <c r="B2716" t="s">
        <v>2809</v>
      </c>
      <c r="C2716" t="s">
        <v>81</v>
      </c>
      <c r="D2716" t="s">
        <v>5</v>
      </c>
      <c r="E2716" t="s">
        <v>16</v>
      </c>
      <c r="F2716" t="s">
        <v>11</v>
      </c>
      <c r="G2716" t="s">
        <v>69</v>
      </c>
      <c r="H2716">
        <v>2024</v>
      </c>
      <c r="I2716">
        <v>2307</v>
      </c>
      <c r="J2716">
        <v>9.1999999999999993</v>
      </c>
      <c r="K2716" t="s">
        <v>21</v>
      </c>
      <c r="L2716">
        <v>11.2</v>
      </c>
      <c r="M2716">
        <v>5.3</v>
      </c>
      <c r="N2716">
        <v>5124</v>
      </c>
      <c r="O2716" t="s">
        <v>55</v>
      </c>
      <c r="P2716">
        <v>21.1</v>
      </c>
      <c r="Q2716" t="s">
        <v>76</v>
      </c>
      <c r="R2716">
        <v>19.100000000000001</v>
      </c>
      <c r="S2716">
        <v>34.6</v>
      </c>
      <c r="T2716">
        <v>18.399999999999999</v>
      </c>
      <c r="U2716">
        <v>6.7</v>
      </c>
      <c r="V2716">
        <v>8.8000000000000007</v>
      </c>
      <c r="W2716">
        <v>7.4</v>
      </c>
      <c r="X2716" t="s">
        <v>116</v>
      </c>
    </row>
    <row r="2717" spans="2:24" x14ac:dyDescent="0.3">
      <c r="B2717" t="s">
        <v>2810</v>
      </c>
      <c r="C2717" t="s">
        <v>142</v>
      </c>
      <c r="D2717" t="s">
        <v>8</v>
      </c>
      <c r="E2717" t="s">
        <v>18</v>
      </c>
      <c r="F2717" t="s">
        <v>11</v>
      </c>
      <c r="G2717" t="s">
        <v>112</v>
      </c>
      <c r="H2717">
        <v>2025</v>
      </c>
      <c r="I2717">
        <v>2102</v>
      </c>
      <c r="J2717">
        <v>2</v>
      </c>
      <c r="K2717" t="s">
        <v>24</v>
      </c>
      <c r="L2717">
        <v>1.4</v>
      </c>
      <c r="M2717">
        <v>2.6</v>
      </c>
      <c r="N2717">
        <v>3662</v>
      </c>
      <c r="O2717" t="s">
        <v>64</v>
      </c>
      <c r="P2717">
        <v>72.2</v>
      </c>
      <c r="Q2717" t="s">
        <v>88</v>
      </c>
      <c r="R2717">
        <v>51</v>
      </c>
      <c r="S2717">
        <v>-21.2</v>
      </c>
      <c r="T2717">
        <v>-11.9</v>
      </c>
      <c r="U2717">
        <v>1</v>
      </c>
      <c r="V2717">
        <v>5</v>
      </c>
      <c r="W2717">
        <v>7.3</v>
      </c>
      <c r="X2717" t="s">
        <v>57</v>
      </c>
    </row>
    <row r="2718" spans="2:24" x14ac:dyDescent="0.3">
      <c r="B2718" t="s">
        <v>2811</v>
      </c>
      <c r="C2718" t="s">
        <v>90</v>
      </c>
      <c r="D2718" t="s">
        <v>2</v>
      </c>
      <c r="E2718" t="s">
        <v>19</v>
      </c>
      <c r="F2718" t="s">
        <v>11</v>
      </c>
      <c r="G2718" t="s">
        <v>112</v>
      </c>
      <c r="H2718">
        <v>2025</v>
      </c>
      <c r="I2718">
        <v>4632</v>
      </c>
      <c r="J2718">
        <v>5.6</v>
      </c>
      <c r="K2718" t="s">
        <v>25</v>
      </c>
      <c r="L2718">
        <v>3.9</v>
      </c>
      <c r="M2718">
        <v>4.2</v>
      </c>
      <c r="N2718">
        <v>2129</v>
      </c>
      <c r="O2718" t="s">
        <v>55</v>
      </c>
      <c r="P2718">
        <v>10.199999999999999</v>
      </c>
      <c r="Q2718" t="s">
        <v>56</v>
      </c>
      <c r="R2718">
        <v>51.7</v>
      </c>
      <c r="S2718">
        <v>-12.1</v>
      </c>
      <c r="T2718">
        <v>-4.3</v>
      </c>
      <c r="U2718">
        <v>2.4</v>
      </c>
      <c r="V2718">
        <v>4.5999999999999996</v>
      </c>
      <c r="W2718">
        <v>6.8</v>
      </c>
      <c r="X2718" t="s">
        <v>116</v>
      </c>
    </row>
    <row r="2719" spans="2:24" x14ac:dyDescent="0.3">
      <c r="B2719" t="s">
        <v>2812</v>
      </c>
      <c r="C2719" t="s">
        <v>83</v>
      </c>
      <c r="D2719" t="s">
        <v>4</v>
      </c>
      <c r="E2719" t="s">
        <v>18</v>
      </c>
      <c r="F2719" t="s">
        <v>12</v>
      </c>
      <c r="G2719" t="s">
        <v>74</v>
      </c>
      <c r="H2719">
        <v>2026</v>
      </c>
      <c r="I2719">
        <v>9141</v>
      </c>
      <c r="J2719">
        <v>19.399999999999999</v>
      </c>
      <c r="K2719" t="s">
        <v>21</v>
      </c>
      <c r="L2719">
        <v>3.4</v>
      </c>
      <c r="M2719">
        <v>5.5</v>
      </c>
      <c r="N2719">
        <v>1708</v>
      </c>
      <c r="O2719" t="s">
        <v>75</v>
      </c>
      <c r="P2719">
        <v>76.599999999999994</v>
      </c>
      <c r="Q2719" t="s">
        <v>84</v>
      </c>
      <c r="R2719">
        <v>61.5</v>
      </c>
      <c r="S2719">
        <v>33.799999999999997</v>
      </c>
      <c r="T2719">
        <v>4.5999999999999996</v>
      </c>
      <c r="U2719">
        <v>3.5</v>
      </c>
      <c r="V2719">
        <v>8.4</v>
      </c>
      <c r="W2719">
        <v>6.4</v>
      </c>
      <c r="X2719" t="s">
        <v>66</v>
      </c>
    </row>
    <row r="2720" spans="2:24" x14ac:dyDescent="0.3">
      <c r="B2720" t="s">
        <v>2813</v>
      </c>
      <c r="C2720" t="s">
        <v>139</v>
      </c>
      <c r="D2720" t="s">
        <v>8</v>
      </c>
      <c r="E2720" t="s">
        <v>14</v>
      </c>
      <c r="F2720" t="s">
        <v>10</v>
      </c>
      <c r="G2720" t="s">
        <v>63</v>
      </c>
      <c r="H2720">
        <v>2026</v>
      </c>
      <c r="I2720">
        <v>5156</v>
      </c>
      <c r="J2720">
        <v>38</v>
      </c>
      <c r="K2720" t="s">
        <v>21</v>
      </c>
      <c r="L2720">
        <v>9.8000000000000007</v>
      </c>
      <c r="M2720">
        <v>10</v>
      </c>
      <c r="N2720">
        <v>1351</v>
      </c>
      <c r="O2720" t="s">
        <v>75</v>
      </c>
      <c r="P2720">
        <v>83.5</v>
      </c>
      <c r="Q2720" t="s">
        <v>79</v>
      </c>
      <c r="R2720">
        <v>-17.8</v>
      </c>
      <c r="S2720">
        <v>30.7</v>
      </c>
      <c r="T2720">
        <v>3.5</v>
      </c>
      <c r="U2720">
        <v>7.3</v>
      </c>
      <c r="V2720">
        <v>5.8</v>
      </c>
      <c r="W2720">
        <v>2.6</v>
      </c>
      <c r="X2720" t="s">
        <v>66</v>
      </c>
    </row>
    <row r="2721" spans="2:24" x14ac:dyDescent="0.3">
      <c r="B2721" t="s">
        <v>2814</v>
      </c>
      <c r="C2721" t="s">
        <v>106</v>
      </c>
      <c r="D2721" t="s">
        <v>8</v>
      </c>
      <c r="E2721" t="s">
        <v>18</v>
      </c>
      <c r="F2721" t="s">
        <v>9</v>
      </c>
      <c r="G2721" t="s">
        <v>54</v>
      </c>
      <c r="H2721">
        <v>2026</v>
      </c>
      <c r="I2721">
        <v>357</v>
      </c>
      <c r="J2721">
        <v>15.8</v>
      </c>
      <c r="K2721" t="s">
        <v>21</v>
      </c>
      <c r="L2721">
        <v>2.2999999999999998</v>
      </c>
      <c r="M2721">
        <v>8.3000000000000007</v>
      </c>
      <c r="N2721">
        <v>5211</v>
      </c>
      <c r="O2721" t="s">
        <v>55</v>
      </c>
      <c r="P2721">
        <v>56.5</v>
      </c>
      <c r="Q2721" t="s">
        <v>79</v>
      </c>
      <c r="R2721">
        <v>12.3</v>
      </c>
      <c r="S2721">
        <v>54</v>
      </c>
      <c r="T2721">
        <v>15.3</v>
      </c>
      <c r="U2721">
        <v>2.6</v>
      </c>
      <c r="V2721">
        <v>7</v>
      </c>
      <c r="W2721">
        <v>6.8</v>
      </c>
      <c r="X2721" t="s">
        <v>116</v>
      </c>
    </row>
    <row r="2722" spans="2:24" x14ac:dyDescent="0.3">
      <c r="B2722" t="s">
        <v>2815</v>
      </c>
      <c r="C2722" t="s">
        <v>97</v>
      </c>
      <c r="D2722" t="s">
        <v>3</v>
      </c>
      <c r="E2722" t="s">
        <v>17</v>
      </c>
      <c r="F2722" t="s">
        <v>11</v>
      </c>
      <c r="G2722" t="s">
        <v>60</v>
      </c>
      <c r="H2722">
        <v>2024</v>
      </c>
      <c r="I2722">
        <v>5062</v>
      </c>
      <c r="J2722">
        <v>1.7</v>
      </c>
      <c r="K2722" t="s">
        <v>23</v>
      </c>
      <c r="L2722">
        <v>2.2000000000000002</v>
      </c>
      <c r="M2722">
        <v>1.3</v>
      </c>
      <c r="N2722">
        <v>3357</v>
      </c>
      <c r="O2722" t="s">
        <v>64</v>
      </c>
      <c r="P2722">
        <v>21.9</v>
      </c>
      <c r="Q2722" t="s">
        <v>65</v>
      </c>
      <c r="R2722">
        <v>27.3</v>
      </c>
      <c r="S2722">
        <v>38.200000000000003</v>
      </c>
      <c r="T2722">
        <v>7</v>
      </c>
      <c r="U2722">
        <v>2.6</v>
      </c>
      <c r="V2722">
        <v>6.7</v>
      </c>
      <c r="W2722">
        <v>8.4</v>
      </c>
      <c r="X2722" t="s">
        <v>116</v>
      </c>
    </row>
    <row r="2723" spans="2:24" x14ac:dyDescent="0.3">
      <c r="B2723" t="s">
        <v>2816</v>
      </c>
      <c r="C2723" t="s">
        <v>92</v>
      </c>
      <c r="D2723" t="s">
        <v>7</v>
      </c>
      <c r="E2723" t="s">
        <v>15</v>
      </c>
      <c r="F2723" t="s">
        <v>9</v>
      </c>
      <c r="G2723" t="s">
        <v>78</v>
      </c>
      <c r="H2723">
        <v>2025</v>
      </c>
      <c r="I2723">
        <v>7620</v>
      </c>
      <c r="J2723">
        <v>34.799999999999997</v>
      </c>
      <c r="K2723" t="s">
        <v>25</v>
      </c>
      <c r="L2723">
        <v>2</v>
      </c>
      <c r="M2723">
        <v>9.4</v>
      </c>
      <c r="N2723">
        <v>1100</v>
      </c>
      <c r="O2723" t="s">
        <v>75</v>
      </c>
      <c r="P2723">
        <v>39.200000000000003</v>
      </c>
      <c r="Q2723" t="s">
        <v>86</v>
      </c>
      <c r="R2723">
        <v>41.5</v>
      </c>
      <c r="S2723">
        <v>-5.8</v>
      </c>
      <c r="T2723">
        <v>-14.4</v>
      </c>
      <c r="U2723">
        <v>1.6</v>
      </c>
      <c r="V2723">
        <v>4.7</v>
      </c>
      <c r="W2723">
        <v>2.7</v>
      </c>
      <c r="X2723" t="s">
        <v>66</v>
      </c>
    </row>
    <row r="2724" spans="2:24" x14ac:dyDescent="0.3">
      <c r="B2724" t="s">
        <v>2817</v>
      </c>
      <c r="C2724" t="s">
        <v>106</v>
      </c>
      <c r="D2724" t="s">
        <v>4</v>
      </c>
      <c r="E2724" t="s">
        <v>17</v>
      </c>
      <c r="F2724" t="s">
        <v>9</v>
      </c>
      <c r="G2724" t="s">
        <v>74</v>
      </c>
      <c r="H2724">
        <v>2024</v>
      </c>
      <c r="I2724">
        <v>619</v>
      </c>
      <c r="J2724">
        <v>9</v>
      </c>
      <c r="K2724" t="s">
        <v>24</v>
      </c>
      <c r="L2724">
        <v>4</v>
      </c>
      <c r="M2724">
        <v>4.8</v>
      </c>
      <c r="N2724">
        <v>2794</v>
      </c>
      <c r="O2724" t="s">
        <v>64</v>
      </c>
      <c r="P2724">
        <v>15.5</v>
      </c>
      <c r="Q2724" t="s">
        <v>88</v>
      </c>
      <c r="R2724">
        <v>45.5</v>
      </c>
      <c r="S2724">
        <v>15.3</v>
      </c>
      <c r="T2724">
        <v>-0.4</v>
      </c>
      <c r="U2724">
        <v>5.9</v>
      </c>
      <c r="V2724">
        <v>6</v>
      </c>
      <c r="W2724">
        <v>6.2</v>
      </c>
      <c r="X2724" t="s">
        <v>57</v>
      </c>
    </row>
    <row r="2725" spans="2:24" x14ac:dyDescent="0.3">
      <c r="B2725" t="s">
        <v>2818</v>
      </c>
      <c r="C2725" t="s">
        <v>68</v>
      </c>
      <c r="D2725" t="s">
        <v>8</v>
      </c>
      <c r="E2725" t="s">
        <v>18</v>
      </c>
      <c r="F2725" t="s">
        <v>9</v>
      </c>
      <c r="G2725" t="s">
        <v>104</v>
      </c>
      <c r="H2725">
        <v>2025</v>
      </c>
      <c r="I2725">
        <v>9233</v>
      </c>
      <c r="J2725">
        <v>22.4</v>
      </c>
      <c r="K2725" t="s">
        <v>23</v>
      </c>
      <c r="L2725">
        <v>2.2999999999999998</v>
      </c>
      <c r="M2725">
        <v>6.2</v>
      </c>
      <c r="N2725">
        <v>1008</v>
      </c>
      <c r="O2725" t="s">
        <v>75</v>
      </c>
      <c r="P2725">
        <v>86.2</v>
      </c>
      <c r="Q2725" t="s">
        <v>84</v>
      </c>
      <c r="R2725">
        <v>42.5</v>
      </c>
      <c r="S2725">
        <v>14</v>
      </c>
      <c r="T2725">
        <v>1</v>
      </c>
      <c r="U2725">
        <v>3.1</v>
      </c>
      <c r="V2725">
        <v>4.0999999999999996</v>
      </c>
      <c r="W2725">
        <v>4.2</v>
      </c>
      <c r="X2725" t="s">
        <v>66</v>
      </c>
    </row>
    <row r="2726" spans="2:24" x14ac:dyDescent="0.3">
      <c r="B2726" t="s">
        <v>2819</v>
      </c>
      <c r="C2726" t="s">
        <v>27</v>
      </c>
      <c r="D2726" t="s">
        <v>3</v>
      </c>
      <c r="E2726" t="s">
        <v>15</v>
      </c>
      <c r="F2726" t="s">
        <v>10</v>
      </c>
      <c r="G2726" t="s">
        <v>104</v>
      </c>
      <c r="H2726">
        <v>2026</v>
      </c>
      <c r="I2726">
        <v>16763</v>
      </c>
      <c r="J2726">
        <v>13.1</v>
      </c>
      <c r="K2726" t="s">
        <v>25</v>
      </c>
      <c r="L2726">
        <v>8.8000000000000007</v>
      </c>
      <c r="M2726">
        <v>9.9</v>
      </c>
      <c r="N2726">
        <v>878</v>
      </c>
      <c r="O2726" t="s">
        <v>64</v>
      </c>
      <c r="P2726">
        <v>75.5</v>
      </c>
      <c r="Q2726" t="s">
        <v>84</v>
      </c>
      <c r="R2726">
        <v>-14.6</v>
      </c>
      <c r="S2726">
        <v>6.2</v>
      </c>
      <c r="T2726">
        <v>-6.3</v>
      </c>
      <c r="U2726">
        <v>8.5</v>
      </c>
      <c r="V2726">
        <v>4.3</v>
      </c>
      <c r="W2726">
        <v>4</v>
      </c>
      <c r="X2726" t="s">
        <v>66</v>
      </c>
    </row>
    <row r="2727" spans="2:24" x14ac:dyDescent="0.3">
      <c r="B2727" t="s">
        <v>2820</v>
      </c>
      <c r="C2727" t="s">
        <v>81</v>
      </c>
      <c r="D2727" t="s">
        <v>5</v>
      </c>
      <c r="E2727" t="s">
        <v>19</v>
      </c>
      <c r="F2727" t="s">
        <v>10</v>
      </c>
      <c r="G2727" t="s">
        <v>112</v>
      </c>
      <c r="H2727">
        <v>2026</v>
      </c>
      <c r="I2727">
        <v>5236</v>
      </c>
      <c r="J2727">
        <v>13.7</v>
      </c>
      <c r="K2727" t="s">
        <v>25</v>
      </c>
      <c r="L2727">
        <v>6.7</v>
      </c>
      <c r="M2727">
        <v>6.4</v>
      </c>
      <c r="N2727">
        <v>3320</v>
      </c>
      <c r="O2727" t="s">
        <v>64</v>
      </c>
      <c r="P2727">
        <v>58.2</v>
      </c>
      <c r="Q2727" t="s">
        <v>125</v>
      </c>
      <c r="R2727">
        <v>54.5</v>
      </c>
      <c r="S2727">
        <v>-21.8</v>
      </c>
      <c r="T2727">
        <v>-2.6</v>
      </c>
      <c r="U2727">
        <v>8.1</v>
      </c>
      <c r="V2727">
        <v>3.8</v>
      </c>
      <c r="W2727">
        <v>4.9000000000000004</v>
      </c>
      <c r="X2727" t="s">
        <v>116</v>
      </c>
    </row>
    <row r="2728" spans="2:24" x14ac:dyDescent="0.3">
      <c r="B2728" t="s">
        <v>2821</v>
      </c>
      <c r="C2728" t="s">
        <v>90</v>
      </c>
      <c r="D2728" t="s">
        <v>6</v>
      </c>
      <c r="E2728" t="s">
        <v>14</v>
      </c>
      <c r="F2728" t="s">
        <v>9</v>
      </c>
      <c r="G2728" t="s">
        <v>104</v>
      </c>
      <c r="H2728">
        <v>2024</v>
      </c>
      <c r="I2728">
        <v>1916</v>
      </c>
      <c r="J2728">
        <v>7.6</v>
      </c>
      <c r="K2728" t="s">
        <v>25</v>
      </c>
      <c r="L2728">
        <v>13.7</v>
      </c>
      <c r="M2728">
        <v>9.6999999999999993</v>
      </c>
      <c r="N2728">
        <v>3814</v>
      </c>
      <c r="O2728" t="s">
        <v>55</v>
      </c>
      <c r="P2728">
        <v>14</v>
      </c>
      <c r="Q2728" t="s">
        <v>84</v>
      </c>
      <c r="R2728">
        <v>1.1000000000000001</v>
      </c>
      <c r="S2728">
        <v>20.8</v>
      </c>
      <c r="T2728">
        <v>8.6</v>
      </c>
      <c r="U2728">
        <v>8.6</v>
      </c>
      <c r="V2728">
        <v>5.3</v>
      </c>
      <c r="W2728">
        <v>5.2</v>
      </c>
      <c r="X2728" t="s">
        <v>116</v>
      </c>
    </row>
    <row r="2729" spans="2:24" x14ac:dyDescent="0.3">
      <c r="B2729" t="s">
        <v>2822</v>
      </c>
      <c r="C2729" t="s">
        <v>106</v>
      </c>
      <c r="D2729" t="s">
        <v>3</v>
      </c>
      <c r="E2729" t="s">
        <v>16</v>
      </c>
      <c r="F2729" t="s">
        <v>11</v>
      </c>
      <c r="G2729" t="s">
        <v>60</v>
      </c>
      <c r="H2729">
        <v>2026</v>
      </c>
      <c r="I2729">
        <v>16417</v>
      </c>
      <c r="J2729">
        <v>31.4</v>
      </c>
      <c r="K2729" t="s">
        <v>22</v>
      </c>
      <c r="L2729">
        <v>1.2</v>
      </c>
      <c r="M2729">
        <v>7.4</v>
      </c>
      <c r="N2729">
        <v>1839</v>
      </c>
      <c r="O2729" t="s">
        <v>75</v>
      </c>
      <c r="P2729">
        <v>71.2</v>
      </c>
      <c r="Q2729" t="s">
        <v>125</v>
      </c>
      <c r="R2729">
        <v>2</v>
      </c>
      <c r="S2729">
        <v>53.2</v>
      </c>
      <c r="T2729">
        <v>7</v>
      </c>
      <c r="U2729">
        <v>1</v>
      </c>
      <c r="V2729">
        <v>6.7</v>
      </c>
      <c r="W2729">
        <v>5.8</v>
      </c>
      <c r="X2729" t="s">
        <v>66</v>
      </c>
    </row>
    <row r="2730" spans="2:24" x14ac:dyDescent="0.3">
      <c r="B2730" t="s">
        <v>2823</v>
      </c>
      <c r="C2730" t="s">
        <v>100</v>
      </c>
      <c r="D2730" t="s">
        <v>3</v>
      </c>
      <c r="E2730" t="s">
        <v>16</v>
      </c>
      <c r="F2730" t="s">
        <v>12</v>
      </c>
      <c r="G2730" t="s">
        <v>60</v>
      </c>
      <c r="H2730">
        <v>2025</v>
      </c>
      <c r="I2730">
        <v>4541</v>
      </c>
      <c r="J2730">
        <v>10.199999999999999</v>
      </c>
      <c r="K2730" t="s">
        <v>23</v>
      </c>
      <c r="L2730">
        <v>5.2</v>
      </c>
      <c r="M2730">
        <v>3.1</v>
      </c>
      <c r="N2730">
        <v>1433</v>
      </c>
      <c r="O2730" t="s">
        <v>64</v>
      </c>
      <c r="P2730">
        <v>82.2</v>
      </c>
      <c r="Q2730" t="s">
        <v>125</v>
      </c>
      <c r="R2730">
        <v>-3.7</v>
      </c>
      <c r="S2730">
        <v>25.4</v>
      </c>
      <c r="T2730">
        <v>12.7</v>
      </c>
      <c r="U2730">
        <v>3.7</v>
      </c>
      <c r="V2730">
        <v>7.6</v>
      </c>
      <c r="W2730">
        <v>6.6</v>
      </c>
      <c r="X2730" t="s">
        <v>116</v>
      </c>
    </row>
    <row r="2731" spans="2:24" x14ac:dyDescent="0.3">
      <c r="B2731" t="s">
        <v>2824</v>
      </c>
      <c r="C2731" t="s">
        <v>159</v>
      </c>
      <c r="D2731" t="s">
        <v>2</v>
      </c>
      <c r="E2731" t="s">
        <v>18</v>
      </c>
      <c r="F2731" t="s">
        <v>11</v>
      </c>
      <c r="G2731" t="s">
        <v>78</v>
      </c>
      <c r="H2731">
        <v>2025</v>
      </c>
      <c r="I2731">
        <v>4339</v>
      </c>
      <c r="J2731">
        <v>17.399999999999999</v>
      </c>
      <c r="K2731" t="s">
        <v>25</v>
      </c>
      <c r="L2731">
        <v>5.7</v>
      </c>
      <c r="M2731">
        <v>6.4</v>
      </c>
      <c r="N2731">
        <v>6432</v>
      </c>
      <c r="O2731" t="s">
        <v>55</v>
      </c>
      <c r="P2731">
        <v>74.400000000000006</v>
      </c>
      <c r="Q2731" t="s">
        <v>56</v>
      </c>
      <c r="R2731">
        <v>13.7</v>
      </c>
      <c r="S2731">
        <v>-18.5</v>
      </c>
      <c r="T2731">
        <v>1.6</v>
      </c>
      <c r="U2731">
        <v>9.4</v>
      </c>
      <c r="V2731">
        <v>5.7</v>
      </c>
      <c r="W2731">
        <v>4.4000000000000004</v>
      </c>
      <c r="X2731" t="s">
        <v>116</v>
      </c>
    </row>
    <row r="2732" spans="2:24" x14ac:dyDescent="0.3">
      <c r="B2732" t="s">
        <v>2825</v>
      </c>
      <c r="C2732" t="s">
        <v>159</v>
      </c>
      <c r="D2732" t="s">
        <v>2</v>
      </c>
      <c r="E2732" t="s">
        <v>16</v>
      </c>
      <c r="F2732" t="s">
        <v>10</v>
      </c>
      <c r="G2732" t="s">
        <v>78</v>
      </c>
      <c r="H2732">
        <v>2024</v>
      </c>
      <c r="I2732">
        <v>4711</v>
      </c>
      <c r="J2732">
        <v>12.8</v>
      </c>
      <c r="K2732" t="s">
        <v>21</v>
      </c>
      <c r="L2732">
        <v>9.8000000000000007</v>
      </c>
      <c r="M2732">
        <v>8.6999999999999993</v>
      </c>
      <c r="N2732">
        <v>3155</v>
      </c>
      <c r="O2732" t="s">
        <v>55</v>
      </c>
      <c r="P2732">
        <v>78.400000000000006</v>
      </c>
      <c r="Q2732" t="s">
        <v>56</v>
      </c>
      <c r="R2732">
        <v>-7.2</v>
      </c>
      <c r="S2732">
        <v>9.1999999999999993</v>
      </c>
      <c r="T2732">
        <v>-2</v>
      </c>
      <c r="U2732">
        <v>9.5</v>
      </c>
      <c r="V2732">
        <v>6.6</v>
      </c>
      <c r="W2732">
        <v>4.5999999999999996</v>
      </c>
      <c r="X2732" t="s">
        <v>116</v>
      </c>
    </row>
    <row r="2733" spans="2:24" x14ac:dyDescent="0.3">
      <c r="B2733" t="s">
        <v>2826</v>
      </c>
      <c r="C2733" t="s">
        <v>106</v>
      </c>
      <c r="D2733" t="s">
        <v>3</v>
      </c>
      <c r="E2733" t="s">
        <v>17</v>
      </c>
      <c r="F2733" t="s">
        <v>11</v>
      </c>
      <c r="G2733" t="s">
        <v>104</v>
      </c>
      <c r="H2733">
        <v>2024</v>
      </c>
      <c r="I2733">
        <v>2103</v>
      </c>
      <c r="J2733">
        <v>6.1</v>
      </c>
      <c r="K2733" t="s">
        <v>21</v>
      </c>
      <c r="L2733">
        <v>2.8</v>
      </c>
      <c r="M2733">
        <v>1.5</v>
      </c>
      <c r="N2733">
        <v>3727</v>
      </c>
      <c r="O2733" t="s">
        <v>64</v>
      </c>
      <c r="P2733">
        <v>77.3</v>
      </c>
      <c r="Q2733" t="s">
        <v>88</v>
      </c>
      <c r="R2733">
        <v>52.4</v>
      </c>
      <c r="S2733">
        <v>12.9</v>
      </c>
      <c r="T2733">
        <v>-0.7</v>
      </c>
      <c r="U2733">
        <v>1.8</v>
      </c>
      <c r="V2733">
        <v>7.5</v>
      </c>
      <c r="W2733">
        <v>7.9</v>
      </c>
      <c r="X2733" t="s">
        <v>116</v>
      </c>
    </row>
    <row r="2734" spans="2:24" x14ac:dyDescent="0.3">
      <c r="B2734" t="s">
        <v>2827</v>
      </c>
      <c r="C2734" t="s">
        <v>53</v>
      </c>
      <c r="D2734" t="s">
        <v>2</v>
      </c>
      <c r="E2734" t="s">
        <v>14</v>
      </c>
      <c r="F2734" t="s">
        <v>10</v>
      </c>
      <c r="G2734" t="s">
        <v>74</v>
      </c>
      <c r="H2734">
        <v>2024</v>
      </c>
      <c r="I2734">
        <v>703</v>
      </c>
      <c r="J2734">
        <v>7.4</v>
      </c>
      <c r="K2734" t="s">
        <v>23</v>
      </c>
      <c r="L2734">
        <v>6.9</v>
      </c>
      <c r="M2734">
        <v>9.8000000000000007</v>
      </c>
      <c r="N2734">
        <v>4278</v>
      </c>
      <c r="O2734" t="s">
        <v>64</v>
      </c>
      <c r="P2734">
        <v>16.399999999999999</v>
      </c>
      <c r="Q2734" t="s">
        <v>56</v>
      </c>
      <c r="R2734">
        <v>60</v>
      </c>
      <c r="S2734">
        <v>37.799999999999997</v>
      </c>
      <c r="T2734">
        <v>21.9</v>
      </c>
      <c r="U2734">
        <v>5.6</v>
      </c>
      <c r="V2734">
        <v>6</v>
      </c>
      <c r="W2734">
        <v>6.1</v>
      </c>
      <c r="X2734" t="s">
        <v>116</v>
      </c>
    </row>
    <row r="2735" spans="2:24" x14ac:dyDescent="0.3">
      <c r="B2735" t="s">
        <v>2828</v>
      </c>
      <c r="C2735" t="s">
        <v>53</v>
      </c>
      <c r="D2735" t="s">
        <v>3</v>
      </c>
      <c r="E2735" t="s">
        <v>18</v>
      </c>
      <c r="F2735" t="s">
        <v>11</v>
      </c>
      <c r="G2735" t="s">
        <v>74</v>
      </c>
      <c r="H2735">
        <v>2024</v>
      </c>
      <c r="I2735">
        <v>1032</v>
      </c>
      <c r="J2735">
        <v>10.9</v>
      </c>
      <c r="K2735" t="s">
        <v>25</v>
      </c>
      <c r="L2735">
        <v>4</v>
      </c>
      <c r="M2735">
        <v>5.7</v>
      </c>
      <c r="N2735">
        <v>3904</v>
      </c>
      <c r="O2735" t="s">
        <v>64</v>
      </c>
      <c r="P2735">
        <v>58.6</v>
      </c>
      <c r="Q2735" t="s">
        <v>86</v>
      </c>
      <c r="R2735">
        <v>72.900000000000006</v>
      </c>
      <c r="S2735">
        <v>24.8</v>
      </c>
      <c r="T2735">
        <v>16.399999999999999</v>
      </c>
      <c r="U2735">
        <v>2.5</v>
      </c>
      <c r="V2735">
        <v>7.6</v>
      </c>
      <c r="W2735">
        <v>5.9</v>
      </c>
      <c r="X2735" t="s">
        <v>116</v>
      </c>
    </row>
    <row r="2736" spans="2:24" x14ac:dyDescent="0.3">
      <c r="B2736" t="s">
        <v>2829</v>
      </c>
      <c r="C2736" t="s">
        <v>94</v>
      </c>
      <c r="D2736" t="s">
        <v>6</v>
      </c>
      <c r="E2736" t="s">
        <v>15</v>
      </c>
      <c r="F2736" t="s">
        <v>9</v>
      </c>
      <c r="G2736" t="s">
        <v>74</v>
      </c>
      <c r="H2736">
        <v>2026</v>
      </c>
      <c r="I2736">
        <v>3912</v>
      </c>
      <c r="J2736">
        <v>16.5</v>
      </c>
      <c r="K2736" t="s">
        <v>22</v>
      </c>
      <c r="L2736">
        <v>9.1999999999999993</v>
      </c>
      <c r="M2736">
        <v>5.8</v>
      </c>
      <c r="N2736">
        <v>65</v>
      </c>
      <c r="O2736" t="s">
        <v>64</v>
      </c>
      <c r="P2736">
        <v>73</v>
      </c>
      <c r="Q2736" t="s">
        <v>56</v>
      </c>
      <c r="R2736">
        <v>8.1</v>
      </c>
      <c r="S2736">
        <v>-14.1</v>
      </c>
      <c r="T2736">
        <v>-7.4</v>
      </c>
      <c r="U2736">
        <v>5.4</v>
      </c>
      <c r="V2736">
        <v>6.3</v>
      </c>
      <c r="W2736">
        <v>5.8</v>
      </c>
      <c r="X2736" t="s">
        <v>66</v>
      </c>
    </row>
    <row r="2737" spans="2:24" x14ac:dyDescent="0.3">
      <c r="B2737" t="s">
        <v>2830</v>
      </c>
      <c r="C2737" t="s">
        <v>90</v>
      </c>
      <c r="D2737" t="s">
        <v>2</v>
      </c>
      <c r="E2737" t="s">
        <v>15</v>
      </c>
      <c r="F2737" t="s">
        <v>12</v>
      </c>
      <c r="G2737" t="s">
        <v>74</v>
      </c>
      <c r="H2737">
        <v>2025</v>
      </c>
      <c r="I2737">
        <v>485</v>
      </c>
      <c r="J2737">
        <v>14</v>
      </c>
      <c r="K2737" t="s">
        <v>23</v>
      </c>
      <c r="L2737">
        <v>14.6</v>
      </c>
      <c r="M2737">
        <v>10</v>
      </c>
      <c r="N2737">
        <v>5595</v>
      </c>
      <c r="O2737" t="s">
        <v>118</v>
      </c>
      <c r="P2737">
        <v>44.8</v>
      </c>
      <c r="Q2737" t="s">
        <v>76</v>
      </c>
      <c r="R2737">
        <v>44.2</v>
      </c>
      <c r="S2737">
        <v>26.8</v>
      </c>
      <c r="T2737">
        <v>7</v>
      </c>
      <c r="U2737">
        <v>9.1999999999999993</v>
      </c>
      <c r="V2737">
        <v>6.2</v>
      </c>
      <c r="W2737">
        <v>4.9000000000000004</v>
      </c>
      <c r="X2737" t="s">
        <v>116</v>
      </c>
    </row>
    <row r="2738" spans="2:24" x14ac:dyDescent="0.3">
      <c r="B2738" t="s">
        <v>2831</v>
      </c>
      <c r="C2738" t="s">
        <v>106</v>
      </c>
      <c r="D2738" t="s">
        <v>7</v>
      </c>
      <c r="E2738" t="s">
        <v>18</v>
      </c>
      <c r="F2738" t="s">
        <v>10</v>
      </c>
      <c r="G2738" t="s">
        <v>131</v>
      </c>
      <c r="H2738">
        <v>2024</v>
      </c>
      <c r="I2738">
        <v>1658</v>
      </c>
      <c r="J2738">
        <v>2.8</v>
      </c>
      <c r="K2738" t="s">
        <v>24</v>
      </c>
      <c r="L2738">
        <v>14.3</v>
      </c>
      <c r="M2738">
        <v>10</v>
      </c>
      <c r="N2738">
        <v>2838</v>
      </c>
      <c r="O2738" t="s">
        <v>55</v>
      </c>
      <c r="P2738">
        <v>75.3</v>
      </c>
      <c r="Q2738" t="s">
        <v>65</v>
      </c>
      <c r="R2738">
        <v>87.8</v>
      </c>
      <c r="S2738">
        <v>25</v>
      </c>
      <c r="T2738">
        <v>23.1</v>
      </c>
      <c r="U2738">
        <v>9.6999999999999993</v>
      </c>
      <c r="V2738">
        <v>7.1</v>
      </c>
      <c r="W2738">
        <v>5.9</v>
      </c>
      <c r="X2738" t="s">
        <v>57</v>
      </c>
    </row>
    <row r="2739" spans="2:24" x14ac:dyDescent="0.3">
      <c r="B2739" t="s">
        <v>2832</v>
      </c>
      <c r="C2739" t="s">
        <v>62</v>
      </c>
      <c r="D2739" t="s">
        <v>2</v>
      </c>
      <c r="E2739" t="s">
        <v>16</v>
      </c>
      <c r="F2739" t="s">
        <v>11</v>
      </c>
      <c r="G2739" t="s">
        <v>69</v>
      </c>
      <c r="H2739">
        <v>2025</v>
      </c>
      <c r="I2739">
        <v>1787</v>
      </c>
      <c r="J2739">
        <v>6.8</v>
      </c>
      <c r="K2739" t="s">
        <v>25</v>
      </c>
      <c r="L2739">
        <v>6</v>
      </c>
      <c r="M2739">
        <v>10</v>
      </c>
      <c r="N2739">
        <v>6130</v>
      </c>
      <c r="O2739" t="s">
        <v>118</v>
      </c>
      <c r="P2739">
        <v>55.2</v>
      </c>
      <c r="Q2739" t="s">
        <v>56</v>
      </c>
      <c r="R2739">
        <v>83.7</v>
      </c>
      <c r="S2739">
        <v>52.7</v>
      </c>
      <c r="T2739">
        <v>31.1</v>
      </c>
      <c r="U2739">
        <v>6.6</v>
      </c>
      <c r="V2739">
        <v>6.7</v>
      </c>
      <c r="W2739">
        <v>6.7</v>
      </c>
      <c r="X2739" t="s">
        <v>116</v>
      </c>
    </row>
    <row r="2740" spans="2:24" x14ac:dyDescent="0.3">
      <c r="B2740" t="s">
        <v>2833</v>
      </c>
      <c r="C2740" t="s">
        <v>106</v>
      </c>
      <c r="D2740" t="s">
        <v>3</v>
      </c>
      <c r="E2740" t="s">
        <v>17</v>
      </c>
      <c r="F2740" t="s">
        <v>12</v>
      </c>
      <c r="G2740" t="s">
        <v>60</v>
      </c>
      <c r="H2740">
        <v>2024</v>
      </c>
      <c r="I2740">
        <v>2421</v>
      </c>
      <c r="J2740">
        <v>5.8</v>
      </c>
      <c r="K2740" t="s">
        <v>24</v>
      </c>
      <c r="L2740">
        <v>1.9</v>
      </c>
      <c r="M2740">
        <v>1</v>
      </c>
      <c r="N2740">
        <v>5441</v>
      </c>
      <c r="O2740" t="s">
        <v>55</v>
      </c>
      <c r="P2740">
        <v>60</v>
      </c>
      <c r="Q2740" t="s">
        <v>88</v>
      </c>
      <c r="R2740">
        <v>43.5</v>
      </c>
      <c r="S2740">
        <v>-8.9</v>
      </c>
      <c r="T2740">
        <v>-14.4</v>
      </c>
      <c r="U2740">
        <v>1.3</v>
      </c>
      <c r="V2740">
        <v>6.7</v>
      </c>
      <c r="W2740">
        <v>6.4</v>
      </c>
      <c r="X2740" t="s">
        <v>57</v>
      </c>
    </row>
    <row r="2741" spans="2:24" x14ac:dyDescent="0.3">
      <c r="B2741" t="s">
        <v>2834</v>
      </c>
      <c r="C2741" t="s">
        <v>106</v>
      </c>
      <c r="D2741" t="s">
        <v>2</v>
      </c>
      <c r="E2741" t="s">
        <v>16</v>
      </c>
      <c r="F2741" t="s">
        <v>12</v>
      </c>
      <c r="G2741" t="s">
        <v>104</v>
      </c>
      <c r="H2741">
        <v>2024</v>
      </c>
      <c r="I2741">
        <v>1217</v>
      </c>
      <c r="J2741">
        <v>7.1</v>
      </c>
      <c r="K2741" t="s">
        <v>22</v>
      </c>
      <c r="L2741">
        <v>1.8</v>
      </c>
      <c r="M2741">
        <v>3.6</v>
      </c>
      <c r="N2741">
        <v>9315</v>
      </c>
      <c r="O2741" t="s">
        <v>55</v>
      </c>
      <c r="P2741">
        <v>83.3</v>
      </c>
      <c r="Q2741" t="s">
        <v>76</v>
      </c>
      <c r="R2741">
        <v>17.100000000000001</v>
      </c>
      <c r="S2741">
        <v>4.4000000000000004</v>
      </c>
      <c r="T2741">
        <v>-8.6999999999999993</v>
      </c>
      <c r="U2741">
        <v>1.5</v>
      </c>
      <c r="V2741">
        <v>5.6</v>
      </c>
      <c r="W2741">
        <v>6.4</v>
      </c>
      <c r="X2741" t="s">
        <v>57</v>
      </c>
    </row>
    <row r="2742" spans="2:24" x14ac:dyDescent="0.3">
      <c r="B2742" t="s">
        <v>2835</v>
      </c>
      <c r="C2742" t="s">
        <v>106</v>
      </c>
      <c r="D2742" t="s">
        <v>7</v>
      </c>
      <c r="E2742" t="s">
        <v>16</v>
      </c>
      <c r="F2742" t="s">
        <v>12</v>
      </c>
      <c r="G2742" t="s">
        <v>78</v>
      </c>
      <c r="H2742">
        <v>2024</v>
      </c>
      <c r="I2742">
        <v>5774</v>
      </c>
      <c r="J2742">
        <v>9.5</v>
      </c>
      <c r="K2742" t="s">
        <v>23</v>
      </c>
      <c r="L2742">
        <v>14.2</v>
      </c>
      <c r="M2742">
        <v>8.8000000000000007</v>
      </c>
      <c r="N2742">
        <v>3929</v>
      </c>
      <c r="O2742" t="s">
        <v>55</v>
      </c>
      <c r="P2742">
        <v>13.3</v>
      </c>
      <c r="Q2742" t="s">
        <v>84</v>
      </c>
      <c r="R2742">
        <v>15.9</v>
      </c>
      <c r="S2742">
        <v>-2</v>
      </c>
      <c r="T2742">
        <v>-0.3</v>
      </c>
      <c r="U2742">
        <v>8.6</v>
      </c>
      <c r="V2742">
        <v>6.1</v>
      </c>
      <c r="W2742">
        <v>6.2</v>
      </c>
      <c r="X2742" t="s">
        <v>116</v>
      </c>
    </row>
    <row r="2743" spans="2:24" x14ac:dyDescent="0.3">
      <c r="B2743" t="s">
        <v>2836</v>
      </c>
      <c r="C2743" t="s">
        <v>73</v>
      </c>
      <c r="D2743" t="s">
        <v>2</v>
      </c>
      <c r="E2743" t="s">
        <v>15</v>
      </c>
      <c r="F2743" t="s">
        <v>11</v>
      </c>
      <c r="G2743" t="s">
        <v>60</v>
      </c>
      <c r="H2743">
        <v>2024</v>
      </c>
      <c r="I2743">
        <v>6817</v>
      </c>
      <c r="J2743">
        <v>15.2</v>
      </c>
      <c r="K2743" t="s">
        <v>23</v>
      </c>
      <c r="L2743">
        <v>8.6</v>
      </c>
      <c r="M2743">
        <v>4.7</v>
      </c>
      <c r="N2743">
        <v>3500</v>
      </c>
      <c r="O2743" t="s">
        <v>64</v>
      </c>
      <c r="P2743">
        <v>73.5</v>
      </c>
      <c r="Q2743" t="s">
        <v>56</v>
      </c>
      <c r="R2743">
        <v>34.1</v>
      </c>
      <c r="S2743">
        <v>33.700000000000003</v>
      </c>
      <c r="T2743">
        <v>16.600000000000001</v>
      </c>
      <c r="U2743">
        <v>5.8</v>
      </c>
      <c r="V2743">
        <v>7.2</v>
      </c>
      <c r="W2743">
        <v>6.5</v>
      </c>
      <c r="X2743" t="s">
        <v>116</v>
      </c>
    </row>
    <row r="2744" spans="2:24" x14ac:dyDescent="0.3">
      <c r="B2744" t="s">
        <v>2837</v>
      </c>
      <c r="C2744" t="s">
        <v>90</v>
      </c>
      <c r="D2744" t="s">
        <v>3</v>
      </c>
      <c r="E2744" t="s">
        <v>15</v>
      </c>
      <c r="F2744" t="s">
        <v>11</v>
      </c>
      <c r="G2744" t="s">
        <v>69</v>
      </c>
      <c r="H2744">
        <v>2026</v>
      </c>
      <c r="I2744">
        <v>1255</v>
      </c>
      <c r="J2744">
        <v>5.3</v>
      </c>
      <c r="K2744" t="s">
        <v>23</v>
      </c>
      <c r="L2744">
        <v>2.2999999999999998</v>
      </c>
      <c r="M2744">
        <v>1.9</v>
      </c>
      <c r="N2744">
        <v>1214</v>
      </c>
      <c r="O2744" t="s">
        <v>64</v>
      </c>
      <c r="P2744">
        <v>71.400000000000006</v>
      </c>
      <c r="Q2744" t="s">
        <v>76</v>
      </c>
      <c r="R2744">
        <v>56.6</v>
      </c>
      <c r="S2744">
        <v>23.2</v>
      </c>
      <c r="T2744">
        <v>16.5</v>
      </c>
      <c r="U2744">
        <v>2</v>
      </c>
      <c r="V2744">
        <v>8.5</v>
      </c>
      <c r="W2744">
        <v>7.2</v>
      </c>
      <c r="X2744" t="s">
        <v>57</v>
      </c>
    </row>
    <row r="2745" spans="2:24" x14ac:dyDescent="0.3">
      <c r="B2745" t="s">
        <v>2838</v>
      </c>
      <c r="C2745" t="s">
        <v>106</v>
      </c>
      <c r="D2745" t="s">
        <v>7</v>
      </c>
      <c r="E2745" t="s">
        <v>18</v>
      </c>
      <c r="F2745" t="s">
        <v>10</v>
      </c>
      <c r="G2745" t="s">
        <v>63</v>
      </c>
      <c r="H2745">
        <v>2024</v>
      </c>
      <c r="I2745">
        <v>1104</v>
      </c>
      <c r="J2745">
        <v>6.5</v>
      </c>
      <c r="K2745" t="s">
        <v>23</v>
      </c>
      <c r="L2745">
        <v>1.8</v>
      </c>
      <c r="M2745">
        <v>2.7</v>
      </c>
      <c r="N2745">
        <v>3091</v>
      </c>
      <c r="O2745" t="s">
        <v>64</v>
      </c>
      <c r="P2745">
        <v>26.1</v>
      </c>
      <c r="Q2745" t="s">
        <v>125</v>
      </c>
      <c r="R2745">
        <v>37.6</v>
      </c>
      <c r="S2745">
        <v>41.2</v>
      </c>
      <c r="T2745">
        <v>12.4</v>
      </c>
      <c r="U2745">
        <v>1.1000000000000001</v>
      </c>
      <c r="V2745">
        <v>9.1</v>
      </c>
      <c r="W2745">
        <v>7.9</v>
      </c>
      <c r="X2745" t="s">
        <v>57</v>
      </c>
    </row>
    <row r="2746" spans="2:24" x14ac:dyDescent="0.3">
      <c r="B2746" t="s">
        <v>2839</v>
      </c>
      <c r="C2746" t="s">
        <v>106</v>
      </c>
      <c r="D2746" t="s">
        <v>3</v>
      </c>
      <c r="E2746" t="s">
        <v>15</v>
      </c>
      <c r="F2746" t="s">
        <v>9</v>
      </c>
      <c r="G2746" t="s">
        <v>60</v>
      </c>
      <c r="H2746">
        <v>2026</v>
      </c>
      <c r="I2746">
        <v>3555</v>
      </c>
      <c r="J2746">
        <v>17.8</v>
      </c>
      <c r="K2746" t="s">
        <v>23</v>
      </c>
      <c r="L2746">
        <v>8.6</v>
      </c>
      <c r="M2746">
        <v>10</v>
      </c>
      <c r="N2746">
        <v>3289</v>
      </c>
      <c r="O2746" t="s">
        <v>64</v>
      </c>
      <c r="P2746">
        <v>32.4</v>
      </c>
      <c r="Q2746" t="s">
        <v>56</v>
      </c>
      <c r="R2746">
        <v>-40.4</v>
      </c>
      <c r="S2746">
        <v>18.5</v>
      </c>
      <c r="T2746">
        <v>6.6</v>
      </c>
      <c r="U2746">
        <v>5.3</v>
      </c>
      <c r="V2746">
        <v>7.9</v>
      </c>
      <c r="W2746">
        <v>5.2</v>
      </c>
      <c r="X2746" t="s">
        <v>116</v>
      </c>
    </row>
    <row r="2747" spans="2:24" x14ac:dyDescent="0.3">
      <c r="B2747" t="s">
        <v>2840</v>
      </c>
      <c r="C2747" t="s">
        <v>92</v>
      </c>
      <c r="D2747" t="s">
        <v>7</v>
      </c>
      <c r="E2747" t="s">
        <v>15</v>
      </c>
      <c r="F2747" t="s">
        <v>10</v>
      </c>
      <c r="G2747" t="s">
        <v>98</v>
      </c>
      <c r="H2747">
        <v>2024</v>
      </c>
      <c r="I2747">
        <v>1340</v>
      </c>
      <c r="J2747">
        <v>2.5</v>
      </c>
      <c r="K2747" t="s">
        <v>21</v>
      </c>
      <c r="L2747">
        <v>10.199999999999999</v>
      </c>
      <c r="M2747">
        <v>7.2</v>
      </c>
      <c r="N2747">
        <v>3367</v>
      </c>
      <c r="O2747" t="s">
        <v>55</v>
      </c>
      <c r="P2747">
        <v>42.6</v>
      </c>
      <c r="Q2747" t="s">
        <v>88</v>
      </c>
      <c r="R2747">
        <v>40.1</v>
      </c>
      <c r="S2747">
        <v>52.3</v>
      </c>
      <c r="T2747">
        <v>20.9</v>
      </c>
      <c r="U2747">
        <v>9.1999999999999993</v>
      </c>
      <c r="V2747">
        <v>9.1999999999999993</v>
      </c>
      <c r="W2747">
        <v>7.7</v>
      </c>
      <c r="X2747" t="s">
        <v>57</v>
      </c>
    </row>
    <row r="2748" spans="2:24" x14ac:dyDescent="0.3">
      <c r="B2748" t="s">
        <v>2841</v>
      </c>
      <c r="C2748" t="s">
        <v>100</v>
      </c>
      <c r="D2748" t="s">
        <v>3</v>
      </c>
      <c r="E2748" t="s">
        <v>14</v>
      </c>
      <c r="F2748" t="s">
        <v>9</v>
      </c>
      <c r="G2748" t="s">
        <v>131</v>
      </c>
      <c r="H2748">
        <v>2024</v>
      </c>
      <c r="I2748">
        <v>3181</v>
      </c>
      <c r="J2748">
        <v>9.1999999999999993</v>
      </c>
      <c r="K2748" t="s">
        <v>24</v>
      </c>
      <c r="L2748">
        <v>12.1</v>
      </c>
      <c r="M2748">
        <v>10</v>
      </c>
      <c r="N2748">
        <v>3857</v>
      </c>
      <c r="O2748" t="s">
        <v>55</v>
      </c>
      <c r="P2748">
        <v>66.099999999999994</v>
      </c>
      <c r="Q2748" t="s">
        <v>76</v>
      </c>
      <c r="R2748">
        <v>0.5</v>
      </c>
      <c r="S2748">
        <v>1</v>
      </c>
      <c r="T2748">
        <v>-6.9</v>
      </c>
      <c r="U2748">
        <v>9.1</v>
      </c>
      <c r="V2748">
        <v>5.0999999999999996</v>
      </c>
      <c r="W2748">
        <v>5.4</v>
      </c>
      <c r="X2748" t="s">
        <v>116</v>
      </c>
    </row>
    <row r="2749" spans="2:24" x14ac:dyDescent="0.3">
      <c r="B2749" t="s">
        <v>2842</v>
      </c>
      <c r="C2749" t="s">
        <v>94</v>
      </c>
      <c r="D2749" t="s">
        <v>6</v>
      </c>
      <c r="E2749" t="s">
        <v>16</v>
      </c>
      <c r="F2749" t="s">
        <v>11</v>
      </c>
      <c r="G2749" t="s">
        <v>60</v>
      </c>
      <c r="H2749">
        <v>2025</v>
      </c>
      <c r="I2749">
        <v>548</v>
      </c>
      <c r="J2749">
        <v>5.2</v>
      </c>
      <c r="K2749" t="s">
        <v>22</v>
      </c>
      <c r="L2749">
        <v>1.6</v>
      </c>
      <c r="M2749">
        <v>1.5</v>
      </c>
      <c r="N2749">
        <v>3775</v>
      </c>
      <c r="O2749" t="s">
        <v>64</v>
      </c>
      <c r="P2749">
        <v>20.2</v>
      </c>
      <c r="Q2749" t="s">
        <v>79</v>
      </c>
      <c r="R2749">
        <v>74.099999999999994</v>
      </c>
      <c r="S2749">
        <v>46.2</v>
      </c>
      <c r="T2749">
        <v>15</v>
      </c>
      <c r="U2749">
        <v>1.9</v>
      </c>
      <c r="V2749">
        <v>7.5</v>
      </c>
      <c r="W2749">
        <v>8.6</v>
      </c>
      <c r="X2749" t="s">
        <v>57</v>
      </c>
    </row>
    <row r="2750" spans="2:24" x14ac:dyDescent="0.3">
      <c r="B2750" t="s">
        <v>2843</v>
      </c>
      <c r="C2750" t="s">
        <v>90</v>
      </c>
      <c r="D2750" t="s">
        <v>2</v>
      </c>
      <c r="E2750" t="s">
        <v>18</v>
      </c>
      <c r="F2750" t="s">
        <v>12</v>
      </c>
      <c r="G2750" t="s">
        <v>101</v>
      </c>
      <c r="H2750">
        <v>2026</v>
      </c>
      <c r="I2750">
        <v>15590</v>
      </c>
      <c r="J2750">
        <v>26.3</v>
      </c>
      <c r="K2750" t="s">
        <v>23</v>
      </c>
      <c r="L2750">
        <v>7.8</v>
      </c>
      <c r="M2750">
        <v>8.4</v>
      </c>
      <c r="N2750">
        <v>3734</v>
      </c>
      <c r="O2750" t="s">
        <v>64</v>
      </c>
      <c r="P2750">
        <v>54.3</v>
      </c>
      <c r="Q2750" t="s">
        <v>76</v>
      </c>
      <c r="R2750">
        <v>-9.4</v>
      </c>
      <c r="S2750">
        <v>-21.1</v>
      </c>
      <c r="T2750">
        <v>-9.6999999999999993</v>
      </c>
      <c r="U2750">
        <v>6.1</v>
      </c>
      <c r="V2750">
        <v>2.2999999999999998</v>
      </c>
      <c r="W2750">
        <v>4</v>
      </c>
      <c r="X2750" t="s">
        <v>66</v>
      </c>
    </row>
    <row r="2751" spans="2:24" x14ac:dyDescent="0.3">
      <c r="B2751" t="s">
        <v>2844</v>
      </c>
      <c r="C2751" t="s">
        <v>159</v>
      </c>
      <c r="D2751" t="s">
        <v>2</v>
      </c>
      <c r="E2751" t="s">
        <v>14</v>
      </c>
      <c r="F2751" t="s">
        <v>9</v>
      </c>
      <c r="G2751" t="s">
        <v>63</v>
      </c>
      <c r="H2751">
        <v>2025</v>
      </c>
      <c r="I2751">
        <v>1021</v>
      </c>
      <c r="J2751">
        <v>7.9</v>
      </c>
      <c r="K2751" t="s">
        <v>25</v>
      </c>
      <c r="L2751">
        <v>2.2000000000000002</v>
      </c>
      <c r="M2751">
        <v>5.0999999999999996</v>
      </c>
      <c r="N2751">
        <v>2555</v>
      </c>
      <c r="O2751" t="s">
        <v>64</v>
      </c>
      <c r="P2751">
        <v>33.700000000000003</v>
      </c>
      <c r="Q2751" t="s">
        <v>56</v>
      </c>
      <c r="R2751">
        <v>-1.3</v>
      </c>
      <c r="S2751">
        <v>44.1</v>
      </c>
      <c r="T2751">
        <v>21.3</v>
      </c>
      <c r="U2751">
        <v>3.1</v>
      </c>
      <c r="V2751">
        <v>9.4</v>
      </c>
      <c r="W2751">
        <v>6.9</v>
      </c>
      <c r="X2751" t="s">
        <v>57</v>
      </c>
    </row>
    <row r="2752" spans="2:24" x14ac:dyDescent="0.3">
      <c r="B2752" t="s">
        <v>2845</v>
      </c>
      <c r="C2752" t="s">
        <v>81</v>
      </c>
      <c r="D2752" t="s">
        <v>5</v>
      </c>
      <c r="E2752" t="s">
        <v>14</v>
      </c>
      <c r="F2752" t="s">
        <v>12</v>
      </c>
      <c r="G2752" t="s">
        <v>74</v>
      </c>
      <c r="H2752">
        <v>2024</v>
      </c>
      <c r="I2752">
        <v>2238</v>
      </c>
      <c r="J2752">
        <v>7.5</v>
      </c>
      <c r="K2752" t="s">
        <v>21</v>
      </c>
      <c r="L2752">
        <v>2.1</v>
      </c>
      <c r="M2752">
        <v>1.2</v>
      </c>
      <c r="N2752">
        <v>5937</v>
      </c>
      <c r="O2752" t="s">
        <v>55</v>
      </c>
      <c r="P2752">
        <v>52.7</v>
      </c>
      <c r="Q2752" t="s">
        <v>84</v>
      </c>
      <c r="R2752">
        <v>75.400000000000006</v>
      </c>
      <c r="S2752">
        <v>-4.2</v>
      </c>
      <c r="T2752">
        <v>-6.6</v>
      </c>
      <c r="U2752">
        <v>2.2000000000000002</v>
      </c>
      <c r="V2752">
        <v>6.2</v>
      </c>
      <c r="W2752">
        <v>6.5</v>
      </c>
      <c r="X2752" t="s">
        <v>116</v>
      </c>
    </row>
    <row r="2753" spans="2:24" x14ac:dyDescent="0.3">
      <c r="B2753" t="s">
        <v>2846</v>
      </c>
      <c r="C2753" t="s">
        <v>53</v>
      </c>
      <c r="D2753" t="s">
        <v>3</v>
      </c>
      <c r="E2753" t="s">
        <v>17</v>
      </c>
      <c r="F2753" t="s">
        <v>12</v>
      </c>
      <c r="G2753" t="s">
        <v>69</v>
      </c>
      <c r="H2753">
        <v>2024</v>
      </c>
      <c r="I2753">
        <v>2466</v>
      </c>
      <c r="J2753">
        <v>5.5</v>
      </c>
      <c r="K2753" t="s">
        <v>25</v>
      </c>
      <c r="L2753">
        <v>1.1000000000000001</v>
      </c>
      <c r="M2753">
        <v>1.5</v>
      </c>
      <c r="N2753">
        <v>1988</v>
      </c>
      <c r="O2753" t="s">
        <v>64</v>
      </c>
      <c r="P2753">
        <v>10</v>
      </c>
      <c r="Q2753" t="s">
        <v>86</v>
      </c>
      <c r="R2753">
        <v>-42.7</v>
      </c>
      <c r="S2753">
        <v>22.7</v>
      </c>
      <c r="T2753">
        <v>11.7</v>
      </c>
      <c r="U2753">
        <v>1.2</v>
      </c>
      <c r="V2753">
        <v>6.7</v>
      </c>
      <c r="W2753">
        <v>7.6</v>
      </c>
      <c r="X2753" t="s">
        <v>57</v>
      </c>
    </row>
    <row r="2754" spans="2:24" x14ac:dyDescent="0.3">
      <c r="B2754" t="s">
        <v>2847</v>
      </c>
      <c r="C2754" t="s">
        <v>71</v>
      </c>
      <c r="D2754" t="s">
        <v>6</v>
      </c>
      <c r="E2754" t="s">
        <v>17</v>
      </c>
      <c r="F2754" t="s">
        <v>10</v>
      </c>
      <c r="G2754" t="s">
        <v>78</v>
      </c>
      <c r="H2754">
        <v>2024</v>
      </c>
      <c r="I2754">
        <v>8676</v>
      </c>
      <c r="J2754">
        <v>15.4</v>
      </c>
      <c r="K2754" t="s">
        <v>23</v>
      </c>
      <c r="L2754">
        <v>5.8</v>
      </c>
      <c r="M2754">
        <v>10</v>
      </c>
      <c r="N2754">
        <v>1864</v>
      </c>
      <c r="O2754" t="s">
        <v>64</v>
      </c>
      <c r="P2754">
        <v>20.7</v>
      </c>
      <c r="Q2754" t="s">
        <v>56</v>
      </c>
      <c r="R2754">
        <v>25.6</v>
      </c>
      <c r="S2754">
        <v>47</v>
      </c>
      <c r="T2754">
        <v>7.4</v>
      </c>
      <c r="U2754">
        <v>3.9</v>
      </c>
      <c r="V2754">
        <v>6.6</v>
      </c>
      <c r="W2754">
        <v>6.3</v>
      </c>
      <c r="X2754" t="s">
        <v>66</v>
      </c>
    </row>
    <row r="2755" spans="2:24" x14ac:dyDescent="0.3">
      <c r="B2755" t="s">
        <v>2848</v>
      </c>
      <c r="C2755" t="s">
        <v>53</v>
      </c>
      <c r="D2755" t="s">
        <v>3</v>
      </c>
      <c r="E2755" t="s">
        <v>17</v>
      </c>
      <c r="F2755" t="s">
        <v>11</v>
      </c>
      <c r="G2755" t="s">
        <v>54</v>
      </c>
      <c r="H2755">
        <v>2025</v>
      </c>
      <c r="I2755">
        <v>6060</v>
      </c>
      <c r="J2755">
        <v>17.7</v>
      </c>
      <c r="K2755" t="s">
        <v>22</v>
      </c>
      <c r="L2755">
        <v>8</v>
      </c>
      <c r="M2755">
        <v>8.8000000000000007</v>
      </c>
      <c r="N2755">
        <v>3424</v>
      </c>
      <c r="O2755" t="s">
        <v>64</v>
      </c>
      <c r="P2755">
        <v>52.3</v>
      </c>
      <c r="Q2755" t="s">
        <v>84</v>
      </c>
      <c r="R2755">
        <v>3.9</v>
      </c>
      <c r="S2755">
        <v>51.5</v>
      </c>
      <c r="T2755">
        <v>16.3</v>
      </c>
      <c r="U2755">
        <v>5.6</v>
      </c>
      <c r="V2755">
        <v>7</v>
      </c>
      <c r="W2755">
        <v>6</v>
      </c>
      <c r="X2755" t="s">
        <v>116</v>
      </c>
    </row>
    <row r="2756" spans="2:24" x14ac:dyDescent="0.3">
      <c r="B2756" t="s">
        <v>2849</v>
      </c>
      <c r="C2756" t="s">
        <v>90</v>
      </c>
      <c r="D2756" t="s">
        <v>6</v>
      </c>
      <c r="E2756" t="s">
        <v>14</v>
      </c>
      <c r="F2756" t="s">
        <v>10</v>
      </c>
      <c r="G2756" t="s">
        <v>60</v>
      </c>
      <c r="H2756">
        <v>2026</v>
      </c>
      <c r="I2756">
        <v>7162</v>
      </c>
      <c r="J2756">
        <v>10.6</v>
      </c>
      <c r="K2756" t="s">
        <v>22</v>
      </c>
      <c r="L2756">
        <v>5.5</v>
      </c>
      <c r="M2756">
        <v>10</v>
      </c>
      <c r="N2756">
        <v>272</v>
      </c>
      <c r="O2756" t="s">
        <v>64</v>
      </c>
      <c r="P2756">
        <v>75.900000000000006</v>
      </c>
      <c r="Q2756" t="s">
        <v>65</v>
      </c>
      <c r="R2756">
        <v>77</v>
      </c>
      <c r="S2756">
        <v>-19.600000000000001</v>
      </c>
      <c r="T2756">
        <v>-9.6</v>
      </c>
      <c r="U2756">
        <v>6.4</v>
      </c>
      <c r="V2756">
        <v>3.6</v>
      </c>
      <c r="W2756">
        <v>4.0999999999999996</v>
      </c>
      <c r="X2756" t="s">
        <v>66</v>
      </c>
    </row>
    <row r="2757" spans="2:24" x14ac:dyDescent="0.3">
      <c r="B2757" t="s">
        <v>2850</v>
      </c>
      <c r="C2757" t="s">
        <v>90</v>
      </c>
      <c r="D2757" t="s">
        <v>2</v>
      </c>
      <c r="E2757" t="s">
        <v>18</v>
      </c>
      <c r="F2757" t="s">
        <v>12</v>
      </c>
      <c r="G2757" t="s">
        <v>74</v>
      </c>
      <c r="H2757">
        <v>2026</v>
      </c>
      <c r="I2757">
        <v>4819</v>
      </c>
      <c r="J2757">
        <v>8.9</v>
      </c>
      <c r="K2757" t="s">
        <v>22</v>
      </c>
      <c r="L2757">
        <v>5.2</v>
      </c>
      <c r="M2757">
        <v>2.4</v>
      </c>
      <c r="N2757">
        <v>3928</v>
      </c>
      <c r="O2757" t="s">
        <v>64</v>
      </c>
      <c r="P2757">
        <v>70.2</v>
      </c>
      <c r="Q2757" t="s">
        <v>56</v>
      </c>
      <c r="R2757">
        <v>24.3</v>
      </c>
      <c r="S2757">
        <v>-16.899999999999999</v>
      </c>
      <c r="T2757">
        <v>-8.3000000000000007</v>
      </c>
      <c r="U2757">
        <v>4</v>
      </c>
      <c r="V2757">
        <v>6.5</v>
      </c>
      <c r="W2757">
        <v>5.7</v>
      </c>
      <c r="X2757" t="s">
        <v>116</v>
      </c>
    </row>
    <row r="2758" spans="2:24" x14ac:dyDescent="0.3">
      <c r="B2758" t="s">
        <v>2851</v>
      </c>
      <c r="C2758" t="s">
        <v>92</v>
      </c>
      <c r="D2758" t="s">
        <v>7</v>
      </c>
      <c r="E2758" t="s">
        <v>15</v>
      </c>
      <c r="F2758" t="s">
        <v>9</v>
      </c>
      <c r="G2758" t="s">
        <v>98</v>
      </c>
      <c r="H2758">
        <v>2026</v>
      </c>
      <c r="I2758">
        <v>6962</v>
      </c>
      <c r="J2758">
        <v>15.3</v>
      </c>
      <c r="K2758" t="s">
        <v>24</v>
      </c>
      <c r="L2758">
        <v>3.7</v>
      </c>
      <c r="M2758">
        <v>4.2</v>
      </c>
      <c r="N2758">
        <v>5046</v>
      </c>
      <c r="O2758" t="s">
        <v>55</v>
      </c>
      <c r="P2758">
        <v>72.599999999999994</v>
      </c>
      <c r="Q2758" t="s">
        <v>76</v>
      </c>
      <c r="R2758">
        <v>-37.200000000000003</v>
      </c>
      <c r="S2758">
        <v>-12.6</v>
      </c>
      <c r="T2758">
        <v>-10.1</v>
      </c>
      <c r="U2758">
        <v>3.8</v>
      </c>
      <c r="V2758">
        <v>5.0999999999999996</v>
      </c>
      <c r="W2758">
        <v>4.9000000000000004</v>
      </c>
      <c r="X2758" t="s">
        <v>116</v>
      </c>
    </row>
    <row r="2759" spans="2:24" x14ac:dyDescent="0.3">
      <c r="B2759" t="s">
        <v>2852</v>
      </c>
      <c r="C2759" t="s">
        <v>53</v>
      </c>
      <c r="D2759" t="s">
        <v>3</v>
      </c>
      <c r="E2759" t="s">
        <v>16</v>
      </c>
      <c r="F2759" t="s">
        <v>10</v>
      </c>
      <c r="G2759" t="s">
        <v>60</v>
      </c>
      <c r="H2759">
        <v>2024</v>
      </c>
      <c r="I2759">
        <v>862</v>
      </c>
      <c r="J2759">
        <v>16.8</v>
      </c>
      <c r="K2759" t="s">
        <v>23</v>
      </c>
      <c r="L2759">
        <v>2.4</v>
      </c>
      <c r="M2759">
        <v>5.2</v>
      </c>
      <c r="N2759">
        <v>3616</v>
      </c>
      <c r="O2759" t="s">
        <v>64</v>
      </c>
      <c r="P2759">
        <v>17.7</v>
      </c>
      <c r="Q2759" t="s">
        <v>56</v>
      </c>
      <c r="R2759">
        <v>36.700000000000003</v>
      </c>
      <c r="S2759">
        <v>40.5</v>
      </c>
      <c r="T2759">
        <v>21.1</v>
      </c>
      <c r="U2759">
        <v>1.4</v>
      </c>
      <c r="V2759">
        <v>7.6</v>
      </c>
      <c r="W2759">
        <v>7.3</v>
      </c>
      <c r="X2759" t="s">
        <v>116</v>
      </c>
    </row>
    <row r="2760" spans="2:24" x14ac:dyDescent="0.3">
      <c r="B2760" t="s">
        <v>2853</v>
      </c>
      <c r="C2760" t="s">
        <v>100</v>
      </c>
      <c r="D2760" t="s">
        <v>3</v>
      </c>
      <c r="E2760" t="s">
        <v>19</v>
      </c>
      <c r="F2760" t="s">
        <v>11</v>
      </c>
      <c r="G2760" t="s">
        <v>63</v>
      </c>
      <c r="H2760">
        <v>2026</v>
      </c>
      <c r="I2760">
        <v>6255</v>
      </c>
      <c r="J2760">
        <v>8.4</v>
      </c>
      <c r="K2760" t="s">
        <v>21</v>
      </c>
      <c r="L2760">
        <v>15.5</v>
      </c>
      <c r="M2760">
        <v>10</v>
      </c>
      <c r="N2760">
        <v>4854</v>
      </c>
      <c r="O2760" t="s">
        <v>55</v>
      </c>
      <c r="P2760">
        <v>32.6</v>
      </c>
      <c r="Q2760" t="s">
        <v>65</v>
      </c>
      <c r="R2760">
        <v>37.1</v>
      </c>
      <c r="S2760">
        <v>53</v>
      </c>
      <c r="T2760">
        <v>28.3</v>
      </c>
      <c r="U2760">
        <v>9.4</v>
      </c>
      <c r="V2760">
        <v>8.1999999999999993</v>
      </c>
      <c r="W2760">
        <v>7.6</v>
      </c>
      <c r="X2760" t="s">
        <v>116</v>
      </c>
    </row>
    <row r="2761" spans="2:24" x14ac:dyDescent="0.3">
      <c r="B2761" t="s">
        <v>2854</v>
      </c>
      <c r="C2761" t="s">
        <v>53</v>
      </c>
      <c r="D2761" t="s">
        <v>7</v>
      </c>
      <c r="E2761" t="s">
        <v>16</v>
      </c>
      <c r="F2761" t="s">
        <v>12</v>
      </c>
      <c r="G2761" t="s">
        <v>115</v>
      </c>
      <c r="H2761">
        <v>2024</v>
      </c>
      <c r="I2761">
        <v>9645</v>
      </c>
      <c r="J2761">
        <v>26.6</v>
      </c>
      <c r="K2761" t="s">
        <v>25</v>
      </c>
      <c r="L2761">
        <v>12.6</v>
      </c>
      <c r="M2761">
        <v>9.8000000000000007</v>
      </c>
      <c r="N2761">
        <v>1570</v>
      </c>
      <c r="O2761" t="s">
        <v>64</v>
      </c>
      <c r="P2761">
        <v>30.3</v>
      </c>
      <c r="Q2761" t="s">
        <v>56</v>
      </c>
      <c r="R2761">
        <v>-27.7</v>
      </c>
      <c r="S2761">
        <v>-8.6</v>
      </c>
      <c r="T2761">
        <v>-5.7</v>
      </c>
      <c r="U2761">
        <v>7.5</v>
      </c>
      <c r="V2761">
        <v>4.4000000000000004</v>
      </c>
      <c r="W2761">
        <v>3.3</v>
      </c>
      <c r="X2761" t="s">
        <v>66</v>
      </c>
    </row>
    <row r="2762" spans="2:24" x14ac:dyDescent="0.3">
      <c r="B2762" t="s">
        <v>2855</v>
      </c>
      <c r="C2762" t="s">
        <v>83</v>
      </c>
      <c r="D2762" t="s">
        <v>4</v>
      </c>
      <c r="E2762" t="s">
        <v>18</v>
      </c>
      <c r="F2762" t="s">
        <v>11</v>
      </c>
      <c r="G2762" t="s">
        <v>63</v>
      </c>
      <c r="H2762">
        <v>2024</v>
      </c>
      <c r="I2762">
        <v>1198</v>
      </c>
      <c r="J2762">
        <v>2.9</v>
      </c>
      <c r="K2762" t="s">
        <v>22</v>
      </c>
      <c r="L2762">
        <v>12.5</v>
      </c>
      <c r="M2762">
        <v>10</v>
      </c>
      <c r="N2762">
        <v>4030</v>
      </c>
      <c r="O2762" t="s">
        <v>118</v>
      </c>
      <c r="P2762">
        <v>43.6</v>
      </c>
      <c r="Q2762" t="s">
        <v>84</v>
      </c>
      <c r="R2762">
        <v>-11.7</v>
      </c>
      <c r="S2762">
        <v>-17.399999999999999</v>
      </c>
      <c r="T2762">
        <v>-7.9</v>
      </c>
      <c r="U2762">
        <v>8.3000000000000007</v>
      </c>
      <c r="V2762">
        <v>6.7</v>
      </c>
      <c r="W2762">
        <v>5.8</v>
      </c>
      <c r="X2762" t="s">
        <v>116</v>
      </c>
    </row>
    <row r="2763" spans="2:24" x14ac:dyDescent="0.3">
      <c r="B2763" t="s">
        <v>2856</v>
      </c>
      <c r="C2763" t="s">
        <v>90</v>
      </c>
      <c r="D2763" t="s">
        <v>5</v>
      </c>
      <c r="E2763" t="s">
        <v>15</v>
      </c>
      <c r="F2763" t="s">
        <v>12</v>
      </c>
      <c r="G2763" t="s">
        <v>115</v>
      </c>
      <c r="H2763">
        <v>2024</v>
      </c>
      <c r="I2763">
        <v>18063</v>
      </c>
      <c r="J2763">
        <v>34.5</v>
      </c>
      <c r="K2763" t="s">
        <v>25</v>
      </c>
      <c r="L2763">
        <v>2</v>
      </c>
      <c r="M2763">
        <v>10</v>
      </c>
      <c r="N2763">
        <v>1608</v>
      </c>
      <c r="O2763" t="s">
        <v>75</v>
      </c>
      <c r="P2763">
        <v>14.7</v>
      </c>
      <c r="Q2763" t="s">
        <v>76</v>
      </c>
      <c r="R2763">
        <v>-44.4</v>
      </c>
      <c r="S2763">
        <v>34.299999999999997</v>
      </c>
      <c r="T2763">
        <v>2.7</v>
      </c>
      <c r="U2763">
        <v>2.1</v>
      </c>
      <c r="V2763">
        <v>3.4</v>
      </c>
      <c r="W2763">
        <v>3.6</v>
      </c>
      <c r="X2763" t="s">
        <v>66</v>
      </c>
    </row>
    <row r="2764" spans="2:24" x14ac:dyDescent="0.3">
      <c r="B2764" t="s">
        <v>2857</v>
      </c>
      <c r="C2764" t="s">
        <v>92</v>
      </c>
      <c r="D2764" t="s">
        <v>7</v>
      </c>
      <c r="E2764" t="s">
        <v>19</v>
      </c>
      <c r="F2764" t="s">
        <v>10</v>
      </c>
      <c r="G2764" t="s">
        <v>112</v>
      </c>
      <c r="H2764">
        <v>2026</v>
      </c>
      <c r="I2764">
        <v>6405</v>
      </c>
      <c r="J2764">
        <v>7.9</v>
      </c>
      <c r="K2764" t="s">
        <v>22</v>
      </c>
      <c r="L2764">
        <v>7.8</v>
      </c>
      <c r="M2764">
        <v>5.9</v>
      </c>
      <c r="N2764">
        <v>1990</v>
      </c>
      <c r="O2764" t="s">
        <v>64</v>
      </c>
      <c r="P2764">
        <v>31.5</v>
      </c>
      <c r="Q2764" t="s">
        <v>56</v>
      </c>
      <c r="R2764">
        <v>35.700000000000003</v>
      </c>
      <c r="S2764">
        <v>45</v>
      </c>
      <c r="T2764">
        <v>22.5</v>
      </c>
      <c r="U2764">
        <v>8.6</v>
      </c>
      <c r="V2764">
        <v>6.8</v>
      </c>
      <c r="W2764">
        <v>7.2</v>
      </c>
      <c r="X2764" t="s">
        <v>116</v>
      </c>
    </row>
    <row r="2765" spans="2:24" x14ac:dyDescent="0.3">
      <c r="B2765" t="s">
        <v>2858</v>
      </c>
      <c r="C2765" t="s">
        <v>106</v>
      </c>
      <c r="D2765" t="s">
        <v>7</v>
      </c>
      <c r="E2765" t="s">
        <v>19</v>
      </c>
      <c r="F2765" t="s">
        <v>10</v>
      </c>
      <c r="G2765" t="s">
        <v>74</v>
      </c>
      <c r="H2765">
        <v>2024</v>
      </c>
      <c r="I2765">
        <v>678</v>
      </c>
      <c r="J2765">
        <v>8.6999999999999993</v>
      </c>
      <c r="K2765" t="s">
        <v>25</v>
      </c>
      <c r="L2765">
        <v>5</v>
      </c>
      <c r="M2765">
        <v>8</v>
      </c>
      <c r="N2765">
        <v>254</v>
      </c>
      <c r="O2765" t="s">
        <v>64</v>
      </c>
      <c r="P2765">
        <v>75.400000000000006</v>
      </c>
      <c r="Q2765" t="s">
        <v>65</v>
      </c>
      <c r="R2765">
        <v>1.8</v>
      </c>
      <c r="S2765">
        <v>-12.1</v>
      </c>
      <c r="T2765">
        <v>-5.2</v>
      </c>
      <c r="U2765">
        <v>6.6</v>
      </c>
      <c r="V2765">
        <v>6.8</v>
      </c>
      <c r="W2765">
        <v>5.0999999999999996</v>
      </c>
      <c r="X2765" t="s">
        <v>116</v>
      </c>
    </row>
    <row r="2766" spans="2:24" x14ac:dyDescent="0.3">
      <c r="B2766" t="s">
        <v>2859</v>
      </c>
      <c r="C2766" t="s">
        <v>53</v>
      </c>
      <c r="D2766" t="s">
        <v>3</v>
      </c>
      <c r="E2766" t="s">
        <v>19</v>
      </c>
      <c r="F2766" t="s">
        <v>10</v>
      </c>
      <c r="G2766" t="s">
        <v>74</v>
      </c>
      <c r="H2766">
        <v>2025</v>
      </c>
      <c r="I2766">
        <v>364</v>
      </c>
      <c r="J2766">
        <v>2.4</v>
      </c>
      <c r="K2766" t="s">
        <v>21</v>
      </c>
      <c r="L2766">
        <v>3.4</v>
      </c>
      <c r="M2766">
        <v>6.5</v>
      </c>
      <c r="N2766">
        <v>4673</v>
      </c>
      <c r="O2766" t="s">
        <v>55</v>
      </c>
      <c r="P2766">
        <v>38</v>
      </c>
      <c r="Q2766" t="s">
        <v>88</v>
      </c>
      <c r="R2766">
        <v>76.900000000000006</v>
      </c>
      <c r="S2766">
        <v>21.6</v>
      </c>
      <c r="T2766">
        <v>13.5</v>
      </c>
      <c r="U2766">
        <v>4.4000000000000004</v>
      </c>
      <c r="V2766">
        <v>9.4</v>
      </c>
      <c r="W2766">
        <v>7.6</v>
      </c>
      <c r="X2766" t="s">
        <v>57</v>
      </c>
    </row>
    <row r="2767" spans="2:24" x14ac:dyDescent="0.3">
      <c r="B2767" t="s">
        <v>2860</v>
      </c>
      <c r="C2767" t="s">
        <v>137</v>
      </c>
      <c r="D2767" t="s">
        <v>4</v>
      </c>
      <c r="E2767" t="s">
        <v>16</v>
      </c>
      <c r="F2767" t="s">
        <v>10</v>
      </c>
      <c r="G2767" t="s">
        <v>78</v>
      </c>
      <c r="H2767">
        <v>2026</v>
      </c>
      <c r="I2767">
        <v>2500</v>
      </c>
      <c r="J2767">
        <v>5.7</v>
      </c>
      <c r="K2767" t="s">
        <v>21</v>
      </c>
      <c r="L2767">
        <v>11.6</v>
      </c>
      <c r="M2767">
        <v>10</v>
      </c>
      <c r="N2767">
        <v>2671</v>
      </c>
      <c r="O2767" t="s">
        <v>55</v>
      </c>
      <c r="P2767">
        <v>53.6</v>
      </c>
      <c r="Q2767" t="s">
        <v>76</v>
      </c>
      <c r="R2767">
        <v>-27.1</v>
      </c>
      <c r="S2767">
        <v>-1.3</v>
      </c>
      <c r="T2767">
        <v>9.4</v>
      </c>
      <c r="U2767">
        <v>8</v>
      </c>
      <c r="V2767">
        <v>6.9</v>
      </c>
      <c r="W2767">
        <v>6.1</v>
      </c>
      <c r="X2767" t="s">
        <v>116</v>
      </c>
    </row>
    <row r="2768" spans="2:24" x14ac:dyDescent="0.3">
      <c r="B2768" t="s">
        <v>2861</v>
      </c>
      <c r="C2768" t="s">
        <v>90</v>
      </c>
      <c r="D2768" t="s">
        <v>6</v>
      </c>
      <c r="E2768" t="s">
        <v>18</v>
      </c>
      <c r="F2768" t="s">
        <v>12</v>
      </c>
      <c r="G2768" t="s">
        <v>63</v>
      </c>
      <c r="H2768">
        <v>2026</v>
      </c>
      <c r="I2768">
        <v>5955</v>
      </c>
      <c r="J2768">
        <v>8.5</v>
      </c>
      <c r="K2768" t="s">
        <v>24</v>
      </c>
      <c r="L2768">
        <v>5.6</v>
      </c>
      <c r="M2768">
        <v>5.0999999999999996</v>
      </c>
      <c r="N2768">
        <v>902</v>
      </c>
      <c r="O2768" t="s">
        <v>64</v>
      </c>
      <c r="P2768">
        <v>78.400000000000006</v>
      </c>
      <c r="Q2768" t="s">
        <v>86</v>
      </c>
      <c r="R2768">
        <v>66.2</v>
      </c>
      <c r="S2768">
        <v>26.8</v>
      </c>
      <c r="T2768">
        <v>12.8</v>
      </c>
      <c r="U2768">
        <v>4.2</v>
      </c>
      <c r="V2768">
        <v>6.5</v>
      </c>
      <c r="W2768">
        <v>6.9</v>
      </c>
      <c r="X2768" t="s">
        <v>116</v>
      </c>
    </row>
    <row r="2769" spans="2:24" x14ac:dyDescent="0.3">
      <c r="B2769" t="s">
        <v>2862</v>
      </c>
      <c r="C2769" t="s">
        <v>53</v>
      </c>
      <c r="D2769" t="s">
        <v>2</v>
      </c>
      <c r="E2769" t="s">
        <v>19</v>
      </c>
      <c r="F2769" t="s">
        <v>12</v>
      </c>
      <c r="G2769" t="s">
        <v>98</v>
      </c>
      <c r="H2769">
        <v>2024</v>
      </c>
      <c r="I2769">
        <v>13259</v>
      </c>
      <c r="J2769">
        <v>22.6</v>
      </c>
      <c r="K2769" t="s">
        <v>23</v>
      </c>
      <c r="L2769">
        <v>9.6999999999999993</v>
      </c>
      <c r="M2769">
        <v>10</v>
      </c>
      <c r="N2769">
        <v>4810</v>
      </c>
      <c r="O2769" t="s">
        <v>55</v>
      </c>
      <c r="P2769">
        <v>89.6</v>
      </c>
      <c r="Q2769" t="s">
        <v>76</v>
      </c>
      <c r="R2769">
        <v>40.4</v>
      </c>
      <c r="S2769">
        <v>0</v>
      </c>
      <c r="T2769">
        <v>-9.9</v>
      </c>
      <c r="U2769">
        <v>7.8</v>
      </c>
      <c r="V2769">
        <v>5.7</v>
      </c>
      <c r="W2769">
        <v>3.2</v>
      </c>
      <c r="X2769" t="s">
        <v>66</v>
      </c>
    </row>
    <row r="2770" spans="2:24" x14ac:dyDescent="0.3">
      <c r="B2770" t="s">
        <v>2863</v>
      </c>
      <c r="C2770" t="s">
        <v>142</v>
      </c>
      <c r="D2770" t="s">
        <v>2</v>
      </c>
      <c r="E2770" t="s">
        <v>16</v>
      </c>
      <c r="F2770" t="s">
        <v>9</v>
      </c>
      <c r="G2770" t="s">
        <v>78</v>
      </c>
      <c r="H2770">
        <v>2024</v>
      </c>
      <c r="I2770">
        <v>6320</v>
      </c>
      <c r="J2770">
        <v>11.4</v>
      </c>
      <c r="K2770" t="s">
        <v>23</v>
      </c>
      <c r="L2770">
        <v>8.6</v>
      </c>
      <c r="M2770">
        <v>9.4</v>
      </c>
      <c r="N2770">
        <v>5188</v>
      </c>
      <c r="O2770" t="s">
        <v>55</v>
      </c>
      <c r="P2770">
        <v>67.599999999999994</v>
      </c>
      <c r="Q2770" t="s">
        <v>76</v>
      </c>
      <c r="R2770">
        <v>81.5</v>
      </c>
      <c r="S2770">
        <v>47.8</v>
      </c>
      <c r="T2770">
        <v>16.399999999999999</v>
      </c>
      <c r="U2770">
        <v>9.6999999999999993</v>
      </c>
      <c r="V2770">
        <v>7</v>
      </c>
      <c r="W2770">
        <v>5.4</v>
      </c>
      <c r="X2770" t="s">
        <v>116</v>
      </c>
    </row>
    <row r="2771" spans="2:24" x14ac:dyDescent="0.3">
      <c r="B2771" t="s">
        <v>2864</v>
      </c>
      <c r="C2771" t="s">
        <v>59</v>
      </c>
      <c r="D2771" t="s">
        <v>4</v>
      </c>
      <c r="E2771" t="s">
        <v>16</v>
      </c>
      <c r="F2771" t="s">
        <v>10</v>
      </c>
      <c r="G2771" t="s">
        <v>98</v>
      </c>
      <c r="H2771">
        <v>2025</v>
      </c>
      <c r="I2771">
        <v>716</v>
      </c>
      <c r="J2771">
        <v>17.3</v>
      </c>
      <c r="K2771" t="s">
        <v>21</v>
      </c>
      <c r="L2771">
        <v>6</v>
      </c>
      <c r="M2771">
        <v>8.5</v>
      </c>
      <c r="N2771">
        <v>4912</v>
      </c>
      <c r="O2771" t="s">
        <v>64</v>
      </c>
      <c r="P2771">
        <v>87.7</v>
      </c>
      <c r="Q2771" t="s">
        <v>65</v>
      </c>
      <c r="R2771">
        <v>-26.2</v>
      </c>
      <c r="S2771">
        <v>-22.8</v>
      </c>
      <c r="T2771">
        <v>-18.899999999999999</v>
      </c>
      <c r="U2771">
        <v>6.3</v>
      </c>
      <c r="V2771">
        <v>3.9</v>
      </c>
      <c r="W2771">
        <v>4.5</v>
      </c>
      <c r="X2771" t="s">
        <v>116</v>
      </c>
    </row>
    <row r="2772" spans="2:24" x14ac:dyDescent="0.3">
      <c r="B2772" t="s">
        <v>2865</v>
      </c>
      <c r="C2772" t="s">
        <v>71</v>
      </c>
      <c r="D2772" t="s">
        <v>6</v>
      </c>
      <c r="E2772" t="s">
        <v>18</v>
      </c>
      <c r="F2772" t="s">
        <v>10</v>
      </c>
      <c r="G2772" t="s">
        <v>63</v>
      </c>
      <c r="H2772">
        <v>2024</v>
      </c>
      <c r="I2772">
        <v>353</v>
      </c>
      <c r="J2772">
        <v>1.9</v>
      </c>
      <c r="K2772" t="s">
        <v>22</v>
      </c>
      <c r="L2772">
        <v>6.3</v>
      </c>
      <c r="M2772">
        <v>7.3</v>
      </c>
      <c r="N2772">
        <v>5832</v>
      </c>
      <c r="O2772" t="s">
        <v>118</v>
      </c>
      <c r="P2772">
        <v>42</v>
      </c>
      <c r="Q2772" t="s">
        <v>84</v>
      </c>
      <c r="R2772">
        <v>85.2</v>
      </c>
      <c r="S2772">
        <v>-0.4</v>
      </c>
      <c r="T2772">
        <v>11.5</v>
      </c>
      <c r="U2772">
        <v>5</v>
      </c>
      <c r="V2772">
        <v>8.8000000000000007</v>
      </c>
      <c r="W2772">
        <v>6.3</v>
      </c>
      <c r="X2772" t="s">
        <v>57</v>
      </c>
    </row>
    <row r="2773" spans="2:24" x14ac:dyDescent="0.3">
      <c r="B2773" t="s">
        <v>2866</v>
      </c>
      <c r="C2773" t="s">
        <v>94</v>
      </c>
      <c r="D2773" t="s">
        <v>6</v>
      </c>
      <c r="E2773" t="s">
        <v>16</v>
      </c>
      <c r="F2773" t="s">
        <v>9</v>
      </c>
      <c r="G2773" t="s">
        <v>78</v>
      </c>
      <c r="H2773">
        <v>2025</v>
      </c>
      <c r="I2773">
        <v>4455</v>
      </c>
      <c r="J2773">
        <v>12.6</v>
      </c>
      <c r="K2773" t="s">
        <v>23</v>
      </c>
      <c r="L2773">
        <v>10.4</v>
      </c>
      <c r="M2773">
        <v>7.6</v>
      </c>
      <c r="N2773">
        <v>3933</v>
      </c>
      <c r="O2773" t="s">
        <v>55</v>
      </c>
      <c r="P2773">
        <v>23</v>
      </c>
      <c r="Q2773" t="s">
        <v>65</v>
      </c>
      <c r="R2773">
        <v>46.1</v>
      </c>
      <c r="S2773">
        <v>17.399999999999999</v>
      </c>
      <c r="T2773">
        <v>-1.1000000000000001</v>
      </c>
      <c r="U2773">
        <v>8.4</v>
      </c>
      <c r="V2773">
        <v>6.7</v>
      </c>
      <c r="W2773">
        <v>5.0999999999999996</v>
      </c>
      <c r="X2773" t="s">
        <v>116</v>
      </c>
    </row>
    <row r="2774" spans="2:24" x14ac:dyDescent="0.3">
      <c r="B2774" t="s">
        <v>2867</v>
      </c>
      <c r="C2774" t="s">
        <v>137</v>
      </c>
      <c r="D2774" t="s">
        <v>4</v>
      </c>
      <c r="E2774" t="s">
        <v>18</v>
      </c>
      <c r="F2774" t="s">
        <v>9</v>
      </c>
      <c r="G2774" t="s">
        <v>115</v>
      </c>
      <c r="H2774">
        <v>2024</v>
      </c>
      <c r="I2774">
        <v>5224</v>
      </c>
      <c r="J2774">
        <v>12.5</v>
      </c>
      <c r="K2774" t="s">
        <v>24</v>
      </c>
      <c r="L2774">
        <v>1.5</v>
      </c>
      <c r="M2774">
        <v>4.0999999999999996</v>
      </c>
      <c r="N2774">
        <v>1404</v>
      </c>
      <c r="O2774" t="s">
        <v>64</v>
      </c>
      <c r="P2774">
        <v>61.2</v>
      </c>
      <c r="Q2774" t="s">
        <v>88</v>
      </c>
      <c r="R2774">
        <v>67.7</v>
      </c>
      <c r="S2774">
        <v>33.4</v>
      </c>
      <c r="T2774">
        <v>10.6</v>
      </c>
      <c r="U2774">
        <v>2</v>
      </c>
      <c r="V2774">
        <v>6.9</v>
      </c>
      <c r="W2774">
        <v>7.7</v>
      </c>
      <c r="X2774" t="s">
        <v>66</v>
      </c>
    </row>
    <row r="2775" spans="2:24" x14ac:dyDescent="0.3">
      <c r="B2775" t="s">
        <v>2868</v>
      </c>
      <c r="C2775" t="s">
        <v>106</v>
      </c>
      <c r="D2775" t="s">
        <v>8</v>
      </c>
      <c r="E2775" t="s">
        <v>14</v>
      </c>
      <c r="F2775" t="s">
        <v>12</v>
      </c>
      <c r="G2775" t="s">
        <v>131</v>
      </c>
      <c r="H2775">
        <v>2025</v>
      </c>
      <c r="I2775">
        <v>1529</v>
      </c>
      <c r="J2775">
        <v>8.1999999999999993</v>
      </c>
      <c r="K2775" t="s">
        <v>24</v>
      </c>
      <c r="L2775">
        <v>14.2</v>
      </c>
      <c r="M2775">
        <v>10</v>
      </c>
      <c r="N2775">
        <v>428</v>
      </c>
      <c r="O2775" t="s">
        <v>55</v>
      </c>
      <c r="P2775">
        <v>75.8</v>
      </c>
      <c r="Q2775" t="s">
        <v>86</v>
      </c>
      <c r="R2775">
        <v>-40.799999999999997</v>
      </c>
      <c r="S2775">
        <v>-11.4</v>
      </c>
      <c r="T2775">
        <v>5.0999999999999996</v>
      </c>
      <c r="U2775">
        <v>9.1</v>
      </c>
      <c r="V2775">
        <v>6.3</v>
      </c>
      <c r="W2775">
        <v>4.0999999999999996</v>
      </c>
      <c r="X2775" t="s">
        <v>57</v>
      </c>
    </row>
    <row r="2776" spans="2:24" x14ac:dyDescent="0.3">
      <c r="B2776" t="s">
        <v>2869</v>
      </c>
      <c r="C2776" t="s">
        <v>71</v>
      </c>
      <c r="D2776" t="s">
        <v>6</v>
      </c>
      <c r="E2776" t="s">
        <v>17</v>
      </c>
      <c r="F2776" t="s">
        <v>12</v>
      </c>
      <c r="G2776" t="s">
        <v>115</v>
      </c>
      <c r="H2776">
        <v>2024</v>
      </c>
      <c r="I2776">
        <v>6663</v>
      </c>
      <c r="J2776">
        <v>2.2000000000000002</v>
      </c>
      <c r="K2776" t="s">
        <v>21</v>
      </c>
      <c r="L2776">
        <v>10.199999999999999</v>
      </c>
      <c r="M2776">
        <v>9.6</v>
      </c>
      <c r="N2776">
        <v>1787</v>
      </c>
      <c r="O2776" t="s">
        <v>55</v>
      </c>
      <c r="P2776">
        <v>36.200000000000003</v>
      </c>
      <c r="Q2776" t="s">
        <v>76</v>
      </c>
      <c r="R2776">
        <v>-39.200000000000003</v>
      </c>
      <c r="S2776">
        <v>58.8</v>
      </c>
      <c r="T2776">
        <v>28.1</v>
      </c>
      <c r="U2776">
        <v>8.4</v>
      </c>
      <c r="V2776">
        <v>6.8</v>
      </c>
      <c r="W2776">
        <v>8</v>
      </c>
      <c r="X2776" t="s">
        <v>116</v>
      </c>
    </row>
    <row r="2777" spans="2:24" x14ac:dyDescent="0.3">
      <c r="B2777" t="s">
        <v>2870</v>
      </c>
      <c r="C2777" t="s">
        <v>59</v>
      </c>
      <c r="D2777" t="s">
        <v>4</v>
      </c>
      <c r="E2777" t="s">
        <v>16</v>
      </c>
      <c r="F2777" t="s">
        <v>11</v>
      </c>
      <c r="G2777" t="s">
        <v>60</v>
      </c>
      <c r="H2777">
        <v>2025</v>
      </c>
      <c r="I2777">
        <v>518</v>
      </c>
      <c r="J2777">
        <v>3.7</v>
      </c>
      <c r="K2777" t="s">
        <v>24</v>
      </c>
      <c r="L2777">
        <v>8</v>
      </c>
      <c r="M2777">
        <v>9.3000000000000007</v>
      </c>
      <c r="N2777">
        <v>1707</v>
      </c>
      <c r="O2777" t="s">
        <v>64</v>
      </c>
      <c r="P2777">
        <v>71.099999999999994</v>
      </c>
      <c r="Q2777" t="s">
        <v>79</v>
      </c>
      <c r="R2777">
        <v>29.2</v>
      </c>
      <c r="S2777">
        <v>16.5</v>
      </c>
      <c r="T2777">
        <v>9.6</v>
      </c>
      <c r="U2777">
        <v>8.8000000000000007</v>
      </c>
      <c r="V2777">
        <v>8.8000000000000007</v>
      </c>
      <c r="W2777">
        <v>6.4</v>
      </c>
      <c r="X2777" t="s">
        <v>57</v>
      </c>
    </row>
    <row r="2778" spans="2:24" x14ac:dyDescent="0.3">
      <c r="B2778" t="s">
        <v>2871</v>
      </c>
      <c r="C2778" t="s">
        <v>81</v>
      </c>
      <c r="D2778" t="s">
        <v>5</v>
      </c>
      <c r="E2778" t="s">
        <v>17</v>
      </c>
      <c r="F2778" t="s">
        <v>12</v>
      </c>
      <c r="G2778" t="s">
        <v>98</v>
      </c>
      <c r="H2778">
        <v>2026</v>
      </c>
      <c r="I2778">
        <v>578</v>
      </c>
      <c r="J2778">
        <v>4.8</v>
      </c>
      <c r="K2778" t="s">
        <v>21</v>
      </c>
      <c r="L2778">
        <v>8.1999999999999993</v>
      </c>
      <c r="M2778">
        <v>7.7</v>
      </c>
      <c r="N2778">
        <v>903</v>
      </c>
      <c r="O2778" t="s">
        <v>55</v>
      </c>
      <c r="P2778">
        <v>86.1</v>
      </c>
      <c r="Q2778" t="s">
        <v>56</v>
      </c>
      <c r="R2778">
        <v>89.7</v>
      </c>
      <c r="S2778">
        <v>-19.7</v>
      </c>
      <c r="T2778">
        <v>-10.199999999999999</v>
      </c>
      <c r="U2778">
        <v>9.6</v>
      </c>
      <c r="V2778">
        <v>7.9</v>
      </c>
      <c r="W2778">
        <v>5.2</v>
      </c>
      <c r="X2778" t="s">
        <v>57</v>
      </c>
    </row>
    <row r="2779" spans="2:24" x14ac:dyDescent="0.3">
      <c r="B2779" t="s">
        <v>2872</v>
      </c>
      <c r="C2779" t="s">
        <v>106</v>
      </c>
      <c r="D2779" t="s">
        <v>2</v>
      </c>
      <c r="E2779" t="s">
        <v>19</v>
      </c>
      <c r="F2779" t="s">
        <v>10</v>
      </c>
      <c r="G2779" t="s">
        <v>101</v>
      </c>
      <c r="H2779">
        <v>2026</v>
      </c>
      <c r="I2779">
        <v>11554</v>
      </c>
      <c r="J2779">
        <v>17.5</v>
      </c>
      <c r="K2779" t="s">
        <v>23</v>
      </c>
      <c r="L2779">
        <v>11.1</v>
      </c>
      <c r="M2779">
        <v>10</v>
      </c>
      <c r="N2779">
        <v>9074</v>
      </c>
      <c r="O2779" t="s">
        <v>118</v>
      </c>
      <c r="P2779">
        <v>23.2</v>
      </c>
      <c r="Q2779" t="s">
        <v>76</v>
      </c>
      <c r="R2779">
        <v>60.2</v>
      </c>
      <c r="S2779">
        <v>42.3</v>
      </c>
      <c r="T2779">
        <v>10.8</v>
      </c>
      <c r="U2779">
        <v>9.9</v>
      </c>
      <c r="V2779">
        <v>7.7</v>
      </c>
      <c r="W2779">
        <v>5.3</v>
      </c>
      <c r="X2779" t="s">
        <v>66</v>
      </c>
    </row>
    <row r="2780" spans="2:24" x14ac:dyDescent="0.3">
      <c r="B2780" t="s">
        <v>2873</v>
      </c>
      <c r="C2780" t="s">
        <v>27</v>
      </c>
      <c r="D2780" t="s">
        <v>2</v>
      </c>
      <c r="E2780" t="s">
        <v>16</v>
      </c>
      <c r="F2780" t="s">
        <v>11</v>
      </c>
      <c r="G2780" t="s">
        <v>74</v>
      </c>
      <c r="H2780">
        <v>2024</v>
      </c>
      <c r="I2780">
        <v>1512</v>
      </c>
      <c r="J2780">
        <v>8.1</v>
      </c>
      <c r="K2780" t="s">
        <v>21</v>
      </c>
      <c r="L2780">
        <v>9.6999999999999993</v>
      </c>
      <c r="M2780">
        <v>10</v>
      </c>
      <c r="N2780">
        <v>9597</v>
      </c>
      <c r="O2780" t="s">
        <v>55</v>
      </c>
      <c r="P2780">
        <v>27.8</v>
      </c>
      <c r="Q2780" t="s">
        <v>76</v>
      </c>
      <c r="R2780">
        <v>-9</v>
      </c>
      <c r="S2780">
        <v>-14.9</v>
      </c>
      <c r="T2780">
        <v>-14</v>
      </c>
      <c r="U2780">
        <v>7.5</v>
      </c>
      <c r="V2780">
        <v>5.4</v>
      </c>
      <c r="W2780">
        <v>4.7</v>
      </c>
      <c r="X2780" t="s">
        <v>116</v>
      </c>
    </row>
    <row r="2781" spans="2:24" x14ac:dyDescent="0.3">
      <c r="B2781" t="s">
        <v>2874</v>
      </c>
      <c r="C2781" t="s">
        <v>139</v>
      </c>
      <c r="D2781" t="s">
        <v>8</v>
      </c>
      <c r="E2781" t="s">
        <v>19</v>
      </c>
      <c r="F2781" t="s">
        <v>10</v>
      </c>
      <c r="G2781" t="s">
        <v>131</v>
      </c>
      <c r="H2781">
        <v>2024</v>
      </c>
      <c r="I2781">
        <v>10627</v>
      </c>
      <c r="J2781">
        <v>15.6</v>
      </c>
      <c r="K2781" t="s">
        <v>22</v>
      </c>
      <c r="L2781">
        <v>5.9</v>
      </c>
      <c r="M2781">
        <v>10</v>
      </c>
      <c r="N2781">
        <v>767</v>
      </c>
      <c r="O2781" t="s">
        <v>64</v>
      </c>
      <c r="P2781">
        <v>89.8</v>
      </c>
      <c r="Q2781" t="s">
        <v>65</v>
      </c>
      <c r="R2781">
        <v>79.7</v>
      </c>
      <c r="S2781">
        <v>29.2</v>
      </c>
      <c r="T2781">
        <v>10.1</v>
      </c>
      <c r="U2781">
        <v>6.9</v>
      </c>
      <c r="V2781">
        <v>7.1</v>
      </c>
      <c r="W2781">
        <v>6</v>
      </c>
      <c r="X2781" t="s">
        <v>66</v>
      </c>
    </row>
    <row r="2782" spans="2:24" x14ac:dyDescent="0.3">
      <c r="B2782" t="s">
        <v>2875</v>
      </c>
      <c r="C2782" t="s">
        <v>137</v>
      </c>
      <c r="D2782" t="s">
        <v>4</v>
      </c>
      <c r="E2782" t="s">
        <v>15</v>
      </c>
      <c r="F2782" t="s">
        <v>12</v>
      </c>
      <c r="G2782" t="s">
        <v>60</v>
      </c>
      <c r="H2782">
        <v>2025</v>
      </c>
      <c r="I2782">
        <v>1727</v>
      </c>
      <c r="J2782">
        <v>16.8</v>
      </c>
      <c r="K2782" t="s">
        <v>21</v>
      </c>
      <c r="L2782">
        <v>4.9000000000000004</v>
      </c>
      <c r="M2782">
        <v>10</v>
      </c>
      <c r="N2782">
        <v>932</v>
      </c>
      <c r="O2782" t="s">
        <v>64</v>
      </c>
      <c r="P2782">
        <v>89</v>
      </c>
      <c r="Q2782" t="s">
        <v>76</v>
      </c>
      <c r="R2782">
        <v>39.6</v>
      </c>
      <c r="S2782">
        <v>26.3</v>
      </c>
      <c r="T2782">
        <v>4.0999999999999996</v>
      </c>
      <c r="U2782">
        <v>8</v>
      </c>
      <c r="V2782">
        <v>7.7</v>
      </c>
      <c r="W2782">
        <v>5</v>
      </c>
      <c r="X2782" t="s">
        <v>116</v>
      </c>
    </row>
    <row r="2783" spans="2:24" x14ac:dyDescent="0.3">
      <c r="B2783" t="s">
        <v>2876</v>
      </c>
      <c r="C2783" t="s">
        <v>68</v>
      </c>
      <c r="D2783" t="s">
        <v>8</v>
      </c>
      <c r="E2783" t="s">
        <v>14</v>
      </c>
      <c r="F2783" t="s">
        <v>10</v>
      </c>
      <c r="G2783" t="s">
        <v>78</v>
      </c>
      <c r="H2783">
        <v>2026</v>
      </c>
      <c r="I2783">
        <v>1046</v>
      </c>
      <c r="J2783">
        <v>3.3</v>
      </c>
      <c r="K2783" t="s">
        <v>21</v>
      </c>
      <c r="L2783">
        <v>5.7</v>
      </c>
      <c r="M2783">
        <v>4.5</v>
      </c>
      <c r="N2783">
        <v>3894</v>
      </c>
      <c r="O2783" t="s">
        <v>55</v>
      </c>
      <c r="P2783">
        <v>86.1</v>
      </c>
      <c r="Q2783" t="s">
        <v>86</v>
      </c>
      <c r="R2783">
        <v>71.2</v>
      </c>
      <c r="S2783">
        <v>18.399999999999999</v>
      </c>
      <c r="T2783">
        <v>7.1</v>
      </c>
      <c r="U2783">
        <v>5.6</v>
      </c>
      <c r="V2783">
        <v>6.2</v>
      </c>
      <c r="W2783">
        <v>6.4</v>
      </c>
      <c r="X2783" t="s">
        <v>57</v>
      </c>
    </row>
    <row r="2784" spans="2:24" x14ac:dyDescent="0.3">
      <c r="B2784" t="s">
        <v>2877</v>
      </c>
      <c r="C2784" t="s">
        <v>73</v>
      </c>
      <c r="D2784" t="s">
        <v>2</v>
      </c>
      <c r="E2784" t="s">
        <v>14</v>
      </c>
      <c r="F2784" t="s">
        <v>10</v>
      </c>
      <c r="G2784" t="s">
        <v>112</v>
      </c>
      <c r="H2784">
        <v>2024</v>
      </c>
      <c r="I2784">
        <v>2067</v>
      </c>
      <c r="J2784">
        <v>2.2999999999999998</v>
      </c>
      <c r="K2784" t="s">
        <v>22</v>
      </c>
      <c r="L2784">
        <v>3.7</v>
      </c>
      <c r="M2784">
        <v>3.3</v>
      </c>
      <c r="N2784">
        <v>8415</v>
      </c>
      <c r="O2784" t="s">
        <v>55</v>
      </c>
      <c r="P2784">
        <v>52.5</v>
      </c>
      <c r="Q2784" t="s">
        <v>76</v>
      </c>
      <c r="R2784">
        <v>34.700000000000003</v>
      </c>
      <c r="S2784">
        <v>40.5</v>
      </c>
      <c r="T2784">
        <v>21.2</v>
      </c>
      <c r="U2784">
        <v>2.7</v>
      </c>
      <c r="V2784">
        <v>9.1</v>
      </c>
      <c r="W2784">
        <v>8.9</v>
      </c>
      <c r="X2784" t="s">
        <v>57</v>
      </c>
    </row>
    <row r="2785" spans="2:24" x14ac:dyDescent="0.3">
      <c r="B2785" t="s">
        <v>2878</v>
      </c>
      <c r="C2785" t="s">
        <v>122</v>
      </c>
      <c r="D2785" t="s">
        <v>2</v>
      </c>
      <c r="E2785" t="s">
        <v>18</v>
      </c>
      <c r="F2785" t="s">
        <v>9</v>
      </c>
      <c r="G2785" t="s">
        <v>115</v>
      </c>
      <c r="H2785">
        <v>2026</v>
      </c>
      <c r="I2785">
        <v>2261</v>
      </c>
      <c r="J2785">
        <v>5.2</v>
      </c>
      <c r="K2785" t="s">
        <v>25</v>
      </c>
      <c r="L2785">
        <v>13.2</v>
      </c>
      <c r="M2785">
        <v>10</v>
      </c>
      <c r="N2785">
        <v>8754</v>
      </c>
      <c r="O2785" t="s">
        <v>118</v>
      </c>
      <c r="P2785">
        <v>55.1</v>
      </c>
      <c r="Q2785" t="s">
        <v>56</v>
      </c>
      <c r="R2785">
        <v>-8.8000000000000007</v>
      </c>
      <c r="S2785">
        <v>47.3</v>
      </c>
      <c r="T2785">
        <v>22.3</v>
      </c>
      <c r="U2785">
        <v>9.4</v>
      </c>
      <c r="V2785">
        <v>8.3000000000000007</v>
      </c>
      <c r="W2785">
        <v>7.7</v>
      </c>
      <c r="X2785" t="s">
        <v>57</v>
      </c>
    </row>
    <row r="2786" spans="2:24" x14ac:dyDescent="0.3">
      <c r="B2786" t="s">
        <v>2879</v>
      </c>
      <c r="C2786" t="s">
        <v>59</v>
      </c>
      <c r="D2786" t="s">
        <v>4</v>
      </c>
      <c r="E2786" t="s">
        <v>18</v>
      </c>
      <c r="F2786" t="s">
        <v>10</v>
      </c>
      <c r="G2786" t="s">
        <v>60</v>
      </c>
      <c r="H2786">
        <v>2026</v>
      </c>
      <c r="I2786">
        <v>9412</v>
      </c>
      <c r="J2786">
        <v>15.4</v>
      </c>
      <c r="K2786" t="s">
        <v>23</v>
      </c>
      <c r="L2786">
        <v>5</v>
      </c>
      <c r="M2786">
        <v>10</v>
      </c>
      <c r="N2786">
        <v>139</v>
      </c>
      <c r="O2786" t="s">
        <v>64</v>
      </c>
      <c r="P2786">
        <v>10.1</v>
      </c>
      <c r="Q2786" t="s">
        <v>79</v>
      </c>
      <c r="R2786">
        <v>-29.1</v>
      </c>
      <c r="S2786">
        <v>18.899999999999999</v>
      </c>
      <c r="T2786">
        <v>-3</v>
      </c>
      <c r="U2786">
        <v>5.0999999999999996</v>
      </c>
      <c r="V2786">
        <v>5.9</v>
      </c>
      <c r="W2786">
        <v>4.0999999999999996</v>
      </c>
      <c r="X2786" t="s">
        <v>66</v>
      </c>
    </row>
    <row r="2787" spans="2:24" x14ac:dyDescent="0.3">
      <c r="B2787" t="s">
        <v>2880</v>
      </c>
      <c r="C2787" t="s">
        <v>53</v>
      </c>
      <c r="D2787" t="s">
        <v>3</v>
      </c>
      <c r="E2787" t="s">
        <v>16</v>
      </c>
      <c r="F2787" t="s">
        <v>10</v>
      </c>
      <c r="G2787" t="s">
        <v>78</v>
      </c>
      <c r="H2787">
        <v>2024</v>
      </c>
      <c r="I2787">
        <v>1591</v>
      </c>
      <c r="J2787">
        <v>1.5</v>
      </c>
      <c r="K2787" t="s">
        <v>22</v>
      </c>
      <c r="L2787">
        <v>2.8</v>
      </c>
      <c r="M2787">
        <v>7.8</v>
      </c>
      <c r="N2787">
        <v>2158</v>
      </c>
      <c r="O2787" t="s">
        <v>55</v>
      </c>
      <c r="P2787">
        <v>77.900000000000006</v>
      </c>
      <c r="Q2787" t="s">
        <v>65</v>
      </c>
      <c r="R2787">
        <v>87.6</v>
      </c>
      <c r="S2787">
        <v>58</v>
      </c>
      <c r="T2787">
        <v>32.1</v>
      </c>
      <c r="U2787">
        <v>4.7</v>
      </c>
      <c r="V2787">
        <v>9.1999999999999993</v>
      </c>
      <c r="W2787">
        <v>7.2</v>
      </c>
      <c r="X2787" t="s">
        <v>57</v>
      </c>
    </row>
    <row r="2788" spans="2:24" x14ac:dyDescent="0.3">
      <c r="B2788" t="s">
        <v>2881</v>
      </c>
      <c r="C2788" t="s">
        <v>71</v>
      </c>
      <c r="D2788" t="s">
        <v>5</v>
      </c>
      <c r="E2788" t="s">
        <v>14</v>
      </c>
      <c r="F2788" t="s">
        <v>9</v>
      </c>
      <c r="G2788" t="s">
        <v>101</v>
      </c>
      <c r="H2788">
        <v>2024</v>
      </c>
      <c r="I2788">
        <v>47</v>
      </c>
      <c r="J2788">
        <v>5.9</v>
      </c>
      <c r="K2788" t="s">
        <v>23</v>
      </c>
      <c r="L2788">
        <v>13.3</v>
      </c>
      <c r="M2788">
        <v>10</v>
      </c>
      <c r="N2788">
        <v>869</v>
      </c>
      <c r="O2788" t="s">
        <v>55</v>
      </c>
      <c r="P2788">
        <v>24.6</v>
      </c>
      <c r="Q2788" t="s">
        <v>79</v>
      </c>
      <c r="R2788">
        <v>-1.2</v>
      </c>
      <c r="S2788">
        <v>-5.6</v>
      </c>
      <c r="T2788">
        <v>0.9</v>
      </c>
      <c r="U2788">
        <v>9.5</v>
      </c>
      <c r="V2788">
        <v>6.2</v>
      </c>
      <c r="W2788">
        <v>4.8</v>
      </c>
      <c r="X2788" t="s">
        <v>57</v>
      </c>
    </row>
    <row r="2789" spans="2:24" x14ac:dyDescent="0.3">
      <c r="B2789" t="s">
        <v>2882</v>
      </c>
      <c r="C2789" t="s">
        <v>142</v>
      </c>
      <c r="D2789" t="s">
        <v>2</v>
      </c>
      <c r="E2789" t="s">
        <v>14</v>
      </c>
      <c r="F2789" t="s">
        <v>9</v>
      </c>
      <c r="G2789" t="s">
        <v>74</v>
      </c>
      <c r="H2789">
        <v>2024</v>
      </c>
      <c r="I2789">
        <v>18340</v>
      </c>
      <c r="J2789">
        <v>20.100000000000001</v>
      </c>
      <c r="K2789" t="s">
        <v>23</v>
      </c>
      <c r="L2789">
        <v>7.2</v>
      </c>
      <c r="M2789">
        <v>10</v>
      </c>
      <c r="N2789">
        <v>5389</v>
      </c>
      <c r="O2789" t="s">
        <v>64</v>
      </c>
      <c r="P2789">
        <v>26.4</v>
      </c>
      <c r="Q2789" t="s">
        <v>56</v>
      </c>
      <c r="R2789">
        <v>76.400000000000006</v>
      </c>
      <c r="S2789">
        <v>23.8</v>
      </c>
      <c r="T2789">
        <v>2.4</v>
      </c>
      <c r="U2789">
        <v>9.1</v>
      </c>
      <c r="V2789">
        <v>6.4</v>
      </c>
      <c r="W2789">
        <v>4.2</v>
      </c>
      <c r="X2789" t="s">
        <v>66</v>
      </c>
    </row>
    <row r="2790" spans="2:24" x14ac:dyDescent="0.3">
      <c r="B2790" t="s">
        <v>2883</v>
      </c>
      <c r="C2790" t="s">
        <v>159</v>
      </c>
      <c r="D2790" t="s">
        <v>7</v>
      </c>
      <c r="E2790" t="s">
        <v>16</v>
      </c>
      <c r="F2790" t="s">
        <v>9</v>
      </c>
      <c r="G2790" t="s">
        <v>101</v>
      </c>
      <c r="H2790">
        <v>2026</v>
      </c>
      <c r="I2790">
        <v>3622</v>
      </c>
      <c r="J2790">
        <v>5.0999999999999996</v>
      </c>
      <c r="K2790" t="s">
        <v>23</v>
      </c>
      <c r="L2790">
        <v>7</v>
      </c>
      <c r="M2790">
        <v>3.6</v>
      </c>
      <c r="N2790">
        <v>5677</v>
      </c>
      <c r="O2790" t="s">
        <v>55</v>
      </c>
      <c r="P2790">
        <v>13.9</v>
      </c>
      <c r="Q2790" t="s">
        <v>56</v>
      </c>
      <c r="R2790">
        <v>42.1</v>
      </c>
      <c r="S2790">
        <v>41.3</v>
      </c>
      <c r="T2790">
        <v>19.600000000000001</v>
      </c>
      <c r="U2790">
        <v>7.1</v>
      </c>
      <c r="V2790">
        <v>7.6</v>
      </c>
      <c r="W2790">
        <v>7.5</v>
      </c>
      <c r="X2790" t="s">
        <v>116</v>
      </c>
    </row>
    <row r="2791" spans="2:24" x14ac:dyDescent="0.3">
      <c r="B2791" t="s">
        <v>2884</v>
      </c>
      <c r="C2791" t="s">
        <v>142</v>
      </c>
      <c r="D2791" t="s">
        <v>2</v>
      </c>
      <c r="E2791" t="s">
        <v>16</v>
      </c>
      <c r="F2791" t="s">
        <v>12</v>
      </c>
      <c r="G2791" t="s">
        <v>54</v>
      </c>
      <c r="H2791">
        <v>2026</v>
      </c>
      <c r="I2791">
        <v>11537</v>
      </c>
      <c r="J2791">
        <v>8.4</v>
      </c>
      <c r="K2791" t="s">
        <v>25</v>
      </c>
      <c r="L2791">
        <v>6</v>
      </c>
      <c r="M2791">
        <v>9.8000000000000007</v>
      </c>
      <c r="N2791">
        <v>8545</v>
      </c>
      <c r="O2791" t="s">
        <v>118</v>
      </c>
      <c r="P2791">
        <v>74.5</v>
      </c>
      <c r="Q2791" t="s">
        <v>56</v>
      </c>
      <c r="R2791">
        <v>42.2</v>
      </c>
      <c r="S2791">
        <v>23.2</v>
      </c>
      <c r="T2791">
        <v>17.899999999999999</v>
      </c>
      <c r="U2791">
        <v>8.9</v>
      </c>
      <c r="V2791">
        <v>8.1</v>
      </c>
      <c r="W2791">
        <v>6.8</v>
      </c>
      <c r="X2791" t="s">
        <v>66</v>
      </c>
    </row>
    <row r="2792" spans="2:24" x14ac:dyDescent="0.3">
      <c r="B2792" t="s">
        <v>2885</v>
      </c>
      <c r="C2792" t="s">
        <v>90</v>
      </c>
      <c r="D2792" t="s">
        <v>5</v>
      </c>
      <c r="E2792" t="s">
        <v>17</v>
      </c>
      <c r="F2792" t="s">
        <v>10</v>
      </c>
      <c r="G2792" t="s">
        <v>104</v>
      </c>
      <c r="H2792">
        <v>2025</v>
      </c>
      <c r="I2792">
        <v>2733</v>
      </c>
      <c r="J2792">
        <v>14</v>
      </c>
      <c r="K2792" t="s">
        <v>22</v>
      </c>
      <c r="L2792">
        <v>8.5</v>
      </c>
      <c r="M2792">
        <v>10</v>
      </c>
      <c r="N2792">
        <v>3686</v>
      </c>
      <c r="O2792" t="s">
        <v>55</v>
      </c>
      <c r="P2792">
        <v>88.9</v>
      </c>
      <c r="Q2792" t="s">
        <v>86</v>
      </c>
      <c r="R2792">
        <v>79.900000000000006</v>
      </c>
      <c r="S2792">
        <v>33</v>
      </c>
      <c r="T2792">
        <v>9</v>
      </c>
      <c r="U2792">
        <v>8.4</v>
      </c>
      <c r="V2792">
        <v>6.8</v>
      </c>
      <c r="W2792">
        <v>4.7</v>
      </c>
      <c r="X2792" t="s">
        <v>116</v>
      </c>
    </row>
    <row r="2793" spans="2:24" x14ac:dyDescent="0.3">
      <c r="B2793" t="s">
        <v>2886</v>
      </c>
      <c r="C2793" t="s">
        <v>71</v>
      </c>
      <c r="D2793" t="s">
        <v>6</v>
      </c>
      <c r="E2793" t="s">
        <v>18</v>
      </c>
      <c r="F2793" t="s">
        <v>10</v>
      </c>
      <c r="G2793" t="s">
        <v>115</v>
      </c>
      <c r="H2793">
        <v>2024</v>
      </c>
      <c r="I2793">
        <v>6417</v>
      </c>
      <c r="J2793">
        <v>13.5</v>
      </c>
      <c r="K2793" t="s">
        <v>25</v>
      </c>
      <c r="L2793">
        <v>7.3</v>
      </c>
      <c r="M2793">
        <v>10</v>
      </c>
      <c r="N2793">
        <v>3362</v>
      </c>
      <c r="O2793" t="s">
        <v>64</v>
      </c>
      <c r="P2793">
        <v>71.900000000000006</v>
      </c>
      <c r="Q2793" t="s">
        <v>84</v>
      </c>
      <c r="R2793">
        <v>82.3</v>
      </c>
      <c r="S2793">
        <v>2.7</v>
      </c>
      <c r="T2793">
        <v>0.5</v>
      </c>
      <c r="U2793">
        <v>5.2</v>
      </c>
      <c r="V2793">
        <v>6.9</v>
      </c>
      <c r="W2793">
        <v>4.2</v>
      </c>
      <c r="X2793" t="s">
        <v>116</v>
      </c>
    </row>
    <row r="2794" spans="2:24" x14ac:dyDescent="0.3">
      <c r="B2794" t="s">
        <v>2887</v>
      </c>
      <c r="C2794" t="s">
        <v>73</v>
      </c>
      <c r="D2794" t="s">
        <v>3</v>
      </c>
      <c r="E2794" t="s">
        <v>14</v>
      </c>
      <c r="F2794" t="s">
        <v>10</v>
      </c>
      <c r="G2794" t="s">
        <v>112</v>
      </c>
      <c r="H2794">
        <v>2024</v>
      </c>
      <c r="I2794">
        <v>777</v>
      </c>
      <c r="J2794">
        <v>7.1</v>
      </c>
      <c r="K2794" t="s">
        <v>24</v>
      </c>
      <c r="L2794">
        <v>11.1</v>
      </c>
      <c r="M2794">
        <v>10</v>
      </c>
      <c r="N2794">
        <v>366</v>
      </c>
      <c r="O2794" t="s">
        <v>64</v>
      </c>
      <c r="P2794">
        <v>20.2</v>
      </c>
      <c r="Q2794" t="s">
        <v>79</v>
      </c>
      <c r="R2794">
        <v>11.6</v>
      </c>
      <c r="S2794">
        <v>30.9</v>
      </c>
      <c r="T2794">
        <v>16.2</v>
      </c>
      <c r="U2794">
        <v>8.3000000000000007</v>
      </c>
      <c r="V2794">
        <v>5.8</v>
      </c>
      <c r="W2794">
        <v>6.5</v>
      </c>
      <c r="X2794" t="s">
        <v>57</v>
      </c>
    </row>
    <row r="2795" spans="2:24" x14ac:dyDescent="0.3">
      <c r="B2795" t="s">
        <v>2888</v>
      </c>
      <c r="C2795" t="s">
        <v>142</v>
      </c>
      <c r="D2795" t="s">
        <v>2</v>
      </c>
      <c r="E2795" t="s">
        <v>14</v>
      </c>
      <c r="F2795" t="s">
        <v>9</v>
      </c>
      <c r="G2795" t="s">
        <v>63</v>
      </c>
      <c r="H2795">
        <v>2026</v>
      </c>
      <c r="I2795">
        <v>19810</v>
      </c>
      <c r="J2795">
        <v>16.8</v>
      </c>
      <c r="K2795" t="s">
        <v>24</v>
      </c>
      <c r="L2795">
        <v>5.5</v>
      </c>
      <c r="M2795">
        <v>8.9</v>
      </c>
      <c r="N2795">
        <v>3716</v>
      </c>
      <c r="O2795" t="s">
        <v>64</v>
      </c>
      <c r="P2795">
        <v>16</v>
      </c>
      <c r="Q2795" t="s">
        <v>56</v>
      </c>
      <c r="R2795">
        <v>28.2</v>
      </c>
      <c r="S2795">
        <v>33.700000000000003</v>
      </c>
      <c r="T2795">
        <v>8.9</v>
      </c>
      <c r="U2795">
        <v>3.3</v>
      </c>
      <c r="V2795">
        <v>6</v>
      </c>
      <c r="W2795">
        <v>6.3</v>
      </c>
      <c r="X2795" t="s">
        <v>66</v>
      </c>
    </row>
    <row r="2796" spans="2:24" x14ac:dyDescent="0.3">
      <c r="B2796" t="s">
        <v>2889</v>
      </c>
      <c r="C2796" t="s">
        <v>59</v>
      </c>
      <c r="D2796" t="s">
        <v>4</v>
      </c>
      <c r="E2796" t="s">
        <v>14</v>
      </c>
      <c r="F2796" t="s">
        <v>11</v>
      </c>
      <c r="G2796" t="s">
        <v>131</v>
      </c>
      <c r="H2796">
        <v>2025</v>
      </c>
      <c r="I2796">
        <v>11422</v>
      </c>
      <c r="J2796">
        <v>24.9</v>
      </c>
      <c r="K2796" t="s">
        <v>22</v>
      </c>
      <c r="L2796">
        <v>10.1</v>
      </c>
      <c r="M2796">
        <v>10</v>
      </c>
      <c r="N2796">
        <v>1867</v>
      </c>
      <c r="O2796" t="s">
        <v>64</v>
      </c>
      <c r="P2796">
        <v>84.9</v>
      </c>
      <c r="Q2796" t="s">
        <v>88</v>
      </c>
      <c r="R2796">
        <v>64.7</v>
      </c>
      <c r="S2796">
        <v>55.7</v>
      </c>
      <c r="T2796">
        <v>23</v>
      </c>
      <c r="U2796">
        <v>8.1999999999999993</v>
      </c>
      <c r="V2796">
        <v>5.3</v>
      </c>
      <c r="W2796">
        <v>6</v>
      </c>
      <c r="X2796" t="s">
        <v>66</v>
      </c>
    </row>
    <row r="2797" spans="2:24" x14ac:dyDescent="0.3">
      <c r="B2797" t="s">
        <v>2890</v>
      </c>
      <c r="C2797" t="s">
        <v>83</v>
      </c>
      <c r="D2797" t="s">
        <v>4</v>
      </c>
      <c r="E2797" t="s">
        <v>16</v>
      </c>
      <c r="F2797" t="s">
        <v>11</v>
      </c>
      <c r="G2797" t="s">
        <v>104</v>
      </c>
      <c r="H2797">
        <v>2025</v>
      </c>
      <c r="I2797">
        <v>2308</v>
      </c>
      <c r="J2797">
        <v>2.2000000000000002</v>
      </c>
      <c r="K2797" t="s">
        <v>24</v>
      </c>
      <c r="L2797">
        <v>9.6</v>
      </c>
      <c r="M2797">
        <v>10</v>
      </c>
      <c r="N2797">
        <v>5534</v>
      </c>
      <c r="O2797" t="s">
        <v>55</v>
      </c>
      <c r="P2797">
        <v>35</v>
      </c>
      <c r="Q2797" t="s">
        <v>84</v>
      </c>
      <c r="R2797">
        <v>44.1</v>
      </c>
      <c r="S2797">
        <v>23.2</v>
      </c>
      <c r="T2797">
        <v>16.3</v>
      </c>
      <c r="U2797">
        <v>10</v>
      </c>
      <c r="V2797">
        <v>8.6</v>
      </c>
      <c r="W2797">
        <v>5.8</v>
      </c>
      <c r="X2797" t="s">
        <v>57</v>
      </c>
    </row>
    <row r="2798" spans="2:24" x14ac:dyDescent="0.3">
      <c r="B2798" t="s">
        <v>2891</v>
      </c>
      <c r="C2798" t="s">
        <v>73</v>
      </c>
      <c r="D2798" t="s">
        <v>2</v>
      </c>
      <c r="E2798" t="s">
        <v>15</v>
      </c>
      <c r="F2798" t="s">
        <v>10</v>
      </c>
      <c r="G2798" t="s">
        <v>60</v>
      </c>
      <c r="H2798">
        <v>2024</v>
      </c>
      <c r="I2798">
        <v>5652</v>
      </c>
      <c r="J2798">
        <v>10.5</v>
      </c>
      <c r="K2798" t="s">
        <v>24</v>
      </c>
      <c r="L2798">
        <v>3.5</v>
      </c>
      <c r="M2798">
        <v>2.9</v>
      </c>
      <c r="N2798">
        <v>9705</v>
      </c>
      <c r="O2798" t="s">
        <v>55</v>
      </c>
      <c r="P2798">
        <v>50</v>
      </c>
      <c r="Q2798" t="s">
        <v>76</v>
      </c>
      <c r="R2798">
        <v>78.7</v>
      </c>
      <c r="S2798">
        <v>32.5</v>
      </c>
      <c r="T2798">
        <v>13.3</v>
      </c>
      <c r="U2798">
        <v>2.8</v>
      </c>
      <c r="V2798">
        <v>5.4</v>
      </c>
      <c r="W2798">
        <v>7.8</v>
      </c>
      <c r="X2798" t="s">
        <v>116</v>
      </c>
    </row>
    <row r="2799" spans="2:24" x14ac:dyDescent="0.3">
      <c r="B2799" t="s">
        <v>2892</v>
      </c>
      <c r="C2799" t="s">
        <v>106</v>
      </c>
      <c r="D2799" t="s">
        <v>2</v>
      </c>
      <c r="E2799" t="s">
        <v>19</v>
      </c>
      <c r="F2799" t="s">
        <v>12</v>
      </c>
      <c r="G2799" t="s">
        <v>131</v>
      </c>
      <c r="H2799">
        <v>2026</v>
      </c>
      <c r="I2799">
        <v>12657</v>
      </c>
      <c r="J2799">
        <v>15.5</v>
      </c>
      <c r="K2799" t="s">
        <v>22</v>
      </c>
      <c r="L2799">
        <v>6</v>
      </c>
      <c r="M2799">
        <v>10</v>
      </c>
      <c r="N2799">
        <v>3080</v>
      </c>
      <c r="O2799" t="s">
        <v>55</v>
      </c>
      <c r="P2799">
        <v>35.6</v>
      </c>
      <c r="Q2799" t="s">
        <v>76</v>
      </c>
      <c r="R2799">
        <v>-16.899999999999999</v>
      </c>
      <c r="S2799">
        <v>-13.5</v>
      </c>
      <c r="T2799">
        <v>-7.1</v>
      </c>
      <c r="U2799">
        <v>4.5</v>
      </c>
      <c r="V2799">
        <v>4.0999999999999996</v>
      </c>
      <c r="W2799">
        <v>3.6</v>
      </c>
      <c r="X2799" t="s">
        <v>66</v>
      </c>
    </row>
    <row r="2800" spans="2:24" x14ac:dyDescent="0.3">
      <c r="B2800" t="s">
        <v>2893</v>
      </c>
      <c r="C2800" t="s">
        <v>71</v>
      </c>
      <c r="D2800" t="s">
        <v>6</v>
      </c>
      <c r="E2800" t="s">
        <v>18</v>
      </c>
      <c r="F2800" t="s">
        <v>9</v>
      </c>
      <c r="G2800" t="s">
        <v>104</v>
      </c>
      <c r="H2800">
        <v>2024</v>
      </c>
      <c r="I2800">
        <v>2119</v>
      </c>
      <c r="J2800">
        <v>13.9</v>
      </c>
      <c r="K2800" t="s">
        <v>23</v>
      </c>
      <c r="L2800">
        <v>6.2</v>
      </c>
      <c r="M2800">
        <v>8.6999999999999993</v>
      </c>
      <c r="N2800">
        <v>5225</v>
      </c>
      <c r="O2800" t="s">
        <v>55</v>
      </c>
      <c r="P2800">
        <v>27.2</v>
      </c>
      <c r="Q2800" t="s">
        <v>79</v>
      </c>
      <c r="R2800">
        <v>50.8</v>
      </c>
      <c r="S2800">
        <v>53.4</v>
      </c>
      <c r="T2800">
        <v>13.9</v>
      </c>
      <c r="U2800">
        <v>4.3</v>
      </c>
      <c r="V2800">
        <v>7.1</v>
      </c>
      <c r="W2800">
        <v>5.8</v>
      </c>
      <c r="X2800" t="s">
        <v>116</v>
      </c>
    </row>
    <row r="2801" spans="2:24" x14ac:dyDescent="0.3">
      <c r="B2801" t="s">
        <v>2894</v>
      </c>
      <c r="C2801" t="s">
        <v>53</v>
      </c>
      <c r="D2801" t="s">
        <v>7</v>
      </c>
      <c r="E2801" t="s">
        <v>14</v>
      </c>
      <c r="F2801" t="s">
        <v>12</v>
      </c>
      <c r="G2801" t="s">
        <v>104</v>
      </c>
      <c r="H2801">
        <v>2025</v>
      </c>
      <c r="I2801">
        <v>2318</v>
      </c>
      <c r="J2801">
        <v>3.3</v>
      </c>
      <c r="K2801" t="s">
        <v>22</v>
      </c>
      <c r="L2801">
        <v>9</v>
      </c>
      <c r="M2801">
        <v>6.9</v>
      </c>
      <c r="N2801">
        <v>5320</v>
      </c>
      <c r="O2801" t="s">
        <v>55</v>
      </c>
      <c r="P2801">
        <v>14.8</v>
      </c>
      <c r="Q2801" t="s">
        <v>56</v>
      </c>
      <c r="R2801">
        <v>-2.2000000000000002</v>
      </c>
      <c r="S2801">
        <v>26.3</v>
      </c>
      <c r="T2801">
        <v>23.8</v>
      </c>
      <c r="U2801">
        <v>8.6</v>
      </c>
      <c r="V2801">
        <v>5.7</v>
      </c>
      <c r="W2801">
        <v>7.8</v>
      </c>
      <c r="X2801" t="s">
        <v>57</v>
      </c>
    </row>
    <row r="2802" spans="2:24" x14ac:dyDescent="0.3">
      <c r="B2802" t="s">
        <v>2895</v>
      </c>
      <c r="C2802" t="s">
        <v>53</v>
      </c>
      <c r="D2802" t="s">
        <v>4</v>
      </c>
      <c r="E2802" t="s">
        <v>15</v>
      </c>
      <c r="F2802" t="s">
        <v>10</v>
      </c>
      <c r="G2802" t="s">
        <v>131</v>
      </c>
      <c r="H2802">
        <v>2026</v>
      </c>
      <c r="I2802">
        <v>2051</v>
      </c>
      <c r="J2802">
        <v>2.9</v>
      </c>
      <c r="K2802" t="s">
        <v>23</v>
      </c>
      <c r="L2802">
        <v>5.6</v>
      </c>
      <c r="M2802">
        <v>5.2</v>
      </c>
      <c r="N2802">
        <v>1775</v>
      </c>
      <c r="O2802" t="s">
        <v>64</v>
      </c>
      <c r="P2802">
        <v>28.4</v>
      </c>
      <c r="Q2802" t="s">
        <v>56</v>
      </c>
      <c r="R2802">
        <v>-18.5</v>
      </c>
      <c r="S2802">
        <v>-5.3</v>
      </c>
      <c r="T2802">
        <v>-3.7</v>
      </c>
      <c r="U2802">
        <v>3.4</v>
      </c>
      <c r="V2802">
        <v>4.9000000000000004</v>
      </c>
      <c r="W2802">
        <v>6.7</v>
      </c>
      <c r="X2802" t="s">
        <v>57</v>
      </c>
    </row>
    <row r="2803" spans="2:24" x14ac:dyDescent="0.3">
      <c r="B2803" t="s">
        <v>2896</v>
      </c>
      <c r="C2803" t="s">
        <v>159</v>
      </c>
      <c r="D2803" t="s">
        <v>2</v>
      </c>
      <c r="E2803" t="s">
        <v>14</v>
      </c>
      <c r="F2803" t="s">
        <v>12</v>
      </c>
      <c r="G2803" t="s">
        <v>54</v>
      </c>
      <c r="H2803">
        <v>2026</v>
      </c>
      <c r="I2803">
        <v>2813</v>
      </c>
      <c r="J2803">
        <v>9.6</v>
      </c>
      <c r="K2803" t="s">
        <v>21</v>
      </c>
      <c r="L2803">
        <v>6.3</v>
      </c>
      <c r="M2803">
        <v>6.6</v>
      </c>
      <c r="N2803">
        <v>1044</v>
      </c>
      <c r="O2803" t="s">
        <v>64</v>
      </c>
      <c r="P2803">
        <v>37.6</v>
      </c>
      <c r="Q2803" t="s">
        <v>76</v>
      </c>
      <c r="R2803">
        <v>56.3</v>
      </c>
      <c r="S2803">
        <v>-1.4</v>
      </c>
      <c r="T2803">
        <v>0.3</v>
      </c>
      <c r="U2803">
        <v>6.5</v>
      </c>
      <c r="V2803">
        <v>4.9000000000000004</v>
      </c>
      <c r="W2803">
        <v>6.6</v>
      </c>
      <c r="X2803" t="s">
        <v>116</v>
      </c>
    </row>
    <row r="2804" spans="2:24" x14ac:dyDescent="0.3">
      <c r="B2804" t="s">
        <v>2897</v>
      </c>
      <c r="C2804" t="s">
        <v>90</v>
      </c>
      <c r="D2804" t="s">
        <v>3</v>
      </c>
      <c r="E2804" t="s">
        <v>17</v>
      </c>
      <c r="F2804" t="s">
        <v>10</v>
      </c>
      <c r="G2804" t="s">
        <v>112</v>
      </c>
      <c r="H2804">
        <v>2024</v>
      </c>
      <c r="I2804">
        <v>302</v>
      </c>
      <c r="J2804">
        <v>2.8</v>
      </c>
      <c r="K2804" t="s">
        <v>24</v>
      </c>
      <c r="L2804">
        <v>7.5</v>
      </c>
      <c r="M2804">
        <v>5.9</v>
      </c>
      <c r="N2804">
        <v>3741</v>
      </c>
      <c r="O2804" t="s">
        <v>55</v>
      </c>
      <c r="P2804">
        <v>13</v>
      </c>
      <c r="Q2804" t="s">
        <v>88</v>
      </c>
      <c r="R2804">
        <v>-24.3</v>
      </c>
      <c r="S2804">
        <v>13.3</v>
      </c>
      <c r="T2804">
        <v>15.4</v>
      </c>
      <c r="U2804">
        <v>8.3000000000000007</v>
      </c>
      <c r="V2804">
        <v>6.2</v>
      </c>
      <c r="W2804">
        <v>7.2</v>
      </c>
      <c r="X2804" t="s">
        <v>116</v>
      </c>
    </row>
    <row r="2805" spans="2:24" x14ac:dyDescent="0.3">
      <c r="B2805" t="s">
        <v>2898</v>
      </c>
      <c r="C2805" t="s">
        <v>90</v>
      </c>
      <c r="D2805" t="s">
        <v>6</v>
      </c>
      <c r="E2805" t="s">
        <v>17</v>
      </c>
      <c r="F2805" t="s">
        <v>9</v>
      </c>
      <c r="G2805" t="s">
        <v>115</v>
      </c>
      <c r="H2805">
        <v>2024</v>
      </c>
      <c r="I2805">
        <v>19737</v>
      </c>
      <c r="J2805">
        <v>18.399999999999999</v>
      </c>
      <c r="K2805" t="s">
        <v>24</v>
      </c>
      <c r="L2805">
        <v>3.1</v>
      </c>
      <c r="M2805">
        <v>6.1</v>
      </c>
      <c r="N2805">
        <v>1065</v>
      </c>
      <c r="O2805" t="s">
        <v>64</v>
      </c>
      <c r="P2805">
        <v>73.5</v>
      </c>
      <c r="Q2805" t="s">
        <v>79</v>
      </c>
      <c r="R2805">
        <v>-16.7</v>
      </c>
      <c r="S2805">
        <v>42.2</v>
      </c>
      <c r="T2805">
        <v>17.7</v>
      </c>
      <c r="U2805">
        <v>2.9</v>
      </c>
      <c r="V2805">
        <v>7.7</v>
      </c>
      <c r="W2805">
        <v>5.4</v>
      </c>
      <c r="X2805" t="s">
        <v>66</v>
      </c>
    </row>
    <row r="2806" spans="2:24" x14ac:dyDescent="0.3">
      <c r="B2806" t="s">
        <v>2899</v>
      </c>
      <c r="C2806" t="s">
        <v>106</v>
      </c>
      <c r="D2806" t="s">
        <v>7</v>
      </c>
      <c r="E2806" t="s">
        <v>16</v>
      </c>
      <c r="F2806" t="s">
        <v>11</v>
      </c>
      <c r="G2806" t="s">
        <v>101</v>
      </c>
      <c r="H2806">
        <v>2025</v>
      </c>
      <c r="I2806">
        <v>180</v>
      </c>
      <c r="J2806">
        <v>1.2</v>
      </c>
      <c r="K2806" t="s">
        <v>24</v>
      </c>
      <c r="L2806">
        <v>4.4000000000000004</v>
      </c>
      <c r="M2806">
        <v>3.9</v>
      </c>
      <c r="N2806">
        <v>5083</v>
      </c>
      <c r="O2806" t="s">
        <v>55</v>
      </c>
      <c r="P2806">
        <v>29.9</v>
      </c>
      <c r="Q2806" t="s">
        <v>65</v>
      </c>
      <c r="R2806">
        <v>-1.5</v>
      </c>
      <c r="S2806">
        <v>7.2</v>
      </c>
      <c r="T2806">
        <v>10.1</v>
      </c>
      <c r="U2806">
        <v>3.5</v>
      </c>
      <c r="V2806">
        <v>7.9</v>
      </c>
      <c r="W2806">
        <v>6.4</v>
      </c>
      <c r="X2806" t="s">
        <v>57</v>
      </c>
    </row>
    <row r="2807" spans="2:24" x14ac:dyDescent="0.3">
      <c r="B2807" t="s">
        <v>2900</v>
      </c>
      <c r="C2807" t="s">
        <v>83</v>
      </c>
      <c r="D2807" t="s">
        <v>4</v>
      </c>
      <c r="E2807" t="s">
        <v>14</v>
      </c>
      <c r="F2807" t="s">
        <v>12</v>
      </c>
      <c r="G2807" t="s">
        <v>98</v>
      </c>
      <c r="H2807">
        <v>2024</v>
      </c>
      <c r="I2807">
        <v>6869</v>
      </c>
      <c r="J2807">
        <v>16.8</v>
      </c>
      <c r="K2807" t="s">
        <v>24</v>
      </c>
      <c r="L2807">
        <v>2.6</v>
      </c>
      <c r="M2807">
        <v>4.4000000000000004</v>
      </c>
      <c r="N2807">
        <v>5990</v>
      </c>
      <c r="O2807" t="s">
        <v>55</v>
      </c>
      <c r="P2807">
        <v>41.1</v>
      </c>
      <c r="Q2807" t="s">
        <v>86</v>
      </c>
      <c r="R2807">
        <v>55.8</v>
      </c>
      <c r="S2807">
        <v>6.7</v>
      </c>
      <c r="T2807">
        <v>5.4</v>
      </c>
      <c r="U2807">
        <v>2</v>
      </c>
      <c r="V2807">
        <v>6.3</v>
      </c>
      <c r="W2807">
        <v>4.7</v>
      </c>
      <c r="X2807" t="s">
        <v>116</v>
      </c>
    </row>
    <row r="2808" spans="2:24" x14ac:dyDescent="0.3">
      <c r="B2808" t="s">
        <v>2901</v>
      </c>
      <c r="C2808" t="s">
        <v>100</v>
      </c>
      <c r="D2808" t="s">
        <v>3</v>
      </c>
      <c r="E2808" t="s">
        <v>18</v>
      </c>
      <c r="F2808" t="s">
        <v>11</v>
      </c>
      <c r="G2808" t="s">
        <v>54</v>
      </c>
      <c r="H2808">
        <v>2024</v>
      </c>
      <c r="I2808">
        <v>1865</v>
      </c>
      <c r="J2808">
        <v>9.3000000000000007</v>
      </c>
      <c r="K2808" t="s">
        <v>22</v>
      </c>
      <c r="L2808">
        <v>6.2</v>
      </c>
      <c r="M2808">
        <v>5.5</v>
      </c>
      <c r="N2808">
        <v>1015</v>
      </c>
      <c r="O2808" t="s">
        <v>64</v>
      </c>
      <c r="P2808">
        <v>66.7</v>
      </c>
      <c r="Q2808" t="s">
        <v>65</v>
      </c>
      <c r="R2808">
        <v>72.8</v>
      </c>
      <c r="S2808">
        <v>-12.3</v>
      </c>
      <c r="T2808">
        <v>-1</v>
      </c>
      <c r="U2808">
        <v>3.7</v>
      </c>
      <c r="V2808">
        <v>6.9</v>
      </c>
      <c r="W2808">
        <v>4.7</v>
      </c>
      <c r="X2808" t="s">
        <v>57</v>
      </c>
    </row>
    <row r="2809" spans="2:24" x14ac:dyDescent="0.3">
      <c r="B2809" t="s">
        <v>2902</v>
      </c>
      <c r="C2809" t="s">
        <v>62</v>
      </c>
      <c r="D2809" t="s">
        <v>2</v>
      </c>
      <c r="E2809" t="s">
        <v>16</v>
      </c>
      <c r="F2809" t="s">
        <v>12</v>
      </c>
      <c r="G2809" t="s">
        <v>131</v>
      </c>
      <c r="H2809">
        <v>2025</v>
      </c>
      <c r="I2809">
        <v>2000</v>
      </c>
      <c r="J2809">
        <v>19.600000000000001</v>
      </c>
      <c r="K2809" t="s">
        <v>21</v>
      </c>
      <c r="L2809">
        <v>4.7</v>
      </c>
      <c r="M2809">
        <v>8.4</v>
      </c>
      <c r="N2809">
        <v>5880</v>
      </c>
      <c r="O2809" t="s">
        <v>64</v>
      </c>
      <c r="P2809">
        <v>88.2</v>
      </c>
      <c r="Q2809" t="s">
        <v>76</v>
      </c>
      <c r="R2809">
        <v>-44.5</v>
      </c>
      <c r="S2809">
        <v>-21.1</v>
      </c>
      <c r="T2809">
        <v>-4.4000000000000004</v>
      </c>
      <c r="U2809">
        <v>3</v>
      </c>
      <c r="V2809">
        <v>5.5</v>
      </c>
      <c r="W2809">
        <v>3.1</v>
      </c>
      <c r="X2809" t="s">
        <v>66</v>
      </c>
    </row>
    <row r="2810" spans="2:24" x14ac:dyDescent="0.3">
      <c r="B2810" t="s">
        <v>2903</v>
      </c>
      <c r="C2810" t="s">
        <v>53</v>
      </c>
      <c r="D2810" t="s">
        <v>7</v>
      </c>
      <c r="E2810" t="s">
        <v>14</v>
      </c>
      <c r="F2810" t="s">
        <v>10</v>
      </c>
      <c r="G2810" t="s">
        <v>131</v>
      </c>
      <c r="H2810">
        <v>2025</v>
      </c>
      <c r="I2810">
        <v>1799</v>
      </c>
      <c r="J2810">
        <v>20.6</v>
      </c>
      <c r="K2810" t="s">
        <v>23</v>
      </c>
      <c r="L2810">
        <v>10.199999999999999</v>
      </c>
      <c r="M2810">
        <v>10</v>
      </c>
      <c r="N2810">
        <v>456</v>
      </c>
      <c r="O2810" t="s">
        <v>75</v>
      </c>
      <c r="P2810">
        <v>62.7</v>
      </c>
      <c r="Q2810" t="s">
        <v>86</v>
      </c>
      <c r="R2810">
        <v>-3.9</v>
      </c>
      <c r="S2810">
        <v>30.8</v>
      </c>
      <c r="T2810">
        <v>5</v>
      </c>
      <c r="U2810">
        <v>8.3000000000000007</v>
      </c>
      <c r="V2810">
        <v>5.2</v>
      </c>
      <c r="W2810">
        <v>4.3</v>
      </c>
      <c r="X2810" t="s">
        <v>66</v>
      </c>
    </row>
    <row r="2811" spans="2:24" x14ac:dyDescent="0.3">
      <c r="B2811" t="s">
        <v>2904</v>
      </c>
      <c r="C2811" t="s">
        <v>106</v>
      </c>
      <c r="D2811" t="s">
        <v>4</v>
      </c>
      <c r="E2811" t="s">
        <v>19</v>
      </c>
      <c r="F2811" t="s">
        <v>12</v>
      </c>
      <c r="G2811" t="s">
        <v>74</v>
      </c>
      <c r="H2811">
        <v>2025</v>
      </c>
      <c r="I2811">
        <v>942</v>
      </c>
      <c r="J2811">
        <v>9.1999999999999993</v>
      </c>
      <c r="K2811" t="s">
        <v>23</v>
      </c>
      <c r="L2811">
        <v>1.3</v>
      </c>
      <c r="M2811">
        <v>2.6</v>
      </c>
      <c r="N2811">
        <v>4026</v>
      </c>
      <c r="O2811" t="s">
        <v>64</v>
      </c>
      <c r="P2811">
        <v>86.4</v>
      </c>
      <c r="Q2811" t="s">
        <v>79</v>
      </c>
      <c r="R2811">
        <v>-15.6</v>
      </c>
      <c r="S2811">
        <v>20.399999999999999</v>
      </c>
      <c r="T2811">
        <v>5.8</v>
      </c>
      <c r="U2811">
        <v>1.4</v>
      </c>
      <c r="V2811">
        <v>7.5</v>
      </c>
      <c r="W2811">
        <v>7.5</v>
      </c>
      <c r="X2811" t="s">
        <v>57</v>
      </c>
    </row>
    <row r="2812" spans="2:24" x14ac:dyDescent="0.3">
      <c r="B2812" t="s">
        <v>2905</v>
      </c>
      <c r="C2812" t="s">
        <v>27</v>
      </c>
      <c r="D2812" t="s">
        <v>3</v>
      </c>
      <c r="E2812" t="s">
        <v>16</v>
      </c>
      <c r="F2812" t="s">
        <v>9</v>
      </c>
      <c r="G2812" t="s">
        <v>63</v>
      </c>
      <c r="H2812">
        <v>2025</v>
      </c>
      <c r="I2812">
        <v>2801</v>
      </c>
      <c r="J2812">
        <v>20.399999999999999</v>
      </c>
      <c r="K2812" t="s">
        <v>21</v>
      </c>
      <c r="L2812">
        <v>5.3</v>
      </c>
      <c r="M2812">
        <v>10</v>
      </c>
      <c r="N2812">
        <v>223</v>
      </c>
      <c r="O2812" t="s">
        <v>75</v>
      </c>
      <c r="P2812">
        <v>23.4</v>
      </c>
      <c r="Q2812" t="s">
        <v>56</v>
      </c>
      <c r="R2812">
        <v>79</v>
      </c>
      <c r="S2812">
        <v>50.1</v>
      </c>
      <c r="T2812">
        <v>21.3</v>
      </c>
      <c r="U2812">
        <v>6.4</v>
      </c>
      <c r="V2812">
        <v>5</v>
      </c>
      <c r="W2812">
        <v>5.5</v>
      </c>
      <c r="X2812" t="s">
        <v>66</v>
      </c>
    </row>
    <row r="2813" spans="2:24" x14ac:dyDescent="0.3">
      <c r="B2813" t="s">
        <v>2906</v>
      </c>
      <c r="C2813" t="s">
        <v>90</v>
      </c>
      <c r="D2813" t="s">
        <v>6</v>
      </c>
      <c r="E2813" t="s">
        <v>15</v>
      </c>
      <c r="F2813" t="s">
        <v>11</v>
      </c>
      <c r="G2813" t="s">
        <v>69</v>
      </c>
      <c r="H2813">
        <v>2024</v>
      </c>
      <c r="I2813">
        <v>10377</v>
      </c>
      <c r="J2813">
        <v>29</v>
      </c>
      <c r="K2813" t="s">
        <v>24</v>
      </c>
      <c r="L2813">
        <v>7.9</v>
      </c>
      <c r="M2813">
        <v>10</v>
      </c>
      <c r="N2813">
        <v>1466</v>
      </c>
      <c r="O2813" t="s">
        <v>75</v>
      </c>
      <c r="P2813">
        <v>52</v>
      </c>
      <c r="Q2813" t="s">
        <v>79</v>
      </c>
      <c r="R2813">
        <v>45.2</v>
      </c>
      <c r="S2813">
        <v>10.1</v>
      </c>
      <c r="T2813">
        <v>-1.9</v>
      </c>
      <c r="U2813">
        <v>8.1999999999999993</v>
      </c>
      <c r="V2813">
        <v>3.8</v>
      </c>
      <c r="W2813">
        <v>3.5</v>
      </c>
      <c r="X2813" t="s">
        <v>66</v>
      </c>
    </row>
    <row r="2814" spans="2:24" x14ac:dyDescent="0.3">
      <c r="B2814" t="s">
        <v>2907</v>
      </c>
      <c r="C2814" t="s">
        <v>106</v>
      </c>
      <c r="D2814" t="s">
        <v>3</v>
      </c>
      <c r="E2814" t="s">
        <v>14</v>
      </c>
      <c r="F2814" t="s">
        <v>10</v>
      </c>
      <c r="G2814" t="s">
        <v>78</v>
      </c>
      <c r="H2814">
        <v>2024</v>
      </c>
      <c r="I2814">
        <v>4341</v>
      </c>
      <c r="J2814">
        <v>37</v>
      </c>
      <c r="K2814" t="s">
        <v>21</v>
      </c>
      <c r="L2814">
        <v>3.3</v>
      </c>
      <c r="M2814">
        <v>8.8000000000000007</v>
      </c>
      <c r="N2814">
        <v>740</v>
      </c>
      <c r="O2814" t="s">
        <v>75</v>
      </c>
      <c r="P2814">
        <v>67.099999999999994</v>
      </c>
      <c r="Q2814" t="s">
        <v>56</v>
      </c>
      <c r="R2814">
        <v>63.6</v>
      </c>
      <c r="S2814">
        <v>38.299999999999997</v>
      </c>
      <c r="T2814">
        <v>3.8</v>
      </c>
      <c r="U2814">
        <v>2.8</v>
      </c>
      <c r="V2814">
        <v>6.2</v>
      </c>
      <c r="W2814">
        <v>2.9</v>
      </c>
      <c r="X2814" t="s">
        <v>66</v>
      </c>
    </row>
    <row r="2815" spans="2:24" x14ac:dyDescent="0.3">
      <c r="B2815" t="s">
        <v>2908</v>
      </c>
      <c r="C2815" t="s">
        <v>106</v>
      </c>
      <c r="D2815" t="s">
        <v>3</v>
      </c>
      <c r="E2815" t="s">
        <v>16</v>
      </c>
      <c r="F2815" t="s">
        <v>9</v>
      </c>
      <c r="G2815" t="s">
        <v>69</v>
      </c>
      <c r="H2815">
        <v>2024</v>
      </c>
      <c r="I2815">
        <v>3399</v>
      </c>
      <c r="J2815">
        <v>7.6</v>
      </c>
      <c r="K2815" t="s">
        <v>21</v>
      </c>
      <c r="L2815">
        <v>9.4</v>
      </c>
      <c r="M2815">
        <v>8.5</v>
      </c>
      <c r="N2815">
        <v>430</v>
      </c>
      <c r="O2815" t="s">
        <v>64</v>
      </c>
      <c r="P2815">
        <v>76.599999999999994</v>
      </c>
      <c r="Q2815" t="s">
        <v>84</v>
      </c>
      <c r="R2815">
        <v>49.2</v>
      </c>
      <c r="S2815">
        <v>30.6</v>
      </c>
      <c r="T2815">
        <v>15.1</v>
      </c>
      <c r="U2815">
        <v>9</v>
      </c>
      <c r="V2815">
        <v>6.8</v>
      </c>
      <c r="W2815">
        <v>6.4</v>
      </c>
      <c r="X2815" t="s">
        <v>116</v>
      </c>
    </row>
    <row r="2816" spans="2:24" x14ac:dyDescent="0.3">
      <c r="B2816" t="s">
        <v>2909</v>
      </c>
      <c r="C2816" t="s">
        <v>71</v>
      </c>
      <c r="D2816" t="s">
        <v>5</v>
      </c>
      <c r="E2816" t="s">
        <v>14</v>
      </c>
      <c r="F2816" t="s">
        <v>9</v>
      </c>
      <c r="G2816" t="s">
        <v>131</v>
      </c>
      <c r="H2816">
        <v>2025</v>
      </c>
      <c r="I2816">
        <v>5625</v>
      </c>
      <c r="J2816">
        <v>8.8000000000000007</v>
      </c>
      <c r="K2816" t="s">
        <v>24</v>
      </c>
      <c r="L2816">
        <v>1.1000000000000001</v>
      </c>
      <c r="M2816">
        <v>1.7</v>
      </c>
      <c r="N2816">
        <v>1984</v>
      </c>
      <c r="O2816" t="s">
        <v>64</v>
      </c>
      <c r="P2816">
        <v>68.3</v>
      </c>
      <c r="Q2816" t="s">
        <v>88</v>
      </c>
      <c r="R2816">
        <v>-10.4</v>
      </c>
      <c r="S2816">
        <v>14</v>
      </c>
      <c r="T2816">
        <v>5.3</v>
      </c>
      <c r="U2816">
        <v>1.6</v>
      </c>
      <c r="V2816">
        <v>4.8</v>
      </c>
      <c r="W2816">
        <v>7.6</v>
      </c>
      <c r="X2816" t="s">
        <v>116</v>
      </c>
    </row>
    <row r="2817" spans="2:24" x14ac:dyDescent="0.3">
      <c r="B2817" t="s">
        <v>2910</v>
      </c>
      <c r="C2817" t="s">
        <v>90</v>
      </c>
      <c r="D2817" t="s">
        <v>5</v>
      </c>
      <c r="E2817" t="s">
        <v>18</v>
      </c>
      <c r="F2817" t="s">
        <v>9</v>
      </c>
      <c r="G2817" t="s">
        <v>60</v>
      </c>
      <c r="H2817">
        <v>2024</v>
      </c>
      <c r="I2817">
        <v>11471</v>
      </c>
      <c r="J2817">
        <v>38.799999999999997</v>
      </c>
      <c r="K2817" t="s">
        <v>22</v>
      </c>
      <c r="L2817">
        <v>6.6</v>
      </c>
      <c r="M2817">
        <v>10</v>
      </c>
      <c r="N2817">
        <v>1512</v>
      </c>
      <c r="O2817" t="s">
        <v>75</v>
      </c>
      <c r="P2817">
        <v>57.7</v>
      </c>
      <c r="Q2817" t="s">
        <v>86</v>
      </c>
      <c r="R2817">
        <v>-1.9</v>
      </c>
      <c r="S2817">
        <v>45.4</v>
      </c>
      <c r="T2817">
        <v>7</v>
      </c>
      <c r="U2817">
        <v>4.4000000000000004</v>
      </c>
      <c r="V2817">
        <v>5.3</v>
      </c>
      <c r="W2817">
        <v>3.3</v>
      </c>
      <c r="X2817" t="s">
        <v>66</v>
      </c>
    </row>
    <row r="2818" spans="2:24" x14ac:dyDescent="0.3">
      <c r="B2818" t="s">
        <v>2911</v>
      </c>
      <c r="C2818" t="s">
        <v>159</v>
      </c>
      <c r="D2818" t="s">
        <v>7</v>
      </c>
      <c r="E2818" t="s">
        <v>15</v>
      </c>
      <c r="F2818" t="s">
        <v>10</v>
      </c>
      <c r="G2818" t="s">
        <v>115</v>
      </c>
      <c r="H2818">
        <v>2025</v>
      </c>
      <c r="I2818">
        <v>4915</v>
      </c>
      <c r="J2818">
        <v>29.1</v>
      </c>
      <c r="K2818" t="s">
        <v>24</v>
      </c>
      <c r="L2818">
        <v>8.5</v>
      </c>
      <c r="M2818">
        <v>10</v>
      </c>
      <c r="N2818">
        <v>1213</v>
      </c>
      <c r="O2818" t="s">
        <v>75</v>
      </c>
      <c r="P2818">
        <v>31.1</v>
      </c>
      <c r="Q2818" t="s">
        <v>86</v>
      </c>
      <c r="R2818">
        <v>-23.8</v>
      </c>
      <c r="S2818">
        <v>46.9</v>
      </c>
      <c r="T2818">
        <v>4.2</v>
      </c>
      <c r="U2818">
        <v>7.3</v>
      </c>
      <c r="V2818">
        <v>4.8</v>
      </c>
      <c r="W2818">
        <v>5.2</v>
      </c>
      <c r="X2818" t="s">
        <v>66</v>
      </c>
    </row>
    <row r="2819" spans="2:24" x14ac:dyDescent="0.3">
      <c r="B2819" t="s">
        <v>2912</v>
      </c>
      <c r="C2819" t="s">
        <v>90</v>
      </c>
      <c r="D2819" t="s">
        <v>5</v>
      </c>
      <c r="E2819" t="s">
        <v>16</v>
      </c>
      <c r="F2819" t="s">
        <v>9</v>
      </c>
      <c r="G2819" t="s">
        <v>101</v>
      </c>
      <c r="H2819">
        <v>2025</v>
      </c>
      <c r="I2819">
        <v>3129</v>
      </c>
      <c r="J2819">
        <v>16.600000000000001</v>
      </c>
      <c r="K2819" t="s">
        <v>23</v>
      </c>
      <c r="L2819">
        <v>3.5</v>
      </c>
      <c r="M2819">
        <v>5.4</v>
      </c>
      <c r="N2819">
        <v>1152</v>
      </c>
      <c r="O2819" t="s">
        <v>64</v>
      </c>
      <c r="P2819">
        <v>26.1</v>
      </c>
      <c r="Q2819" t="s">
        <v>86</v>
      </c>
      <c r="R2819">
        <v>-0.3</v>
      </c>
      <c r="S2819">
        <v>13.1</v>
      </c>
      <c r="T2819">
        <v>6.6</v>
      </c>
      <c r="U2819">
        <v>2.2000000000000002</v>
      </c>
      <c r="V2819">
        <v>5.3</v>
      </c>
      <c r="W2819">
        <v>5.0999999999999996</v>
      </c>
      <c r="X2819" t="s">
        <v>66</v>
      </c>
    </row>
    <row r="2820" spans="2:24" x14ac:dyDescent="0.3">
      <c r="B2820" t="s">
        <v>2913</v>
      </c>
      <c r="C2820" t="s">
        <v>53</v>
      </c>
      <c r="D2820" t="s">
        <v>7</v>
      </c>
      <c r="E2820" t="s">
        <v>17</v>
      </c>
      <c r="F2820" t="s">
        <v>9</v>
      </c>
      <c r="G2820" t="s">
        <v>104</v>
      </c>
      <c r="H2820">
        <v>2025</v>
      </c>
      <c r="I2820">
        <v>801</v>
      </c>
      <c r="J2820">
        <v>14.5</v>
      </c>
      <c r="K2820" t="s">
        <v>22</v>
      </c>
      <c r="L2820">
        <v>3</v>
      </c>
      <c r="M2820">
        <v>5.5</v>
      </c>
      <c r="N2820">
        <v>5574</v>
      </c>
      <c r="O2820" t="s">
        <v>55</v>
      </c>
      <c r="P2820">
        <v>79.2</v>
      </c>
      <c r="Q2820" t="s">
        <v>125</v>
      </c>
      <c r="R2820">
        <v>4.4000000000000004</v>
      </c>
      <c r="S2820">
        <v>-10.1</v>
      </c>
      <c r="T2820">
        <v>2.6</v>
      </c>
      <c r="U2820">
        <v>2.8</v>
      </c>
      <c r="V2820">
        <v>7.4</v>
      </c>
      <c r="W2820">
        <v>4.5999999999999996</v>
      </c>
      <c r="X2820" t="s">
        <v>116</v>
      </c>
    </row>
    <row r="2821" spans="2:24" x14ac:dyDescent="0.3">
      <c r="B2821" t="s">
        <v>2914</v>
      </c>
      <c r="C2821" t="s">
        <v>59</v>
      </c>
      <c r="D2821" t="s">
        <v>4</v>
      </c>
      <c r="E2821" t="s">
        <v>18</v>
      </c>
      <c r="F2821" t="s">
        <v>12</v>
      </c>
      <c r="G2821" t="s">
        <v>78</v>
      </c>
      <c r="H2821">
        <v>2024</v>
      </c>
      <c r="I2821">
        <v>2410</v>
      </c>
      <c r="J2821">
        <v>16.899999999999999</v>
      </c>
      <c r="K2821" t="s">
        <v>25</v>
      </c>
      <c r="L2821">
        <v>2.1</v>
      </c>
      <c r="M2821">
        <v>4.4000000000000004</v>
      </c>
      <c r="N2821">
        <v>4079</v>
      </c>
      <c r="O2821" t="s">
        <v>64</v>
      </c>
      <c r="P2821">
        <v>22.4</v>
      </c>
      <c r="Q2821" t="s">
        <v>79</v>
      </c>
      <c r="R2821">
        <v>85.4</v>
      </c>
      <c r="S2821">
        <v>22.2</v>
      </c>
      <c r="T2821">
        <v>4.8</v>
      </c>
      <c r="U2821">
        <v>1.8</v>
      </c>
      <c r="V2821">
        <v>8.1999999999999993</v>
      </c>
      <c r="W2821">
        <v>5.4</v>
      </c>
      <c r="X2821" t="s">
        <v>116</v>
      </c>
    </row>
    <row r="2822" spans="2:24" x14ac:dyDescent="0.3">
      <c r="B2822" t="s">
        <v>2915</v>
      </c>
      <c r="C2822" t="s">
        <v>59</v>
      </c>
      <c r="D2822" t="s">
        <v>4</v>
      </c>
      <c r="E2822" t="s">
        <v>19</v>
      </c>
      <c r="F2822" t="s">
        <v>11</v>
      </c>
      <c r="G2822" t="s">
        <v>115</v>
      </c>
      <c r="H2822">
        <v>2025</v>
      </c>
      <c r="I2822">
        <v>17713</v>
      </c>
      <c r="J2822">
        <v>15.8</v>
      </c>
      <c r="K2822" t="s">
        <v>23</v>
      </c>
      <c r="L2822">
        <v>13.5</v>
      </c>
      <c r="M2822">
        <v>9.4</v>
      </c>
      <c r="N2822">
        <v>1357</v>
      </c>
      <c r="O2822" t="s">
        <v>55</v>
      </c>
      <c r="P2822">
        <v>40.299999999999997</v>
      </c>
      <c r="Q2822" t="s">
        <v>65</v>
      </c>
      <c r="R2822">
        <v>71.8</v>
      </c>
      <c r="S2822">
        <v>16.899999999999999</v>
      </c>
      <c r="T2822">
        <v>8.5</v>
      </c>
      <c r="U2822">
        <v>9.1999999999999993</v>
      </c>
      <c r="V2822">
        <v>6.5</v>
      </c>
      <c r="W2822">
        <v>5</v>
      </c>
      <c r="X2822" t="s">
        <v>66</v>
      </c>
    </row>
    <row r="2823" spans="2:24" x14ac:dyDescent="0.3">
      <c r="B2823" t="s">
        <v>2916</v>
      </c>
      <c r="C2823" t="s">
        <v>73</v>
      </c>
      <c r="D2823" t="s">
        <v>3</v>
      </c>
      <c r="E2823" t="s">
        <v>14</v>
      </c>
      <c r="F2823" t="s">
        <v>12</v>
      </c>
      <c r="G2823" t="s">
        <v>101</v>
      </c>
      <c r="H2823">
        <v>2024</v>
      </c>
      <c r="I2823">
        <v>1235</v>
      </c>
      <c r="J2823">
        <v>6.6</v>
      </c>
      <c r="K2823" t="s">
        <v>25</v>
      </c>
      <c r="L2823">
        <v>7.4</v>
      </c>
      <c r="M2823">
        <v>3.3</v>
      </c>
      <c r="N2823">
        <v>5498</v>
      </c>
      <c r="O2823" t="s">
        <v>55</v>
      </c>
      <c r="P2823">
        <v>61.1</v>
      </c>
      <c r="Q2823" t="s">
        <v>88</v>
      </c>
      <c r="R2823">
        <v>40.5</v>
      </c>
      <c r="S2823">
        <v>55.9</v>
      </c>
      <c r="T2823">
        <v>16.3</v>
      </c>
      <c r="U2823">
        <v>4.5999999999999996</v>
      </c>
      <c r="V2823">
        <v>8.6999999999999993</v>
      </c>
      <c r="W2823">
        <v>9.4</v>
      </c>
      <c r="X2823" t="s">
        <v>57</v>
      </c>
    </row>
    <row r="2824" spans="2:24" x14ac:dyDescent="0.3">
      <c r="B2824" t="s">
        <v>2917</v>
      </c>
      <c r="C2824" t="s">
        <v>106</v>
      </c>
      <c r="D2824" t="s">
        <v>4</v>
      </c>
      <c r="E2824" t="s">
        <v>19</v>
      </c>
      <c r="F2824" t="s">
        <v>11</v>
      </c>
      <c r="G2824" t="s">
        <v>54</v>
      </c>
      <c r="H2824">
        <v>2025</v>
      </c>
      <c r="I2824">
        <v>3286</v>
      </c>
      <c r="J2824">
        <v>3.4</v>
      </c>
      <c r="K2824" t="s">
        <v>23</v>
      </c>
      <c r="L2824">
        <v>8.1</v>
      </c>
      <c r="M2824">
        <v>7.3</v>
      </c>
      <c r="N2824">
        <v>5850</v>
      </c>
      <c r="O2824" t="s">
        <v>118</v>
      </c>
      <c r="P2824">
        <v>69.900000000000006</v>
      </c>
      <c r="Q2824" t="s">
        <v>56</v>
      </c>
      <c r="R2824">
        <v>-41.8</v>
      </c>
      <c r="S2824">
        <v>10.8</v>
      </c>
      <c r="T2824">
        <v>9.3000000000000007</v>
      </c>
      <c r="U2824">
        <v>8</v>
      </c>
      <c r="V2824">
        <v>6.8</v>
      </c>
      <c r="W2824">
        <v>7</v>
      </c>
      <c r="X2824" t="s">
        <v>116</v>
      </c>
    </row>
    <row r="2825" spans="2:24" x14ac:dyDescent="0.3">
      <c r="B2825" t="s">
        <v>2918</v>
      </c>
      <c r="C2825" t="s">
        <v>142</v>
      </c>
      <c r="D2825" t="s">
        <v>2</v>
      </c>
      <c r="E2825" t="s">
        <v>15</v>
      </c>
      <c r="F2825" t="s">
        <v>9</v>
      </c>
      <c r="G2825" t="s">
        <v>98</v>
      </c>
      <c r="H2825">
        <v>2026</v>
      </c>
      <c r="I2825">
        <v>9364</v>
      </c>
      <c r="J2825">
        <v>28.2</v>
      </c>
      <c r="K2825" t="s">
        <v>25</v>
      </c>
      <c r="L2825">
        <v>2.2000000000000002</v>
      </c>
      <c r="M2825">
        <v>5.9</v>
      </c>
      <c r="N2825">
        <v>5745</v>
      </c>
      <c r="O2825" t="s">
        <v>64</v>
      </c>
      <c r="P2825">
        <v>24.4</v>
      </c>
      <c r="Q2825" t="s">
        <v>56</v>
      </c>
      <c r="R2825">
        <v>42.7</v>
      </c>
      <c r="S2825">
        <v>-1.8</v>
      </c>
      <c r="T2825">
        <v>-9.1999999999999993</v>
      </c>
      <c r="U2825">
        <v>2.7</v>
      </c>
      <c r="V2825">
        <v>3.8</v>
      </c>
      <c r="W2825">
        <v>3.8</v>
      </c>
      <c r="X2825" t="s">
        <v>66</v>
      </c>
    </row>
    <row r="2826" spans="2:24" x14ac:dyDescent="0.3">
      <c r="B2826" t="s">
        <v>2919</v>
      </c>
      <c r="C2826" t="s">
        <v>53</v>
      </c>
      <c r="D2826" t="s">
        <v>7</v>
      </c>
      <c r="E2826" t="s">
        <v>17</v>
      </c>
      <c r="F2826" t="s">
        <v>12</v>
      </c>
      <c r="G2826" t="s">
        <v>131</v>
      </c>
      <c r="H2826">
        <v>2024</v>
      </c>
      <c r="I2826">
        <v>17533</v>
      </c>
      <c r="J2826">
        <v>19.7</v>
      </c>
      <c r="K2826" t="s">
        <v>25</v>
      </c>
      <c r="L2826">
        <v>2.5</v>
      </c>
      <c r="M2826">
        <v>4.5</v>
      </c>
      <c r="N2826">
        <v>1936</v>
      </c>
      <c r="O2826" t="s">
        <v>64</v>
      </c>
      <c r="P2826">
        <v>78.599999999999994</v>
      </c>
      <c r="Q2826" t="s">
        <v>88</v>
      </c>
      <c r="R2826">
        <v>-4</v>
      </c>
      <c r="S2826">
        <v>38</v>
      </c>
      <c r="T2826">
        <v>6.2</v>
      </c>
      <c r="U2826">
        <v>1.6</v>
      </c>
      <c r="V2826">
        <v>5.8</v>
      </c>
      <c r="W2826">
        <v>6.8</v>
      </c>
      <c r="X2826" t="s">
        <v>66</v>
      </c>
    </row>
    <row r="2827" spans="2:24" x14ac:dyDescent="0.3">
      <c r="B2827" t="s">
        <v>2920</v>
      </c>
      <c r="C2827" t="s">
        <v>53</v>
      </c>
      <c r="D2827" t="s">
        <v>3</v>
      </c>
      <c r="E2827" t="s">
        <v>16</v>
      </c>
      <c r="F2827" t="s">
        <v>10</v>
      </c>
      <c r="G2827" t="s">
        <v>69</v>
      </c>
      <c r="H2827">
        <v>2024</v>
      </c>
      <c r="I2827">
        <v>490</v>
      </c>
      <c r="J2827">
        <v>9.9</v>
      </c>
      <c r="K2827" t="s">
        <v>22</v>
      </c>
      <c r="L2827">
        <v>8.8000000000000007</v>
      </c>
      <c r="M2827">
        <v>6.8</v>
      </c>
      <c r="N2827">
        <v>1136</v>
      </c>
      <c r="O2827" t="s">
        <v>64</v>
      </c>
      <c r="P2827">
        <v>54.1</v>
      </c>
      <c r="Q2827" t="s">
        <v>125</v>
      </c>
      <c r="R2827">
        <v>-14</v>
      </c>
      <c r="S2827">
        <v>20.7</v>
      </c>
      <c r="T2827">
        <v>6.9</v>
      </c>
      <c r="U2827">
        <v>8.3000000000000007</v>
      </c>
      <c r="V2827">
        <v>5.7</v>
      </c>
      <c r="W2827">
        <v>5.9</v>
      </c>
      <c r="X2827" t="s">
        <v>57</v>
      </c>
    </row>
    <row r="2828" spans="2:24" x14ac:dyDescent="0.3">
      <c r="B2828" t="s">
        <v>2921</v>
      </c>
      <c r="C2828" t="s">
        <v>159</v>
      </c>
      <c r="D2828" t="s">
        <v>7</v>
      </c>
      <c r="E2828" t="s">
        <v>18</v>
      </c>
      <c r="F2828" t="s">
        <v>11</v>
      </c>
      <c r="G2828" t="s">
        <v>104</v>
      </c>
      <c r="H2828">
        <v>2025</v>
      </c>
      <c r="I2828">
        <v>7624</v>
      </c>
      <c r="J2828">
        <v>28.1</v>
      </c>
      <c r="K2828" t="s">
        <v>24</v>
      </c>
      <c r="L2828">
        <v>6.2</v>
      </c>
      <c r="M2828">
        <v>10</v>
      </c>
      <c r="N2828">
        <v>1204</v>
      </c>
      <c r="O2828" t="s">
        <v>75</v>
      </c>
      <c r="P2828">
        <v>63.7</v>
      </c>
      <c r="Q2828" t="s">
        <v>76</v>
      </c>
      <c r="R2828">
        <v>26.7</v>
      </c>
      <c r="S2828">
        <v>29.8</v>
      </c>
      <c r="T2828">
        <v>4.9000000000000004</v>
      </c>
      <c r="U2828">
        <v>8.6999999999999993</v>
      </c>
      <c r="V2828">
        <v>6.9</v>
      </c>
      <c r="W2828">
        <v>4.4000000000000004</v>
      </c>
      <c r="X2828" t="s">
        <v>66</v>
      </c>
    </row>
    <row r="2829" spans="2:24" x14ac:dyDescent="0.3">
      <c r="B2829" t="s">
        <v>2922</v>
      </c>
      <c r="C2829" t="s">
        <v>139</v>
      </c>
      <c r="D2829" t="s">
        <v>8</v>
      </c>
      <c r="E2829" t="s">
        <v>14</v>
      </c>
      <c r="F2829" t="s">
        <v>11</v>
      </c>
      <c r="G2829" t="s">
        <v>98</v>
      </c>
      <c r="H2829">
        <v>2025</v>
      </c>
      <c r="I2829">
        <v>2323</v>
      </c>
      <c r="J2829">
        <v>13.6</v>
      </c>
      <c r="K2829" t="s">
        <v>21</v>
      </c>
      <c r="L2829">
        <v>2.2999999999999998</v>
      </c>
      <c r="M2829">
        <v>6.1</v>
      </c>
      <c r="N2829">
        <v>5979</v>
      </c>
      <c r="O2829" t="s">
        <v>64</v>
      </c>
      <c r="P2829">
        <v>74.599999999999994</v>
      </c>
      <c r="Q2829" t="s">
        <v>125</v>
      </c>
      <c r="R2829">
        <v>-18.2</v>
      </c>
      <c r="S2829">
        <v>12.4</v>
      </c>
      <c r="T2829">
        <v>9.8000000000000007</v>
      </c>
      <c r="U2829">
        <v>2.5</v>
      </c>
      <c r="V2829">
        <v>6</v>
      </c>
      <c r="W2829">
        <v>6.6</v>
      </c>
      <c r="X2829" t="s">
        <v>116</v>
      </c>
    </row>
    <row r="2830" spans="2:24" x14ac:dyDescent="0.3">
      <c r="B2830" t="s">
        <v>2923</v>
      </c>
      <c r="C2830" t="s">
        <v>53</v>
      </c>
      <c r="D2830" t="s">
        <v>7</v>
      </c>
      <c r="E2830" t="s">
        <v>18</v>
      </c>
      <c r="F2830" t="s">
        <v>12</v>
      </c>
      <c r="G2830" t="s">
        <v>101</v>
      </c>
      <c r="H2830">
        <v>2024</v>
      </c>
      <c r="I2830">
        <v>6329</v>
      </c>
      <c r="J2830">
        <v>2</v>
      </c>
      <c r="K2830" t="s">
        <v>21</v>
      </c>
      <c r="L2830">
        <v>6.6</v>
      </c>
      <c r="M2830">
        <v>10</v>
      </c>
      <c r="N2830">
        <v>773</v>
      </c>
      <c r="O2830" t="s">
        <v>64</v>
      </c>
      <c r="P2830">
        <v>46.6</v>
      </c>
      <c r="Q2830" t="s">
        <v>84</v>
      </c>
      <c r="R2830">
        <v>84.2</v>
      </c>
      <c r="S2830">
        <v>2</v>
      </c>
      <c r="T2830">
        <v>2.5</v>
      </c>
      <c r="U2830">
        <v>9.1999999999999993</v>
      </c>
      <c r="V2830">
        <v>5.4</v>
      </c>
      <c r="W2830">
        <v>5.4</v>
      </c>
      <c r="X2830" t="s">
        <v>116</v>
      </c>
    </row>
    <row r="2831" spans="2:24" x14ac:dyDescent="0.3">
      <c r="B2831" t="s">
        <v>2924</v>
      </c>
      <c r="C2831" t="s">
        <v>106</v>
      </c>
      <c r="D2831" t="s">
        <v>8</v>
      </c>
      <c r="E2831" t="s">
        <v>17</v>
      </c>
      <c r="F2831" t="s">
        <v>9</v>
      </c>
      <c r="G2831" t="s">
        <v>112</v>
      </c>
      <c r="H2831">
        <v>2026</v>
      </c>
      <c r="I2831">
        <v>12419</v>
      </c>
      <c r="J2831">
        <v>15.5</v>
      </c>
      <c r="K2831" t="s">
        <v>24</v>
      </c>
      <c r="L2831">
        <v>5.6</v>
      </c>
      <c r="M2831">
        <v>7</v>
      </c>
      <c r="N2831">
        <v>802</v>
      </c>
      <c r="O2831" t="s">
        <v>75</v>
      </c>
      <c r="P2831">
        <v>63.4</v>
      </c>
      <c r="Q2831" t="s">
        <v>88</v>
      </c>
      <c r="R2831">
        <v>51.5</v>
      </c>
      <c r="S2831">
        <v>11.6</v>
      </c>
      <c r="T2831">
        <v>11.7</v>
      </c>
      <c r="U2831">
        <v>4.0999999999999996</v>
      </c>
      <c r="V2831">
        <v>6.5</v>
      </c>
      <c r="W2831">
        <v>6.3</v>
      </c>
      <c r="X2831" t="s">
        <v>66</v>
      </c>
    </row>
    <row r="2832" spans="2:24" x14ac:dyDescent="0.3">
      <c r="B2832" t="s">
        <v>2925</v>
      </c>
      <c r="C2832" t="s">
        <v>139</v>
      </c>
      <c r="D2832" t="s">
        <v>8</v>
      </c>
      <c r="E2832" t="s">
        <v>18</v>
      </c>
      <c r="F2832" t="s">
        <v>12</v>
      </c>
      <c r="G2832" t="s">
        <v>63</v>
      </c>
      <c r="H2832">
        <v>2026</v>
      </c>
      <c r="I2832">
        <v>1554</v>
      </c>
      <c r="J2832">
        <v>8.1999999999999993</v>
      </c>
      <c r="K2832" t="s">
        <v>25</v>
      </c>
      <c r="L2832">
        <v>8</v>
      </c>
      <c r="M2832">
        <v>7.1</v>
      </c>
      <c r="N2832">
        <v>2655</v>
      </c>
      <c r="O2832" t="s">
        <v>55</v>
      </c>
      <c r="P2832">
        <v>34.299999999999997</v>
      </c>
      <c r="Q2832" t="s">
        <v>65</v>
      </c>
      <c r="R2832">
        <v>-42.6</v>
      </c>
      <c r="S2832">
        <v>-15.8</v>
      </c>
      <c r="T2832">
        <v>-3.8</v>
      </c>
      <c r="U2832">
        <v>6.4</v>
      </c>
      <c r="V2832">
        <v>6.5</v>
      </c>
      <c r="W2832">
        <v>6.3</v>
      </c>
      <c r="X2832" t="s">
        <v>57</v>
      </c>
    </row>
    <row r="2833" spans="2:24" x14ac:dyDescent="0.3">
      <c r="B2833" t="s">
        <v>2926</v>
      </c>
      <c r="C2833" t="s">
        <v>137</v>
      </c>
      <c r="D2833" t="s">
        <v>4</v>
      </c>
      <c r="E2833" t="s">
        <v>14</v>
      </c>
      <c r="F2833" t="s">
        <v>9</v>
      </c>
      <c r="G2833" t="s">
        <v>69</v>
      </c>
      <c r="H2833">
        <v>2024</v>
      </c>
      <c r="I2833">
        <v>4959</v>
      </c>
      <c r="J2833">
        <v>17.600000000000001</v>
      </c>
      <c r="K2833" t="s">
        <v>22</v>
      </c>
      <c r="L2833">
        <v>3.5</v>
      </c>
      <c r="M2833">
        <v>9.3000000000000007</v>
      </c>
      <c r="N2833">
        <v>1663</v>
      </c>
      <c r="O2833" t="s">
        <v>64</v>
      </c>
      <c r="P2833">
        <v>28.1</v>
      </c>
      <c r="Q2833" t="s">
        <v>125</v>
      </c>
      <c r="R2833">
        <v>-0.2</v>
      </c>
      <c r="S2833">
        <v>10.5</v>
      </c>
      <c r="T2833">
        <v>3</v>
      </c>
      <c r="U2833">
        <v>3.2</v>
      </c>
      <c r="V2833">
        <v>5.0999999999999996</v>
      </c>
      <c r="W2833">
        <v>3.8</v>
      </c>
      <c r="X2833" t="s">
        <v>66</v>
      </c>
    </row>
    <row r="2834" spans="2:24" x14ac:dyDescent="0.3">
      <c r="B2834" t="s">
        <v>2927</v>
      </c>
      <c r="C2834" t="s">
        <v>142</v>
      </c>
      <c r="D2834" t="s">
        <v>2</v>
      </c>
      <c r="E2834" t="s">
        <v>15</v>
      </c>
      <c r="F2834" t="s">
        <v>12</v>
      </c>
      <c r="G2834" t="s">
        <v>74</v>
      </c>
      <c r="H2834">
        <v>2025</v>
      </c>
      <c r="I2834">
        <v>6089</v>
      </c>
      <c r="J2834">
        <v>4.9000000000000004</v>
      </c>
      <c r="K2834" t="s">
        <v>21</v>
      </c>
      <c r="L2834">
        <v>6.1</v>
      </c>
      <c r="M2834">
        <v>5.7</v>
      </c>
      <c r="N2834">
        <v>5866</v>
      </c>
      <c r="O2834" t="s">
        <v>55</v>
      </c>
      <c r="P2834">
        <v>66.400000000000006</v>
      </c>
      <c r="Q2834" t="s">
        <v>76</v>
      </c>
      <c r="R2834">
        <v>89.5</v>
      </c>
      <c r="S2834">
        <v>12.7</v>
      </c>
      <c r="T2834">
        <v>8.6999999999999993</v>
      </c>
      <c r="U2834">
        <v>4.2</v>
      </c>
      <c r="V2834">
        <v>7.1</v>
      </c>
      <c r="W2834">
        <v>6.1</v>
      </c>
      <c r="X2834" t="s">
        <v>116</v>
      </c>
    </row>
    <row r="2835" spans="2:24" x14ac:dyDescent="0.3">
      <c r="B2835" t="s">
        <v>2928</v>
      </c>
      <c r="C2835" t="s">
        <v>106</v>
      </c>
      <c r="D2835" t="s">
        <v>3</v>
      </c>
      <c r="E2835" t="s">
        <v>17</v>
      </c>
      <c r="F2835" t="s">
        <v>12</v>
      </c>
      <c r="G2835" t="s">
        <v>74</v>
      </c>
      <c r="H2835">
        <v>2024</v>
      </c>
      <c r="I2835">
        <v>421</v>
      </c>
      <c r="J2835">
        <v>1.6</v>
      </c>
      <c r="K2835" t="s">
        <v>24</v>
      </c>
      <c r="L2835">
        <v>7.2</v>
      </c>
      <c r="M2835">
        <v>6.1</v>
      </c>
      <c r="N2835">
        <v>5900</v>
      </c>
      <c r="O2835" t="s">
        <v>55</v>
      </c>
      <c r="P2835">
        <v>70.2</v>
      </c>
      <c r="Q2835" t="s">
        <v>88</v>
      </c>
      <c r="R2835">
        <v>24.8</v>
      </c>
      <c r="S2835">
        <v>-8</v>
      </c>
      <c r="T2835">
        <v>-3</v>
      </c>
      <c r="U2835">
        <v>5.3</v>
      </c>
      <c r="V2835">
        <v>6.8</v>
      </c>
      <c r="W2835">
        <v>6.3</v>
      </c>
      <c r="X2835" t="s">
        <v>116</v>
      </c>
    </row>
    <row r="2836" spans="2:24" x14ac:dyDescent="0.3">
      <c r="B2836" t="s">
        <v>2929</v>
      </c>
      <c r="C2836" t="s">
        <v>71</v>
      </c>
      <c r="D2836" t="s">
        <v>6</v>
      </c>
      <c r="E2836" t="s">
        <v>19</v>
      </c>
      <c r="F2836" t="s">
        <v>9</v>
      </c>
      <c r="G2836" t="s">
        <v>78</v>
      </c>
      <c r="H2836">
        <v>2025</v>
      </c>
      <c r="I2836">
        <v>149</v>
      </c>
      <c r="J2836">
        <v>13.6</v>
      </c>
      <c r="K2836" t="s">
        <v>23</v>
      </c>
      <c r="L2836">
        <v>8.1</v>
      </c>
      <c r="M2836">
        <v>10</v>
      </c>
      <c r="N2836">
        <v>4346</v>
      </c>
      <c r="O2836" t="s">
        <v>55</v>
      </c>
      <c r="P2836">
        <v>15</v>
      </c>
      <c r="Q2836" t="s">
        <v>65</v>
      </c>
      <c r="R2836">
        <v>-44</v>
      </c>
      <c r="S2836">
        <v>18.5</v>
      </c>
      <c r="T2836">
        <v>5.9</v>
      </c>
      <c r="U2836">
        <v>6.2</v>
      </c>
      <c r="V2836">
        <v>4.8</v>
      </c>
      <c r="W2836">
        <v>4.7</v>
      </c>
      <c r="X2836" t="s">
        <v>116</v>
      </c>
    </row>
    <row r="2837" spans="2:24" x14ac:dyDescent="0.3">
      <c r="B2837" t="s">
        <v>2930</v>
      </c>
      <c r="C2837" t="s">
        <v>71</v>
      </c>
      <c r="D2837" t="s">
        <v>5</v>
      </c>
      <c r="E2837" t="s">
        <v>19</v>
      </c>
      <c r="F2837" t="s">
        <v>10</v>
      </c>
      <c r="G2837" t="s">
        <v>98</v>
      </c>
      <c r="H2837">
        <v>2025</v>
      </c>
      <c r="I2837">
        <v>672</v>
      </c>
      <c r="J2837">
        <v>4.0999999999999996</v>
      </c>
      <c r="K2837" t="s">
        <v>23</v>
      </c>
      <c r="L2837">
        <v>8.1</v>
      </c>
      <c r="M2837">
        <v>7.3</v>
      </c>
      <c r="N2837">
        <v>3837</v>
      </c>
      <c r="O2837" t="s">
        <v>55</v>
      </c>
      <c r="P2837">
        <v>29</v>
      </c>
      <c r="Q2837" t="s">
        <v>84</v>
      </c>
      <c r="R2837">
        <v>10.9</v>
      </c>
      <c r="S2837">
        <v>15.5</v>
      </c>
      <c r="T2837">
        <v>8.1999999999999993</v>
      </c>
      <c r="U2837">
        <v>7.8</v>
      </c>
      <c r="V2837">
        <v>5.4</v>
      </c>
      <c r="W2837">
        <v>5.8</v>
      </c>
      <c r="X2837" t="s">
        <v>57</v>
      </c>
    </row>
    <row r="2838" spans="2:24" x14ac:dyDescent="0.3">
      <c r="B2838" t="s">
        <v>2931</v>
      </c>
      <c r="C2838" t="s">
        <v>90</v>
      </c>
      <c r="D2838" t="s">
        <v>5</v>
      </c>
      <c r="E2838" t="s">
        <v>19</v>
      </c>
      <c r="F2838" t="s">
        <v>10</v>
      </c>
      <c r="G2838" t="s">
        <v>104</v>
      </c>
      <c r="H2838">
        <v>2024</v>
      </c>
      <c r="I2838">
        <v>6361</v>
      </c>
      <c r="J2838">
        <v>18</v>
      </c>
      <c r="K2838" t="s">
        <v>23</v>
      </c>
      <c r="L2838">
        <v>2.2000000000000002</v>
      </c>
      <c r="M2838">
        <v>5.8</v>
      </c>
      <c r="N2838">
        <v>2974</v>
      </c>
      <c r="O2838" t="s">
        <v>64</v>
      </c>
      <c r="P2838">
        <v>45.9</v>
      </c>
      <c r="Q2838" t="s">
        <v>56</v>
      </c>
      <c r="R2838">
        <v>43.5</v>
      </c>
      <c r="S2838">
        <v>-5.4</v>
      </c>
      <c r="T2838">
        <v>-9</v>
      </c>
      <c r="U2838">
        <v>2.9</v>
      </c>
      <c r="V2838">
        <v>6.6</v>
      </c>
      <c r="W2838">
        <v>4.5</v>
      </c>
      <c r="X2838" t="s">
        <v>116</v>
      </c>
    </row>
    <row r="2839" spans="2:24" x14ac:dyDescent="0.3">
      <c r="B2839" t="s">
        <v>2932</v>
      </c>
      <c r="C2839" t="s">
        <v>137</v>
      </c>
      <c r="D2839" t="s">
        <v>4</v>
      </c>
      <c r="E2839" t="s">
        <v>19</v>
      </c>
      <c r="F2839" t="s">
        <v>9</v>
      </c>
      <c r="G2839" t="s">
        <v>98</v>
      </c>
      <c r="H2839">
        <v>2024</v>
      </c>
      <c r="I2839">
        <v>9533</v>
      </c>
      <c r="J2839">
        <v>9.9</v>
      </c>
      <c r="K2839" t="s">
        <v>24</v>
      </c>
      <c r="L2839">
        <v>12.2</v>
      </c>
      <c r="M2839">
        <v>6.5</v>
      </c>
      <c r="N2839">
        <v>1992</v>
      </c>
      <c r="O2839" t="s">
        <v>55</v>
      </c>
      <c r="P2839">
        <v>30.2</v>
      </c>
      <c r="Q2839" t="s">
        <v>65</v>
      </c>
      <c r="R2839">
        <v>0</v>
      </c>
      <c r="S2839">
        <v>47.2</v>
      </c>
      <c r="T2839">
        <v>23.4</v>
      </c>
      <c r="U2839">
        <v>7.6</v>
      </c>
      <c r="V2839">
        <v>6.6</v>
      </c>
      <c r="W2839">
        <v>6.3</v>
      </c>
      <c r="X2839" t="s">
        <v>66</v>
      </c>
    </row>
    <row r="2840" spans="2:24" x14ac:dyDescent="0.3">
      <c r="B2840" t="s">
        <v>2933</v>
      </c>
      <c r="C2840" t="s">
        <v>53</v>
      </c>
      <c r="D2840" t="s">
        <v>3</v>
      </c>
      <c r="E2840" t="s">
        <v>19</v>
      </c>
      <c r="F2840" t="s">
        <v>11</v>
      </c>
      <c r="G2840" t="s">
        <v>112</v>
      </c>
      <c r="H2840">
        <v>2025</v>
      </c>
      <c r="I2840">
        <v>17576</v>
      </c>
      <c r="J2840">
        <v>19.600000000000001</v>
      </c>
      <c r="K2840" t="s">
        <v>23</v>
      </c>
      <c r="L2840">
        <v>7.8</v>
      </c>
      <c r="M2840">
        <v>10</v>
      </c>
      <c r="N2840">
        <v>1718</v>
      </c>
      <c r="O2840" t="s">
        <v>64</v>
      </c>
      <c r="P2840">
        <v>81</v>
      </c>
      <c r="Q2840" t="s">
        <v>86</v>
      </c>
      <c r="R2840">
        <v>77</v>
      </c>
      <c r="S2840">
        <v>36</v>
      </c>
      <c r="T2840">
        <v>14.4</v>
      </c>
      <c r="U2840">
        <v>4.8</v>
      </c>
      <c r="V2840">
        <v>8.1</v>
      </c>
      <c r="W2840">
        <v>4.5</v>
      </c>
      <c r="X2840" t="s">
        <v>66</v>
      </c>
    </row>
    <row r="2841" spans="2:24" x14ac:dyDescent="0.3">
      <c r="B2841" t="s">
        <v>2934</v>
      </c>
      <c r="C2841" t="s">
        <v>90</v>
      </c>
      <c r="D2841" t="s">
        <v>6</v>
      </c>
      <c r="E2841" t="s">
        <v>17</v>
      </c>
      <c r="F2841" t="s">
        <v>12</v>
      </c>
      <c r="G2841" t="s">
        <v>60</v>
      </c>
      <c r="H2841">
        <v>2024</v>
      </c>
      <c r="I2841">
        <v>14778</v>
      </c>
      <c r="J2841">
        <v>38.5</v>
      </c>
      <c r="K2841" t="s">
        <v>21</v>
      </c>
      <c r="L2841">
        <v>7.7</v>
      </c>
      <c r="M2841">
        <v>10</v>
      </c>
      <c r="N2841">
        <v>1272</v>
      </c>
      <c r="O2841" t="s">
        <v>75</v>
      </c>
      <c r="P2841">
        <v>11</v>
      </c>
      <c r="Q2841" t="s">
        <v>56</v>
      </c>
      <c r="R2841">
        <v>65.8</v>
      </c>
      <c r="S2841">
        <v>32.700000000000003</v>
      </c>
      <c r="T2841">
        <v>-2.8</v>
      </c>
      <c r="U2841">
        <v>6</v>
      </c>
      <c r="V2841">
        <v>4.5</v>
      </c>
      <c r="W2841">
        <v>3.9</v>
      </c>
      <c r="X2841" t="s">
        <v>66</v>
      </c>
    </row>
    <row r="2842" spans="2:24" x14ac:dyDescent="0.3">
      <c r="B2842" t="s">
        <v>2935</v>
      </c>
      <c r="C2842" t="s">
        <v>159</v>
      </c>
      <c r="D2842" t="s">
        <v>7</v>
      </c>
      <c r="E2842" t="s">
        <v>18</v>
      </c>
      <c r="F2842" t="s">
        <v>10</v>
      </c>
      <c r="G2842" t="s">
        <v>112</v>
      </c>
      <c r="H2842">
        <v>2025</v>
      </c>
      <c r="I2842">
        <v>2095</v>
      </c>
      <c r="J2842">
        <v>37.700000000000003</v>
      </c>
      <c r="K2842" t="s">
        <v>21</v>
      </c>
      <c r="L2842">
        <v>14.9</v>
      </c>
      <c r="M2842">
        <v>10</v>
      </c>
      <c r="N2842">
        <v>1865</v>
      </c>
      <c r="O2842" t="s">
        <v>64</v>
      </c>
      <c r="P2842">
        <v>89.9</v>
      </c>
      <c r="Q2842" t="s">
        <v>76</v>
      </c>
      <c r="R2842">
        <v>-36.5</v>
      </c>
      <c r="S2842">
        <v>-24.5</v>
      </c>
      <c r="T2842">
        <v>-8.1</v>
      </c>
      <c r="U2842">
        <v>9.9</v>
      </c>
      <c r="V2842">
        <v>2.4</v>
      </c>
      <c r="W2842">
        <v>1.5</v>
      </c>
      <c r="X2842" t="s">
        <v>66</v>
      </c>
    </row>
    <row r="2843" spans="2:24" x14ac:dyDescent="0.3">
      <c r="B2843" t="s">
        <v>2936</v>
      </c>
      <c r="C2843" t="s">
        <v>53</v>
      </c>
      <c r="D2843" t="s">
        <v>2</v>
      </c>
      <c r="E2843" t="s">
        <v>17</v>
      </c>
      <c r="F2843" t="s">
        <v>9</v>
      </c>
      <c r="G2843" t="s">
        <v>104</v>
      </c>
      <c r="H2843">
        <v>2026</v>
      </c>
      <c r="I2843">
        <v>8698</v>
      </c>
      <c r="J2843">
        <v>9.5</v>
      </c>
      <c r="K2843" t="s">
        <v>21</v>
      </c>
      <c r="L2843">
        <v>6.6</v>
      </c>
      <c r="M2843">
        <v>10</v>
      </c>
      <c r="N2843">
        <v>4515</v>
      </c>
      <c r="O2843" t="s">
        <v>55</v>
      </c>
      <c r="P2843">
        <v>51.3</v>
      </c>
      <c r="Q2843" t="s">
        <v>76</v>
      </c>
      <c r="R2843">
        <v>77.7</v>
      </c>
      <c r="S2843">
        <v>21.7</v>
      </c>
      <c r="T2843">
        <v>9.5</v>
      </c>
      <c r="U2843">
        <v>9.8000000000000007</v>
      </c>
      <c r="V2843">
        <v>5.2</v>
      </c>
      <c r="W2843">
        <v>6.2</v>
      </c>
      <c r="X2843" t="s">
        <v>66</v>
      </c>
    </row>
    <row r="2844" spans="2:24" x14ac:dyDescent="0.3">
      <c r="B2844" t="s">
        <v>2937</v>
      </c>
      <c r="C2844" t="s">
        <v>71</v>
      </c>
      <c r="D2844" t="s">
        <v>5</v>
      </c>
      <c r="E2844" t="s">
        <v>16</v>
      </c>
      <c r="F2844" t="s">
        <v>11</v>
      </c>
      <c r="G2844" t="s">
        <v>74</v>
      </c>
      <c r="H2844">
        <v>2024</v>
      </c>
      <c r="I2844">
        <v>1093</v>
      </c>
      <c r="J2844">
        <v>12.5</v>
      </c>
      <c r="K2844" t="s">
        <v>24</v>
      </c>
      <c r="L2844">
        <v>2.5</v>
      </c>
      <c r="M2844">
        <v>4.3</v>
      </c>
      <c r="N2844">
        <v>378</v>
      </c>
      <c r="O2844" t="s">
        <v>64</v>
      </c>
      <c r="P2844">
        <v>62.8</v>
      </c>
      <c r="Q2844" t="s">
        <v>86</v>
      </c>
      <c r="R2844">
        <v>-33.4</v>
      </c>
      <c r="S2844">
        <v>29.1</v>
      </c>
      <c r="T2844">
        <v>7.4</v>
      </c>
      <c r="U2844">
        <v>2.1</v>
      </c>
      <c r="V2844">
        <v>7.5</v>
      </c>
      <c r="W2844">
        <v>7.3</v>
      </c>
      <c r="X2844" t="s">
        <v>116</v>
      </c>
    </row>
    <row r="2845" spans="2:24" x14ac:dyDescent="0.3">
      <c r="B2845" t="s">
        <v>2938</v>
      </c>
      <c r="C2845" t="s">
        <v>106</v>
      </c>
      <c r="D2845" t="s">
        <v>8</v>
      </c>
      <c r="E2845" t="s">
        <v>14</v>
      </c>
      <c r="F2845" t="s">
        <v>9</v>
      </c>
      <c r="G2845" t="s">
        <v>115</v>
      </c>
      <c r="H2845">
        <v>2026</v>
      </c>
      <c r="I2845">
        <v>5681</v>
      </c>
      <c r="J2845">
        <v>15.1</v>
      </c>
      <c r="K2845" t="s">
        <v>23</v>
      </c>
      <c r="L2845">
        <v>6.3</v>
      </c>
      <c r="M2845">
        <v>10</v>
      </c>
      <c r="N2845">
        <v>565</v>
      </c>
      <c r="O2845" t="s">
        <v>64</v>
      </c>
      <c r="P2845">
        <v>63</v>
      </c>
      <c r="Q2845" t="s">
        <v>125</v>
      </c>
      <c r="R2845">
        <v>10.8</v>
      </c>
      <c r="S2845">
        <v>3.5</v>
      </c>
      <c r="T2845">
        <v>8.5</v>
      </c>
      <c r="U2845">
        <v>7.3</v>
      </c>
      <c r="V2845">
        <v>5.8</v>
      </c>
      <c r="W2845">
        <v>4</v>
      </c>
      <c r="X2845" t="s">
        <v>116</v>
      </c>
    </row>
    <row r="2846" spans="2:24" x14ac:dyDescent="0.3">
      <c r="B2846" t="s">
        <v>2939</v>
      </c>
      <c r="C2846" t="s">
        <v>71</v>
      </c>
      <c r="D2846" t="s">
        <v>6</v>
      </c>
      <c r="E2846" t="s">
        <v>14</v>
      </c>
      <c r="F2846" t="s">
        <v>10</v>
      </c>
      <c r="G2846" t="s">
        <v>63</v>
      </c>
      <c r="H2846">
        <v>2025</v>
      </c>
      <c r="I2846">
        <v>5999</v>
      </c>
      <c r="J2846">
        <v>15.8</v>
      </c>
      <c r="K2846" t="s">
        <v>24</v>
      </c>
      <c r="L2846">
        <v>2.4</v>
      </c>
      <c r="M2846">
        <v>5.3</v>
      </c>
      <c r="N2846">
        <v>4442</v>
      </c>
      <c r="O2846" t="s">
        <v>64</v>
      </c>
      <c r="P2846">
        <v>65.099999999999994</v>
      </c>
      <c r="Q2846" t="s">
        <v>65</v>
      </c>
      <c r="R2846">
        <v>11.4</v>
      </c>
      <c r="S2846">
        <v>21.3</v>
      </c>
      <c r="T2846">
        <v>4</v>
      </c>
      <c r="U2846">
        <v>2.7</v>
      </c>
      <c r="V2846">
        <v>4.7</v>
      </c>
      <c r="W2846">
        <v>5.4</v>
      </c>
      <c r="X2846" t="s">
        <v>116</v>
      </c>
    </row>
    <row r="2847" spans="2:24" x14ac:dyDescent="0.3">
      <c r="B2847" t="s">
        <v>2940</v>
      </c>
      <c r="C2847" t="s">
        <v>92</v>
      </c>
      <c r="D2847" t="s">
        <v>7</v>
      </c>
      <c r="E2847" t="s">
        <v>15</v>
      </c>
      <c r="F2847" t="s">
        <v>10</v>
      </c>
      <c r="G2847" t="s">
        <v>69</v>
      </c>
      <c r="H2847">
        <v>2025</v>
      </c>
      <c r="I2847">
        <v>365</v>
      </c>
      <c r="J2847">
        <v>3.4</v>
      </c>
      <c r="K2847" t="s">
        <v>22</v>
      </c>
      <c r="L2847">
        <v>8.6</v>
      </c>
      <c r="M2847">
        <v>9.4</v>
      </c>
      <c r="N2847">
        <v>3898</v>
      </c>
      <c r="O2847" t="s">
        <v>55</v>
      </c>
      <c r="P2847">
        <v>19.2</v>
      </c>
      <c r="Q2847" t="s">
        <v>56</v>
      </c>
      <c r="R2847">
        <v>5.7</v>
      </c>
      <c r="S2847">
        <v>12.3</v>
      </c>
      <c r="T2847">
        <v>11.1</v>
      </c>
      <c r="U2847">
        <v>7.2</v>
      </c>
      <c r="V2847">
        <v>8.4</v>
      </c>
      <c r="W2847">
        <v>5.9</v>
      </c>
      <c r="X2847" t="s">
        <v>57</v>
      </c>
    </row>
    <row r="2848" spans="2:24" x14ac:dyDescent="0.3">
      <c r="B2848" t="s">
        <v>2941</v>
      </c>
      <c r="C2848" t="s">
        <v>137</v>
      </c>
      <c r="D2848" t="s">
        <v>4</v>
      </c>
      <c r="E2848" t="s">
        <v>15</v>
      </c>
      <c r="F2848" t="s">
        <v>9</v>
      </c>
      <c r="G2848" t="s">
        <v>112</v>
      </c>
      <c r="H2848">
        <v>2025</v>
      </c>
      <c r="I2848">
        <v>9785</v>
      </c>
      <c r="J2848">
        <v>38.299999999999997</v>
      </c>
      <c r="K2848" t="s">
        <v>23</v>
      </c>
      <c r="L2848">
        <v>8.8000000000000007</v>
      </c>
      <c r="M2848">
        <v>10</v>
      </c>
      <c r="N2848">
        <v>1623</v>
      </c>
      <c r="O2848" t="s">
        <v>75</v>
      </c>
      <c r="P2848">
        <v>85.4</v>
      </c>
      <c r="Q2848" t="s">
        <v>84</v>
      </c>
      <c r="R2848">
        <v>-15.2</v>
      </c>
      <c r="S2848">
        <v>-8.5</v>
      </c>
      <c r="T2848">
        <v>-14.8</v>
      </c>
      <c r="U2848">
        <v>7.8</v>
      </c>
      <c r="V2848">
        <v>4.7</v>
      </c>
      <c r="W2848">
        <v>2.6</v>
      </c>
      <c r="X2848" t="s">
        <v>66</v>
      </c>
    </row>
    <row r="2849" spans="2:24" x14ac:dyDescent="0.3">
      <c r="B2849" t="s">
        <v>2942</v>
      </c>
      <c r="C2849" t="s">
        <v>53</v>
      </c>
      <c r="D2849" t="s">
        <v>4</v>
      </c>
      <c r="E2849" t="s">
        <v>16</v>
      </c>
      <c r="F2849" t="s">
        <v>9</v>
      </c>
      <c r="G2849" t="s">
        <v>104</v>
      </c>
      <c r="H2849">
        <v>2026</v>
      </c>
      <c r="I2849">
        <v>2216</v>
      </c>
      <c r="J2849">
        <v>9</v>
      </c>
      <c r="K2849" t="s">
        <v>24</v>
      </c>
      <c r="L2849">
        <v>6.1</v>
      </c>
      <c r="M2849">
        <v>2.6</v>
      </c>
      <c r="N2849">
        <v>4489</v>
      </c>
      <c r="O2849" t="s">
        <v>64</v>
      </c>
      <c r="P2849">
        <v>78.5</v>
      </c>
      <c r="Q2849" t="s">
        <v>65</v>
      </c>
      <c r="R2849">
        <v>-8.6999999999999993</v>
      </c>
      <c r="S2849">
        <v>-12.8</v>
      </c>
      <c r="T2849">
        <v>-13</v>
      </c>
      <c r="U2849">
        <v>4.0999999999999996</v>
      </c>
      <c r="V2849">
        <v>4.3</v>
      </c>
      <c r="W2849">
        <v>5.2</v>
      </c>
      <c r="X2849" t="s">
        <v>57</v>
      </c>
    </row>
    <row r="2850" spans="2:24" x14ac:dyDescent="0.3">
      <c r="B2850" t="s">
        <v>2943</v>
      </c>
      <c r="C2850" t="s">
        <v>53</v>
      </c>
      <c r="D2850" t="s">
        <v>4</v>
      </c>
      <c r="E2850" t="s">
        <v>17</v>
      </c>
      <c r="F2850" t="s">
        <v>12</v>
      </c>
      <c r="G2850" t="s">
        <v>78</v>
      </c>
      <c r="H2850">
        <v>2025</v>
      </c>
      <c r="I2850">
        <v>18353</v>
      </c>
      <c r="J2850">
        <v>20.2</v>
      </c>
      <c r="K2850" t="s">
        <v>23</v>
      </c>
      <c r="L2850">
        <v>2.2999999999999998</v>
      </c>
      <c r="M2850">
        <v>7.5</v>
      </c>
      <c r="N2850">
        <v>1578</v>
      </c>
      <c r="O2850" t="s">
        <v>75</v>
      </c>
      <c r="P2850">
        <v>44.1</v>
      </c>
      <c r="Q2850" t="s">
        <v>65</v>
      </c>
      <c r="R2850">
        <v>-39</v>
      </c>
      <c r="S2850">
        <v>7.4</v>
      </c>
      <c r="T2850">
        <v>1.9</v>
      </c>
      <c r="U2850">
        <v>3</v>
      </c>
      <c r="V2850">
        <v>7.2</v>
      </c>
      <c r="W2850">
        <v>3.8</v>
      </c>
      <c r="X2850" t="s">
        <v>66</v>
      </c>
    </row>
    <row r="2851" spans="2:24" x14ac:dyDescent="0.3">
      <c r="B2851" t="s">
        <v>2944</v>
      </c>
      <c r="C2851" t="s">
        <v>142</v>
      </c>
      <c r="D2851" t="s">
        <v>2</v>
      </c>
      <c r="E2851" t="s">
        <v>14</v>
      </c>
      <c r="F2851" t="s">
        <v>12</v>
      </c>
      <c r="G2851" t="s">
        <v>78</v>
      </c>
      <c r="H2851">
        <v>2025</v>
      </c>
      <c r="I2851">
        <v>161</v>
      </c>
      <c r="J2851">
        <v>9.6</v>
      </c>
      <c r="K2851" t="s">
        <v>24</v>
      </c>
      <c r="L2851">
        <v>5</v>
      </c>
      <c r="M2851">
        <v>10</v>
      </c>
      <c r="N2851">
        <v>2877</v>
      </c>
      <c r="O2851" t="s">
        <v>55</v>
      </c>
      <c r="P2851">
        <v>29.9</v>
      </c>
      <c r="Q2851" t="s">
        <v>56</v>
      </c>
      <c r="R2851">
        <v>7.9</v>
      </c>
      <c r="S2851">
        <v>40.5</v>
      </c>
      <c r="T2851">
        <v>18.399999999999999</v>
      </c>
      <c r="U2851">
        <v>6.3</v>
      </c>
      <c r="V2851">
        <v>7.1</v>
      </c>
      <c r="W2851">
        <v>6.1</v>
      </c>
      <c r="X2851" t="s">
        <v>57</v>
      </c>
    </row>
    <row r="2852" spans="2:24" x14ac:dyDescent="0.3">
      <c r="B2852" t="s">
        <v>2945</v>
      </c>
      <c r="C2852" t="s">
        <v>62</v>
      </c>
      <c r="D2852" t="s">
        <v>2</v>
      </c>
      <c r="E2852" t="s">
        <v>14</v>
      </c>
      <c r="F2852" t="s">
        <v>9</v>
      </c>
      <c r="G2852" t="s">
        <v>115</v>
      </c>
      <c r="H2852">
        <v>2025</v>
      </c>
      <c r="I2852">
        <v>11726</v>
      </c>
      <c r="J2852">
        <v>22.4</v>
      </c>
      <c r="K2852" t="s">
        <v>24</v>
      </c>
      <c r="L2852">
        <v>2.7</v>
      </c>
      <c r="M2852">
        <v>6.9</v>
      </c>
      <c r="N2852">
        <v>9144</v>
      </c>
      <c r="O2852" t="s">
        <v>64</v>
      </c>
      <c r="P2852">
        <v>29.3</v>
      </c>
      <c r="Q2852" t="s">
        <v>76</v>
      </c>
      <c r="R2852">
        <v>-38.6</v>
      </c>
      <c r="S2852">
        <v>25.1</v>
      </c>
      <c r="T2852">
        <v>8.6</v>
      </c>
      <c r="U2852">
        <v>2.4</v>
      </c>
      <c r="V2852">
        <v>4.2</v>
      </c>
      <c r="W2852">
        <v>4.9000000000000004</v>
      </c>
      <c r="X2852" t="s">
        <v>66</v>
      </c>
    </row>
    <row r="2853" spans="2:24" x14ac:dyDescent="0.3">
      <c r="B2853" t="s">
        <v>2946</v>
      </c>
      <c r="C2853" t="s">
        <v>159</v>
      </c>
      <c r="D2853" t="s">
        <v>7</v>
      </c>
      <c r="E2853" t="s">
        <v>17</v>
      </c>
      <c r="F2853" t="s">
        <v>12</v>
      </c>
      <c r="G2853" t="s">
        <v>131</v>
      </c>
      <c r="H2853">
        <v>2026</v>
      </c>
      <c r="I2853">
        <v>13884</v>
      </c>
      <c r="J2853">
        <v>10.1</v>
      </c>
      <c r="K2853" t="s">
        <v>21</v>
      </c>
      <c r="L2853">
        <v>4.5</v>
      </c>
      <c r="M2853">
        <v>9.1999999999999993</v>
      </c>
      <c r="N2853">
        <v>1602</v>
      </c>
      <c r="O2853" t="s">
        <v>64</v>
      </c>
      <c r="P2853">
        <v>29.7</v>
      </c>
      <c r="Q2853" t="s">
        <v>86</v>
      </c>
      <c r="R2853">
        <v>10.9</v>
      </c>
      <c r="S2853">
        <v>19.7</v>
      </c>
      <c r="T2853">
        <v>10.3</v>
      </c>
      <c r="U2853">
        <v>3.7</v>
      </c>
      <c r="V2853">
        <v>4.8</v>
      </c>
      <c r="W2853">
        <v>5.2</v>
      </c>
      <c r="X2853" t="s">
        <v>66</v>
      </c>
    </row>
    <row r="2854" spans="2:24" x14ac:dyDescent="0.3">
      <c r="B2854" t="s">
        <v>2947</v>
      </c>
      <c r="C2854" t="s">
        <v>90</v>
      </c>
      <c r="D2854" t="s">
        <v>5</v>
      </c>
      <c r="E2854" t="s">
        <v>14</v>
      </c>
      <c r="F2854" t="s">
        <v>11</v>
      </c>
      <c r="G2854" t="s">
        <v>131</v>
      </c>
      <c r="H2854">
        <v>2025</v>
      </c>
      <c r="I2854">
        <v>4246</v>
      </c>
      <c r="J2854">
        <v>25</v>
      </c>
      <c r="K2854" t="s">
        <v>22</v>
      </c>
      <c r="L2854">
        <v>7.2</v>
      </c>
      <c r="M2854">
        <v>8.1999999999999993</v>
      </c>
      <c r="N2854">
        <v>770</v>
      </c>
      <c r="O2854" t="s">
        <v>75</v>
      </c>
      <c r="P2854">
        <v>63</v>
      </c>
      <c r="Q2854" t="s">
        <v>65</v>
      </c>
      <c r="R2854">
        <v>-2.9</v>
      </c>
      <c r="S2854">
        <v>-0.1</v>
      </c>
      <c r="T2854">
        <v>-11.1</v>
      </c>
      <c r="U2854">
        <v>4.5</v>
      </c>
      <c r="V2854">
        <v>6.6</v>
      </c>
      <c r="W2854">
        <v>4.5999999999999996</v>
      </c>
      <c r="X2854" t="s">
        <v>66</v>
      </c>
    </row>
    <row r="2855" spans="2:24" x14ac:dyDescent="0.3">
      <c r="B2855" t="s">
        <v>2948</v>
      </c>
      <c r="C2855" t="s">
        <v>90</v>
      </c>
      <c r="D2855" t="s">
        <v>3</v>
      </c>
      <c r="E2855" t="s">
        <v>15</v>
      </c>
      <c r="F2855" t="s">
        <v>9</v>
      </c>
      <c r="G2855" t="s">
        <v>69</v>
      </c>
      <c r="H2855">
        <v>2024</v>
      </c>
      <c r="I2855">
        <v>2383</v>
      </c>
      <c r="J2855">
        <v>4.2</v>
      </c>
      <c r="K2855" t="s">
        <v>22</v>
      </c>
      <c r="L2855">
        <v>3.8</v>
      </c>
      <c r="M2855">
        <v>7.6</v>
      </c>
      <c r="N2855">
        <v>4997</v>
      </c>
      <c r="O2855" t="s">
        <v>55</v>
      </c>
      <c r="P2855">
        <v>85.6</v>
      </c>
      <c r="Q2855" t="s">
        <v>76</v>
      </c>
      <c r="R2855">
        <v>-9.3000000000000007</v>
      </c>
      <c r="S2855">
        <v>6.2</v>
      </c>
      <c r="T2855">
        <v>8.1</v>
      </c>
      <c r="U2855">
        <v>5.8</v>
      </c>
      <c r="V2855">
        <v>5.8</v>
      </c>
      <c r="W2855">
        <v>6.2</v>
      </c>
      <c r="X2855" t="s">
        <v>57</v>
      </c>
    </row>
    <row r="2856" spans="2:24" x14ac:dyDescent="0.3">
      <c r="B2856" t="s">
        <v>2949</v>
      </c>
      <c r="C2856" t="s">
        <v>90</v>
      </c>
      <c r="D2856" t="s">
        <v>6</v>
      </c>
      <c r="E2856" t="s">
        <v>14</v>
      </c>
      <c r="F2856" t="s">
        <v>12</v>
      </c>
      <c r="G2856" t="s">
        <v>74</v>
      </c>
      <c r="H2856">
        <v>2026</v>
      </c>
      <c r="I2856">
        <v>4914</v>
      </c>
      <c r="J2856">
        <v>7.5</v>
      </c>
      <c r="K2856" t="s">
        <v>21</v>
      </c>
      <c r="L2856">
        <v>1.9</v>
      </c>
      <c r="M2856">
        <v>3.6</v>
      </c>
      <c r="N2856">
        <v>4541</v>
      </c>
      <c r="O2856" t="s">
        <v>64</v>
      </c>
      <c r="P2856">
        <v>12.7</v>
      </c>
      <c r="Q2856" t="s">
        <v>79</v>
      </c>
      <c r="R2856">
        <v>-1</v>
      </c>
      <c r="S2856">
        <v>-4.5999999999999996</v>
      </c>
      <c r="T2856">
        <v>6.1</v>
      </c>
      <c r="U2856">
        <v>1.4</v>
      </c>
      <c r="V2856">
        <v>6.5</v>
      </c>
      <c r="W2856">
        <v>6.1</v>
      </c>
      <c r="X2856" t="s">
        <v>116</v>
      </c>
    </row>
    <row r="2857" spans="2:24" x14ac:dyDescent="0.3">
      <c r="B2857" t="s">
        <v>2950</v>
      </c>
      <c r="C2857" t="s">
        <v>53</v>
      </c>
      <c r="D2857" t="s">
        <v>7</v>
      </c>
      <c r="E2857" t="s">
        <v>19</v>
      </c>
      <c r="F2857" t="s">
        <v>10</v>
      </c>
      <c r="G2857" t="s">
        <v>54</v>
      </c>
      <c r="H2857">
        <v>2025</v>
      </c>
      <c r="I2857">
        <v>19278</v>
      </c>
      <c r="J2857">
        <v>27.6</v>
      </c>
      <c r="K2857" t="s">
        <v>22</v>
      </c>
      <c r="L2857">
        <v>3</v>
      </c>
      <c r="M2857">
        <v>8.5</v>
      </c>
      <c r="N2857">
        <v>1555</v>
      </c>
      <c r="O2857" t="s">
        <v>75</v>
      </c>
      <c r="P2857">
        <v>36.4</v>
      </c>
      <c r="Q2857" t="s">
        <v>86</v>
      </c>
      <c r="R2857">
        <v>8</v>
      </c>
      <c r="S2857">
        <v>48.2</v>
      </c>
      <c r="T2857">
        <v>4.5999999999999996</v>
      </c>
      <c r="U2857">
        <v>2.7</v>
      </c>
      <c r="V2857">
        <v>5.0999999999999996</v>
      </c>
      <c r="W2857">
        <v>5.5</v>
      </c>
      <c r="X2857" t="s">
        <v>66</v>
      </c>
    </row>
    <row r="2858" spans="2:24" x14ac:dyDescent="0.3">
      <c r="B2858" t="s">
        <v>2951</v>
      </c>
      <c r="C2858" t="s">
        <v>71</v>
      </c>
      <c r="D2858" t="s">
        <v>6</v>
      </c>
      <c r="E2858" t="s">
        <v>16</v>
      </c>
      <c r="F2858" t="s">
        <v>12</v>
      </c>
      <c r="G2858" t="s">
        <v>115</v>
      </c>
      <c r="H2858">
        <v>2025</v>
      </c>
      <c r="I2858">
        <v>7908</v>
      </c>
      <c r="J2858">
        <v>12.9</v>
      </c>
      <c r="K2858" t="s">
        <v>21</v>
      </c>
      <c r="L2858">
        <v>7.5</v>
      </c>
      <c r="M2858">
        <v>10</v>
      </c>
      <c r="N2858">
        <v>612</v>
      </c>
      <c r="O2858" t="s">
        <v>64</v>
      </c>
      <c r="P2858">
        <v>59</v>
      </c>
      <c r="Q2858" t="s">
        <v>65</v>
      </c>
      <c r="R2858">
        <v>69.2</v>
      </c>
      <c r="S2858">
        <v>22.3</v>
      </c>
      <c r="T2858">
        <v>2</v>
      </c>
      <c r="U2858">
        <v>7</v>
      </c>
      <c r="V2858">
        <v>7.3</v>
      </c>
      <c r="W2858">
        <v>5.8</v>
      </c>
      <c r="X2858" t="s">
        <v>66</v>
      </c>
    </row>
    <row r="2859" spans="2:24" x14ac:dyDescent="0.3">
      <c r="B2859" t="s">
        <v>2952</v>
      </c>
      <c r="C2859" t="s">
        <v>137</v>
      </c>
      <c r="D2859" t="s">
        <v>3</v>
      </c>
      <c r="E2859" t="s">
        <v>15</v>
      </c>
      <c r="F2859" t="s">
        <v>12</v>
      </c>
      <c r="G2859" t="s">
        <v>63</v>
      </c>
      <c r="H2859">
        <v>2024</v>
      </c>
      <c r="I2859">
        <v>791</v>
      </c>
      <c r="J2859">
        <v>8.6</v>
      </c>
      <c r="K2859" t="s">
        <v>25</v>
      </c>
      <c r="L2859">
        <v>7</v>
      </c>
      <c r="M2859">
        <v>3.7</v>
      </c>
      <c r="N2859">
        <v>5745</v>
      </c>
      <c r="O2859" t="s">
        <v>55</v>
      </c>
      <c r="P2859">
        <v>89.9</v>
      </c>
      <c r="Q2859" t="s">
        <v>86</v>
      </c>
      <c r="R2859">
        <v>23.8</v>
      </c>
      <c r="S2859">
        <v>43.6</v>
      </c>
      <c r="T2859">
        <v>14.5</v>
      </c>
      <c r="U2859">
        <v>4.8</v>
      </c>
      <c r="V2859">
        <v>7.4</v>
      </c>
      <c r="W2859">
        <v>7.7</v>
      </c>
      <c r="X2859" t="s">
        <v>57</v>
      </c>
    </row>
    <row r="2860" spans="2:24" x14ac:dyDescent="0.3">
      <c r="B2860" t="s">
        <v>2953</v>
      </c>
      <c r="C2860" t="s">
        <v>53</v>
      </c>
      <c r="D2860" t="s">
        <v>7</v>
      </c>
      <c r="E2860" t="s">
        <v>17</v>
      </c>
      <c r="F2860" t="s">
        <v>11</v>
      </c>
      <c r="G2860" t="s">
        <v>74</v>
      </c>
      <c r="H2860">
        <v>2026</v>
      </c>
      <c r="I2860">
        <v>1281</v>
      </c>
      <c r="J2860">
        <v>9.1999999999999993</v>
      </c>
      <c r="K2860" t="s">
        <v>22</v>
      </c>
      <c r="L2860">
        <v>10.4</v>
      </c>
      <c r="M2860">
        <v>9.4</v>
      </c>
      <c r="N2860">
        <v>4370</v>
      </c>
      <c r="O2860" t="s">
        <v>55</v>
      </c>
      <c r="P2860">
        <v>74.5</v>
      </c>
      <c r="Q2860" t="s">
        <v>84</v>
      </c>
      <c r="R2860">
        <v>31.8</v>
      </c>
      <c r="S2860">
        <v>-18</v>
      </c>
      <c r="T2860">
        <v>-12.7</v>
      </c>
      <c r="U2860">
        <v>7.8</v>
      </c>
      <c r="V2860">
        <v>6.7</v>
      </c>
      <c r="W2860">
        <v>4.5999999999999996</v>
      </c>
      <c r="X2860" t="s">
        <v>57</v>
      </c>
    </row>
    <row r="2861" spans="2:24" x14ac:dyDescent="0.3">
      <c r="B2861" t="s">
        <v>2954</v>
      </c>
      <c r="C2861" t="s">
        <v>139</v>
      </c>
      <c r="D2861" t="s">
        <v>8</v>
      </c>
      <c r="E2861" t="s">
        <v>14</v>
      </c>
      <c r="F2861" t="s">
        <v>9</v>
      </c>
      <c r="G2861" t="s">
        <v>115</v>
      </c>
      <c r="H2861">
        <v>2024</v>
      </c>
      <c r="I2861">
        <v>17882</v>
      </c>
      <c r="J2861">
        <v>28.6</v>
      </c>
      <c r="K2861" t="s">
        <v>21</v>
      </c>
      <c r="L2861">
        <v>2.7</v>
      </c>
      <c r="M2861">
        <v>6.7</v>
      </c>
      <c r="N2861">
        <v>1471</v>
      </c>
      <c r="O2861" t="s">
        <v>75</v>
      </c>
      <c r="P2861">
        <v>83.5</v>
      </c>
      <c r="Q2861" t="s">
        <v>79</v>
      </c>
      <c r="R2861">
        <v>54.7</v>
      </c>
      <c r="S2861">
        <v>-8.1</v>
      </c>
      <c r="T2861">
        <v>-20.2</v>
      </c>
      <c r="U2861">
        <v>2.5</v>
      </c>
      <c r="V2861">
        <v>5.4</v>
      </c>
      <c r="W2861">
        <v>4.4000000000000004</v>
      </c>
      <c r="X2861" t="s">
        <v>66</v>
      </c>
    </row>
    <row r="2862" spans="2:24" x14ac:dyDescent="0.3">
      <c r="B2862" t="s">
        <v>2955</v>
      </c>
      <c r="C2862" t="s">
        <v>71</v>
      </c>
      <c r="D2862" t="s">
        <v>5</v>
      </c>
      <c r="E2862" t="s">
        <v>15</v>
      </c>
      <c r="F2862" t="s">
        <v>9</v>
      </c>
      <c r="G2862" t="s">
        <v>131</v>
      </c>
      <c r="H2862">
        <v>2026</v>
      </c>
      <c r="I2862">
        <v>1010</v>
      </c>
      <c r="J2862">
        <v>3.5</v>
      </c>
      <c r="K2862" t="s">
        <v>24</v>
      </c>
      <c r="L2862">
        <v>7</v>
      </c>
      <c r="M2862">
        <v>8.1</v>
      </c>
      <c r="N2862">
        <v>766</v>
      </c>
      <c r="O2862" t="s">
        <v>64</v>
      </c>
      <c r="P2862">
        <v>38.5</v>
      </c>
      <c r="Q2862" t="s">
        <v>86</v>
      </c>
      <c r="R2862">
        <v>17.7</v>
      </c>
      <c r="S2862">
        <v>41.2</v>
      </c>
      <c r="T2862">
        <v>23.3</v>
      </c>
      <c r="U2862">
        <v>6</v>
      </c>
      <c r="V2862">
        <v>6</v>
      </c>
      <c r="W2862">
        <v>6.6</v>
      </c>
      <c r="X2862" t="s">
        <v>57</v>
      </c>
    </row>
    <row r="2863" spans="2:24" x14ac:dyDescent="0.3">
      <c r="B2863" t="s">
        <v>2956</v>
      </c>
      <c r="C2863" t="s">
        <v>90</v>
      </c>
      <c r="D2863" t="s">
        <v>3</v>
      </c>
      <c r="E2863" t="s">
        <v>19</v>
      </c>
      <c r="F2863" t="s">
        <v>9</v>
      </c>
      <c r="G2863" t="s">
        <v>60</v>
      </c>
      <c r="H2863">
        <v>2024</v>
      </c>
      <c r="I2863">
        <v>2612</v>
      </c>
      <c r="J2863">
        <v>3.2</v>
      </c>
      <c r="K2863" t="s">
        <v>24</v>
      </c>
      <c r="L2863">
        <v>4.2</v>
      </c>
      <c r="M2863">
        <v>3.8</v>
      </c>
      <c r="N2863">
        <v>4665</v>
      </c>
      <c r="O2863" t="s">
        <v>55</v>
      </c>
      <c r="P2863">
        <v>41.5</v>
      </c>
      <c r="Q2863" t="s">
        <v>86</v>
      </c>
      <c r="R2863">
        <v>-25.9</v>
      </c>
      <c r="S2863">
        <v>7.9</v>
      </c>
      <c r="T2863">
        <v>0.1</v>
      </c>
      <c r="U2863">
        <v>3.2</v>
      </c>
      <c r="V2863">
        <v>6.9</v>
      </c>
      <c r="W2863">
        <v>7.8</v>
      </c>
      <c r="X2863" t="s">
        <v>116</v>
      </c>
    </row>
    <row r="2864" spans="2:24" x14ac:dyDescent="0.3">
      <c r="B2864" t="s">
        <v>2957</v>
      </c>
      <c r="C2864" t="s">
        <v>97</v>
      </c>
      <c r="D2864" t="s">
        <v>3</v>
      </c>
      <c r="E2864" t="s">
        <v>17</v>
      </c>
      <c r="F2864" t="s">
        <v>10</v>
      </c>
      <c r="G2864" t="s">
        <v>74</v>
      </c>
      <c r="H2864">
        <v>2025</v>
      </c>
      <c r="I2864">
        <v>6376</v>
      </c>
      <c r="J2864">
        <v>7.8</v>
      </c>
      <c r="K2864" t="s">
        <v>21</v>
      </c>
      <c r="L2864">
        <v>5.4</v>
      </c>
      <c r="M2864">
        <v>5.3</v>
      </c>
      <c r="N2864">
        <v>343</v>
      </c>
      <c r="O2864" t="s">
        <v>64</v>
      </c>
      <c r="P2864">
        <v>14.4</v>
      </c>
      <c r="Q2864" t="s">
        <v>76</v>
      </c>
      <c r="R2864">
        <v>1.5</v>
      </c>
      <c r="S2864">
        <v>-6.3</v>
      </c>
      <c r="T2864">
        <v>-5.6</v>
      </c>
      <c r="U2864">
        <v>3.3</v>
      </c>
      <c r="V2864">
        <v>6</v>
      </c>
      <c r="W2864">
        <v>5.6</v>
      </c>
      <c r="X2864" t="s">
        <v>116</v>
      </c>
    </row>
    <row r="2865" spans="2:24" x14ac:dyDescent="0.3">
      <c r="B2865" t="s">
        <v>2958</v>
      </c>
      <c r="C2865" t="s">
        <v>73</v>
      </c>
      <c r="D2865" t="s">
        <v>2</v>
      </c>
      <c r="E2865" t="s">
        <v>14</v>
      </c>
      <c r="F2865" t="s">
        <v>10</v>
      </c>
      <c r="G2865" t="s">
        <v>60</v>
      </c>
      <c r="H2865">
        <v>2025</v>
      </c>
      <c r="I2865">
        <v>857</v>
      </c>
      <c r="J2865">
        <v>10.3</v>
      </c>
      <c r="K2865" t="s">
        <v>25</v>
      </c>
      <c r="L2865">
        <v>11.3</v>
      </c>
      <c r="M2865">
        <v>10</v>
      </c>
      <c r="N2865">
        <v>2210</v>
      </c>
      <c r="O2865" t="s">
        <v>64</v>
      </c>
      <c r="P2865">
        <v>85.9</v>
      </c>
      <c r="Q2865" t="s">
        <v>56</v>
      </c>
      <c r="R2865">
        <v>73.099999999999994</v>
      </c>
      <c r="S2865">
        <v>41.2</v>
      </c>
      <c r="T2865">
        <v>13.2</v>
      </c>
      <c r="U2865">
        <v>9.9</v>
      </c>
      <c r="V2865">
        <v>9.4</v>
      </c>
      <c r="W2865">
        <v>5.7</v>
      </c>
      <c r="X2865" t="s">
        <v>116</v>
      </c>
    </row>
    <row r="2866" spans="2:24" x14ac:dyDescent="0.3">
      <c r="B2866" t="s">
        <v>2959</v>
      </c>
      <c r="C2866" t="s">
        <v>92</v>
      </c>
      <c r="D2866" t="s">
        <v>7</v>
      </c>
      <c r="E2866" t="s">
        <v>16</v>
      </c>
      <c r="F2866" t="s">
        <v>12</v>
      </c>
      <c r="G2866" t="s">
        <v>98</v>
      </c>
      <c r="H2866">
        <v>2025</v>
      </c>
      <c r="I2866">
        <v>6702</v>
      </c>
      <c r="J2866">
        <v>10.5</v>
      </c>
      <c r="K2866" t="s">
        <v>22</v>
      </c>
      <c r="L2866">
        <v>1.7</v>
      </c>
      <c r="M2866">
        <v>1.6</v>
      </c>
      <c r="N2866">
        <v>2387</v>
      </c>
      <c r="O2866" t="s">
        <v>64</v>
      </c>
      <c r="P2866">
        <v>53.2</v>
      </c>
      <c r="Q2866" t="s">
        <v>88</v>
      </c>
      <c r="R2866">
        <v>-7.2</v>
      </c>
      <c r="S2866">
        <v>34</v>
      </c>
      <c r="T2866">
        <v>7.6</v>
      </c>
      <c r="U2866">
        <v>1.1000000000000001</v>
      </c>
      <c r="V2866">
        <v>6.1</v>
      </c>
      <c r="W2866">
        <v>7.8</v>
      </c>
      <c r="X2866" t="s">
        <v>116</v>
      </c>
    </row>
    <row r="2867" spans="2:24" x14ac:dyDescent="0.3">
      <c r="B2867" t="s">
        <v>2960</v>
      </c>
      <c r="C2867" t="s">
        <v>106</v>
      </c>
      <c r="D2867" t="s">
        <v>2</v>
      </c>
      <c r="E2867" t="s">
        <v>14</v>
      </c>
      <c r="F2867" t="s">
        <v>12</v>
      </c>
      <c r="G2867" t="s">
        <v>98</v>
      </c>
      <c r="H2867">
        <v>2024</v>
      </c>
      <c r="I2867">
        <v>1995</v>
      </c>
      <c r="J2867">
        <v>5.4</v>
      </c>
      <c r="K2867" t="s">
        <v>22</v>
      </c>
      <c r="L2867">
        <v>5.0999999999999996</v>
      </c>
      <c r="M2867">
        <v>7.4</v>
      </c>
      <c r="N2867">
        <v>8867</v>
      </c>
      <c r="O2867" t="s">
        <v>118</v>
      </c>
      <c r="P2867">
        <v>74.5</v>
      </c>
      <c r="Q2867" t="s">
        <v>56</v>
      </c>
      <c r="R2867">
        <v>21.7</v>
      </c>
      <c r="S2867">
        <v>50.2</v>
      </c>
      <c r="T2867">
        <v>25.7</v>
      </c>
      <c r="U2867">
        <v>5.4</v>
      </c>
      <c r="V2867">
        <v>8.4</v>
      </c>
      <c r="W2867">
        <v>8</v>
      </c>
      <c r="X2867" t="s">
        <v>57</v>
      </c>
    </row>
    <row r="2868" spans="2:24" x14ac:dyDescent="0.3">
      <c r="B2868" t="s">
        <v>2961</v>
      </c>
      <c r="C2868" t="s">
        <v>106</v>
      </c>
      <c r="D2868" t="s">
        <v>2</v>
      </c>
      <c r="E2868" t="s">
        <v>16</v>
      </c>
      <c r="F2868" t="s">
        <v>12</v>
      </c>
      <c r="G2868" t="s">
        <v>104</v>
      </c>
      <c r="H2868">
        <v>2025</v>
      </c>
      <c r="I2868">
        <v>1861</v>
      </c>
      <c r="J2868">
        <v>6</v>
      </c>
      <c r="K2868" t="s">
        <v>24</v>
      </c>
      <c r="L2868">
        <v>13.4</v>
      </c>
      <c r="M2868">
        <v>9.6</v>
      </c>
      <c r="N2868">
        <v>8955</v>
      </c>
      <c r="O2868" t="s">
        <v>55</v>
      </c>
      <c r="P2868">
        <v>30.9</v>
      </c>
      <c r="Q2868" t="s">
        <v>76</v>
      </c>
      <c r="R2868">
        <v>-7.1</v>
      </c>
      <c r="S2868">
        <v>37</v>
      </c>
      <c r="T2868">
        <v>19.899999999999999</v>
      </c>
      <c r="U2868">
        <v>8.8000000000000007</v>
      </c>
      <c r="V2868">
        <v>7.4</v>
      </c>
      <c r="W2868">
        <v>6.9</v>
      </c>
      <c r="X2868" t="s">
        <v>57</v>
      </c>
    </row>
    <row r="2869" spans="2:24" x14ac:dyDescent="0.3">
      <c r="B2869" t="s">
        <v>2962</v>
      </c>
      <c r="C2869" t="s">
        <v>68</v>
      </c>
      <c r="D2869" t="s">
        <v>8</v>
      </c>
      <c r="E2869" t="s">
        <v>15</v>
      </c>
      <c r="F2869" t="s">
        <v>11</v>
      </c>
      <c r="G2869" t="s">
        <v>78</v>
      </c>
      <c r="H2869">
        <v>2025</v>
      </c>
      <c r="I2869">
        <v>2493</v>
      </c>
      <c r="J2869">
        <v>17.3</v>
      </c>
      <c r="K2869" t="s">
        <v>21</v>
      </c>
      <c r="L2869">
        <v>1.5</v>
      </c>
      <c r="M2869">
        <v>5.5</v>
      </c>
      <c r="N2869">
        <v>4663</v>
      </c>
      <c r="O2869" t="s">
        <v>64</v>
      </c>
      <c r="P2869">
        <v>83.9</v>
      </c>
      <c r="Q2869" t="s">
        <v>56</v>
      </c>
      <c r="R2869">
        <v>60.1</v>
      </c>
      <c r="S2869">
        <v>-21.5</v>
      </c>
      <c r="T2869">
        <v>-4.5</v>
      </c>
      <c r="U2869">
        <v>1.3</v>
      </c>
      <c r="V2869">
        <v>4.2</v>
      </c>
      <c r="W2869">
        <v>4.2</v>
      </c>
      <c r="X2869" t="s">
        <v>116</v>
      </c>
    </row>
    <row r="2870" spans="2:24" x14ac:dyDescent="0.3">
      <c r="B2870" t="s">
        <v>2963</v>
      </c>
      <c r="C2870" t="s">
        <v>71</v>
      </c>
      <c r="D2870" t="s">
        <v>6</v>
      </c>
      <c r="E2870" t="s">
        <v>15</v>
      </c>
      <c r="F2870" t="s">
        <v>12</v>
      </c>
      <c r="G2870" t="s">
        <v>104</v>
      </c>
      <c r="H2870">
        <v>2024</v>
      </c>
      <c r="I2870">
        <v>4919</v>
      </c>
      <c r="J2870">
        <v>18.5</v>
      </c>
      <c r="K2870" t="s">
        <v>23</v>
      </c>
      <c r="L2870">
        <v>10.1</v>
      </c>
      <c r="M2870">
        <v>10</v>
      </c>
      <c r="N2870">
        <v>1003</v>
      </c>
      <c r="O2870" t="s">
        <v>64</v>
      </c>
      <c r="P2870">
        <v>30.9</v>
      </c>
      <c r="Q2870" t="s">
        <v>76</v>
      </c>
      <c r="R2870">
        <v>75</v>
      </c>
      <c r="S2870">
        <v>21.5</v>
      </c>
      <c r="T2870">
        <v>11</v>
      </c>
      <c r="U2870">
        <v>9</v>
      </c>
      <c r="V2870">
        <v>7.7</v>
      </c>
      <c r="W2870">
        <v>5.0999999999999996</v>
      </c>
      <c r="X2870" t="s">
        <v>66</v>
      </c>
    </row>
    <row r="2871" spans="2:24" x14ac:dyDescent="0.3">
      <c r="B2871" t="s">
        <v>2964</v>
      </c>
      <c r="C2871" t="s">
        <v>90</v>
      </c>
      <c r="D2871" t="s">
        <v>6</v>
      </c>
      <c r="E2871" t="s">
        <v>14</v>
      </c>
      <c r="F2871" t="s">
        <v>11</v>
      </c>
      <c r="G2871" t="s">
        <v>54</v>
      </c>
      <c r="H2871">
        <v>2025</v>
      </c>
      <c r="I2871">
        <v>2632</v>
      </c>
      <c r="J2871">
        <v>12.8</v>
      </c>
      <c r="K2871" t="s">
        <v>25</v>
      </c>
      <c r="L2871">
        <v>14.2</v>
      </c>
      <c r="M2871">
        <v>10</v>
      </c>
      <c r="N2871">
        <v>5173</v>
      </c>
      <c r="O2871" t="s">
        <v>55</v>
      </c>
      <c r="P2871">
        <v>21.5</v>
      </c>
      <c r="Q2871" t="s">
        <v>88</v>
      </c>
      <c r="R2871">
        <v>-35.1</v>
      </c>
      <c r="S2871">
        <v>-3.1</v>
      </c>
      <c r="T2871">
        <v>-8.1</v>
      </c>
      <c r="U2871">
        <v>8.8000000000000007</v>
      </c>
      <c r="V2871">
        <v>5.5</v>
      </c>
      <c r="W2871">
        <v>4.8</v>
      </c>
      <c r="X2871" t="s">
        <v>116</v>
      </c>
    </row>
    <row r="2872" spans="2:24" x14ac:dyDescent="0.3">
      <c r="B2872" t="s">
        <v>2965</v>
      </c>
      <c r="C2872" t="s">
        <v>90</v>
      </c>
      <c r="D2872" t="s">
        <v>5</v>
      </c>
      <c r="E2872" t="s">
        <v>16</v>
      </c>
      <c r="F2872" t="s">
        <v>11</v>
      </c>
      <c r="G2872" t="s">
        <v>63</v>
      </c>
      <c r="H2872">
        <v>2026</v>
      </c>
      <c r="I2872">
        <v>15625</v>
      </c>
      <c r="J2872">
        <v>20.6</v>
      </c>
      <c r="K2872" t="s">
        <v>21</v>
      </c>
      <c r="L2872">
        <v>5.4</v>
      </c>
      <c r="M2872">
        <v>10</v>
      </c>
      <c r="N2872">
        <v>1394</v>
      </c>
      <c r="O2872" t="s">
        <v>64</v>
      </c>
      <c r="P2872">
        <v>63.3</v>
      </c>
      <c r="Q2872" t="s">
        <v>65</v>
      </c>
      <c r="R2872">
        <v>-19.7</v>
      </c>
      <c r="S2872">
        <v>17.2</v>
      </c>
      <c r="T2872">
        <v>4.4000000000000004</v>
      </c>
      <c r="U2872">
        <v>7.9</v>
      </c>
      <c r="V2872">
        <v>7.2</v>
      </c>
      <c r="W2872">
        <v>3.6</v>
      </c>
      <c r="X2872" t="s">
        <v>66</v>
      </c>
    </row>
    <row r="2873" spans="2:24" x14ac:dyDescent="0.3">
      <c r="B2873" t="s">
        <v>2966</v>
      </c>
      <c r="C2873" t="s">
        <v>81</v>
      </c>
      <c r="D2873" t="s">
        <v>5</v>
      </c>
      <c r="E2873" t="s">
        <v>17</v>
      </c>
      <c r="F2873" t="s">
        <v>10</v>
      </c>
      <c r="G2873" t="s">
        <v>63</v>
      </c>
      <c r="H2873">
        <v>2025</v>
      </c>
      <c r="I2873">
        <v>7149</v>
      </c>
      <c r="J2873">
        <v>39.6</v>
      </c>
      <c r="K2873" t="s">
        <v>25</v>
      </c>
      <c r="L2873">
        <v>5.4</v>
      </c>
      <c r="M2873">
        <v>10</v>
      </c>
      <c r="N2873">
        <v>477</v>
      </c>
      <c r="O2873" t="s">
        <v>75</v>
      </c>
      <c r="P2873">
        <v>30.8</v>
      </c>
      <c r="Q2873" t="s">
        <v>79</v>
      </c>
      <c r="R2873">
        <v>-20.7</v>
      </c>
      <c r="S2873">
        <v>-3.8</v>
      </c>
      <c r="T2873">
        <v>-9.4</v>
      </c>
      <c r="U2873">
        <v>5.7</v>
      </c>
      <c r="V2873">
        <v>3.9</v>
      </c>
      <c r="W2873">
        <v>2.7</v>
      </c>
      <c r="X2873" t="s">
        <v>66</v>
      </c>
    </row>
    <row r="2874" spans="2:24" x14ac:dyDescent="0.3">
      <c r="B2874" t="s">
        <v>2967</v>
      </c>
      <c r="C2874" t="s">
        <v>106</v>
      </c>
      <c r="D2874" t="s">
        <v>3</v>
      </c>
      <c r="E2874" t="s">
        <v>18</v>
      </c>
      <c r="F2874" t="s">
        <v>10</v>
      </c>
      <c r="G2874" t="s">
        <v>131</v>
      </c>
      <c r="H2874">
        <v>2024</v>
      </c>
      <c r="I2874">
        <v>3026</v>
      </c>
      <c r="J2874">
        <v>14.2</v>
      </c>
      <c r="K2874" t="s">
        <v>23</v>
      </c>
      <c r="L2874">
        <v>10.7</v>
      </c>
      <c r="M2874">
        <v>7.8</v>
      </c>
      <c r="N2874">
        <v>610</v>
      </c>
      <c r="O2874" t="s">
        <v>64</v>
      </c>
      <c r="P2874">
        <v>29.1</v>
      </c>
      <c r="Q2874" t="s">
        <v>86</v>
      </c>
      <c r="R2874">
        <v>14.5</v>
      </c>
      <c r="S2874">
        <v>39.6</v>
      </c>
      <c r="T2874">
        <v>11.8</v>
      </c>
      <c r="U2874">
        <v>9.6</v>
      </c>
      <c r="V2874">
        <v>5.6</v>
      </c>
      <c r="W2874">
        <v>6.4</v>
      </c>
      <c r="X2874" t="s">
        <v>116</v>
      </c>
    </row>
    <row r="2875" spans="2:24" x14ac:dyDescent="0.3">
      <c r="B2875" t="s">
        <v>2968</v>
      </c>
      <c r="C2875" t="s">
        <v>94</v>
      </c>
      <c r="D2875" t="s">
        <v>6</v>
      </c>
      <c r="E2875" t="s">
        <v>15</v>
      </c>
      <c r="F2875" t="s">
        <v>11</v>
      </c>
      <c r="G2875" t="s">
        <v>60</v>
      </c>
      <c r="H2875">
        <v>2025</v>
      </c>
      <c r="I2875">
        <v>741</v>
      </c>
      <c r="J2875">
        <v>8.1</v>
      </c>
      <c r="K2875" t="s">
        <v>23</v>
      </c>
      <c r="L2875">
        <v>6</v>
      </c>
      <c r="M2875">
        <v>7.4</v>
      </c>
      <c r="N2875">
        <v>2041</v>
      </c>
      <c r="O2875" t="s">
        <v>55</v>
      </c>
      <c r="P2875">
        <v>66.3</v>
      </c>
      <c r="Q2875" t="s">
        <v>125</v>
      </c>
      <c r="R2875">
        <v>4.7</v>
      </c>
      <c r="S2875">
        <v>1</v>
      </c>
      <c r="T2875">
        <v>-6</v>
      </c>
      <c r="U2875">
        <v>8.5</v>
      </c>
      <c r="V2875">
        <v>6.7</v>
      </c>
      <c r="W2875">
        <v>5.2</v>
      </c>
      <c r="X2875" t="s">
        <v>57</v>
      </c>
    </row>
    <row r="2876" spans="2:24" x14ac:dyDescent="0.3">
      <c r="B2876" t="s">
        <v>2969</v>
      </c>
      <c r="C2876" t="s">
        <v>139</v>
      </c>
      <c r="D2876" t="s">
        <v>8</v>
      </c>
      <c r="E2876" t="s">
        <v>14</v>
      </c>
      <c r="F2876" t="s">
        <v>11</v>
      </c>
      <c r="G2876" t="s">
        <v>78</v>
      </c>
      <c r="H2876">
        <v>2026</v>
      </c>
      <c r="I2876">
        <v>16248</v>
      </c>
      <c r="J2876">
        <v>22.6</v>
      </c>
      <c r="K2876" t="s">
        <v>25</v>
      </c>
      <c r="L2876">
        <v>11.3</v>
      </c>
      <c r="M2876">
        <v>10</v>
      </c>
      <c r="N2876">
        <v>1850</v>
      </c>
      <c r="O2876" t="s">
        <v>64</v>
      </c>
      <c r="P2876">
        <v>49.2</v>
      </c>
      <c r="Q2876" t="s">
        <v>88</v>
      </c>
      <c r="R2876">
        <v>18.399999999999999</v>
      </c>
      <c r="S2876">
        <v>-7.3</v>
      </c>
      <c r="T2876">
        <v>-4.4000000000000004</v>
      </c>
      <c r="U2876">
        <v>7.4</v>
      </c>
      <c r="V2876">
        <v>6.2</v>
      </c>
      <c r="W2876">
        <v>3.9</v>
      </c>
      <c r="X2876" t="s">
        <v>66</v>
      </c>
    </row>
    <row r="2877" spans="2:24" x14ac:dyDescent="0.3">
      <c r="B2877" t="s">
        <v>2970</v>
      </c>
      <c r="C2877" t="s">
        <v>90</v>
      </c>
      <c r="D2877" t="s">
        <v>5</v>
      </c>
      <c r="E2877" t="s">
        <v>14</v>
      </c>
      <c r="F2877" t="s">
        <v>12</v>
      </c>
      <c r="G2877" t="s">
        <v>60</v>
      </c>
      <c r="H2877">
        <v>2026</v>
      </c>
      <c r="I2877">
        <v>643</v>
      </c>
      <c r="J2877">
        <v>3.6</v>
      </c>
      <c r="K2877" t="s">
        <v>23</v>
      </c>
      <c r="L2877">
        <v>7.3</v>
      </c>
      <c r="M2877">
        <v>5.3</v>
      </c>
      <c r="N2877">
        <v>2876</v>
      </c>
      <c r="O2877" t="s">
        <v>64</v>
      </c>
      <c r="P2877">
        <v>76.400000000000006</v>
      </c>
      <c r="Q2877" t="s">
        <v>88</v>
      </c>
      <c r="R2877">
        <v>47.7</v>
      </c>
      <c r="S2877">
        <v>22.2</v>
      </c>
      <c r="T2877">
        <v>4.8</v>
      </c>
      <c r="U2877">
        <v>5.3</v>
      </c>
      <c r="V2877">
        <v>6.5</v>
      </c>
      <c r="W2877">
        <v>7.7</v>
      </c>
      <c r="X2877" t="s">
        <v>116</v>
      </c>
    </row>
    <row r="2878" spans="2:24" x14ac:dyDescent="0.3">
      <c r="B2878" t="s">
        <v>2971</v>
      </c>
      <c r="C2878" t="s">
        <v>122</v>
      </c>
      <c r="D2878" t="s">
        <v>2</v>
      </c>
      <c r="E2878" t="s">
        <v>16</v>
      </c>
      <c r="F2878" t="s">
        <v>9</v>
      </c>
      <c r="G2878" t="s">
        <v>54</v>
      </c>
      <c r="H2878">
        <v>2024</v>
      </c>
      <c r="I2878">
        <v>1696</v>
      </c>
      <c r="J2878">
        <v>2.8</v>
      </c>
      <c r="K2878" t="s">
        <v>24</v>
      </c>
      <c r="L2878">
        <v>3.7</v>
      </c>
      <c r="M2878">
        <v>3.9</v>
      </c>
      <c r="N2878">
        <v>3753</v>
      </c>
      <c r="O2878" t="s">
        <v>55</v>
      </c>
      <c r="P2878">
        <v>79.3</v>
      </c>
      <c r="Q2878" t="s">
        <v>76</v>
      </c>
      <c r="R2878">
        <v>7.6</v>
      </c>
      <c r="S2878">
        <v>54</v>
      </c>
      <c r="T2878">
        <v>29.9</v>
      </c>
      <c r="U2878">
        <v>3.5</v>
      </c>
      <c r="V2878">
        <v>8.5</v>
      </c>
      <c r="W2878">
        <v>7.9</v>
      </c>
      <c r="X2878" t="s">
        <v>57</v>
      </c>
    </row>
    <row r="2879" spans="2:24" x14ac:dyDescent="0.3">
      <c r="B2879" t="s">
        <v>2972</v>
      </c>
      <c r="C2879" t="s">
        <v>94</v>
      </c>
      <c r="D2879" t="s">
        <v>6</v>
      </c>
      <c r="E2879" t="s">
        <v>18</v>
      </c>
      <c r="F2879" t="s">
        <v>10</v>
      </c>
      <c r="G2879" t="s">
        <v>74</v>
      </c>
      <c r="H2879">
        <v>2026</v>
      </c>
      <c r="I2879">
        <v>14416</v>
      </c>
      <c r="J2879">
        <v>13.7</v>
      </c>
      <c r="K2879" t="s">
        <v>23</v>
      </c>
      <c r="L2879">
        <v>5.9</v>
      </c>
      <c r="M2879">
        <v>9.6999999999999993</v>
      </c>
      <c r="N2879">
        <v>171</v>
      </c>
      <c r="O2879" t="s">
        <v>64</v>
      </c>
      <c r="P2879">
        <v>19</v>
      </c>
      <c r="Q2879" t="s">
        <v>84</v>
      </c>
      <c r="R2879">
        <v>3.4</v>
      </c>
      <c r="S2879">
        <v>35.200000000000003</v>
      </c>
      <c r="T2879">
        <v>5.0999999999999996</v>
      </c>
      <c r="U2879">
        <v>6.2</v>
      </c>
      <c r="V2879">
        <v>8</v>
      </c>
      <c r="W2879">
        <v>5.7</v>
      </c>
      <c r="X2879" t="s">
        <v>66</v>
      </c>
    </row>
    <row r="2880" spans="2:24" x14ac:dyDescent="0.3">
      <c r="B2880" t="s">
        <v>2973</v>
      </c>
      <c r="C2880" t="s">
        <v>59</v>
      </c>
      <c r="D2880" t="s">
        <v>4</v>
      </c>
      <c r="E2880" t="s">
        <v>15</v>
      </c>
      <c r="F2880" t="s">
        <v>12</v>
      </c>
      <c r="G2880" t="s">
        <v>98</v>
      </c>
      <c r="H2880">
        <v>2025</v>
      </c>
      <c r="I2880">
        <v>17167</v>
      </c>
      <c r="J2880">
        <v>20.7</v>
      </c>
      <c r="K2880" t="s">
        <v>22</v>
      </c>
      <c r="L2880">
        <v>8</v>
      </c>
      <c r="M2880">
        <v>10</v>
      </c>
      <c r="N2880">
        <v>1639</v>
      </c>
      <c r="O2880" t="s">
        <v>64</v>
      </c>
      <c r="P2880">
        <v>51.4</v>
      </c>
      <c r="Q2880" t="s">
        <v>56</v>
      </c>
      <c r="R2880">
        <v>19.2</v>
      </c>
      <c r="S2880">
        <v>33.200000000000003</v>
      </c>
      <c r="T2880">
        <v>12.4</v>
      </c>
      <c r="U2880">
        <v>9</v>
      </c>
      <c r="V2880">
        <v>6.9</v>
      </c>
      <c r="W2880">
        <v>5.8</v>
      </c>
      <c r="X2880" t="s">
        <v>66</v>
      </c>
    </row>
    <row r="2881" spans="2:24" x14ac:dyDescent="0.3">
      <c r="B2881" t="s">
        <v>2974</v>
      </c>
      <c r="C2881" t="s">
        <v>59</v>
      </c>
      <c r="D2881" t="s">
        <v>4</v>
      </c>
      <c r="E2881" t="s">
        <v>16</v>
      </c>
      <c r="F2881" t="s">
        <v>10</v>
      </c>
      <c r="G2881" t="s">
        <v>131</v>
      </c>
      <c r="H2881">
        <v>2025</v>
      </c>
      <c r="I2881">
        <v>5383</v>
      </c>
      <c r="J2881">
        <v>12.4</v>
      </c>
      <c r="K2881" t="s">
        <v>23</v>
      </c>
      <c r="L2881">
        <v>10.199999999999999</v>
      </c>
      <c r="M2881">
        <v>7.2</v>
      </c>
      <c r="N2881">
        <v>1238</v>
      </c>
      <c r="O2881" t="s">
        <v>55</v>
      </c>
      <c r="P2881">
        <v>83.1</v>
      </c>
      <c r="Q2881" t="s">
        <v>125</v>
      </c>
      <c r="R2881">
        <v>45.6</v>
      </c>
      <c r="S2881">
        <v>-18.899999999999999</v>
      </c>
      <c r="T2881">
        <v>-13</v>
      </c>
      <c r="U2881">
        <v>7.5</v>
      </c>
      <c r="V2881">
        <v>7.2</v>
      </c>
      <c r="W2881">
        <v>5.0999999999999996</v>
      </c>
      <c r="X2881" t="s">
        <v>116</v>
      </c>
    </row>
    <row r="2882" spans="2:24" x14ac:dyDescent="0.3">
      <c r="B2882" t="s">
        <v>2975</v>
      </c>
      <c r="C2882" t="s">
        <v>159</v>
      </c>
      <c r="D2882" t="s">
        <v>7</v>
      </c>
      <c r="E2882" t="s">
        <v>17</v>
      </c>
      <c r="F2882" t="s">
        <v>11</v>
      </c>
      <c r="G2882" t="s">
        <v>78</v>
      </c>
      <c r="H2882">
        <v>2026</v>
      </c>
      <c r="I2882">
        <v>974</v>
      </c>
      <c r="J2882">
        <v>9</v>
      </c>
      <c r="K2882" t="s">
        <v>24</v>
      </c>
      <c r="L2882">
        <v>4.9000000000000004</v>
      </c>
      <c r="M2882">
        <v>8.9</v>
      </c>
      <c r="N2882">
        <v>3273</v>
      </c>
      <c r="O2882" t="s">
        <v>55</v>
      </c>
      <c r="P2882">
        <v>66.7</v>
      </c>
      <c r="Q2882" t="s">
        <v>65</v>
      </c>
      <c r="R2882">
        <v>-23.9</v>
      </c>
      <c r="S2882">
        <v>29.2</v>
      </c>
      <c r="T2882">
        <v>18.100000000000001</v>
      </c>
      <c r="U2882">
        <v>5.2</v>
      </c>
      <c r="V2882">
        <v>7.7</v>
      </c>
      <c r="W2882">
        <v>5.4</v>
      </c>
      <c r="X2882" t="s">
        <v>116</v>
      </c>
    </row>
    <row r="2883" spans="2:24" x14ac:dyDescent="0.3">
      <c r="B2883" t="s">
        <v>2976</v>
      </c>
      <c r="C2883" t="s">
        <v>62</v>
      </c>
      <c r="D2883" t="s">
        <v>2</v>
      </c>
      <c r="E2883" t="s">
        <v>14</v>
      </c>
      <c r="F2883" t="s">
        <v>10</v>
      </c>
      <c r="G2883" t="s">
        <v>115</v>
      </c>
      <c r="H2883">
        <v>2025</v>
      </c>
      <c r="I2883">
        <v>15966</v>
      </c>
      <c r="J2883">
        <v>10.6</v>
      </c>
      <c r="K2883" t="s">
        <v>23</v>
      </c>
      <c r="L2883">
        <v>6.8</v>
      </c>
      <c r="M2883">
        <v>7.5</v>
      </c>
      <c r="N2883">
        <v>1242</v>
      </c>
      <c r="O2883" t="s">
        <v>64</v>
      </c>
      <c r="P2883">
        <v>54.3</v>
      </c>
      <c r="Q2883" t="s">
        <v>76</v>
      </c>
      <c r="R2883">
        <v>19.399999999999999</v>
      </c>
      <c r="S2883">
        <v>45.1</v>
      </c>
      <c r="T2883">
        <v>21.3</v>
      </c>
      <c r="U2883">
        <v>9.9</v>
      </c>
      <c r="V2883">
        <v>7.7</v>
      </c>
      <c r="W2883">
        <v>7.7</v>
      </c>
      <c r="X2883" t="s">
        <v>66</v>
      </c>
    </row>
    <row r="2884" spans="2:24" x14ac:dyDescent="0.3">
      <c r="B2884" t="s">
        <v>2977</v>
      </c>
      <c r="C2884" t="s">
        <v>71</v>
      </c>
      <c r="D2884" t="s">
        <v>6</v>
      </c>
      <c r="E2884" t="s">
        <v>17</v>
      </c>
      <c r="F2884" t="s">
        <v>11</v>
      </c>
      <c r="G2884" t="s">
        <v>74</v>
      </c>
      <c r="H2884">
        <v>2026</v>
      </c>
      <c r="I2884">
        <v>1528</v>
      </c>
      <c r="J2884">
        <v>2.1</v>
      </c>
      <c r="K2884" t="s">
        <v>24</v>
      </c>
      <c r="L2884">
        <v>7.7</v>
      </c>
      <c r="M2884">
        <v>7.7</v>
      </c>
      <c r="N2884">
        <v>252</v>
      </c>
      <c r="O2884" t="s">
        <v>64</v>
      </c>
      <c r="P2884">
        <v>34.200000000000003</v>
      </c>
      <c r="Q2884" t="s">
        <v>76</v>
      </c>
      <c r="R2884">
        <v>-0.6</v>
      </c>
      <c r="S2884">
        <v>42.2</v>
      </c>
      <c r="T2884">
        <v>27.7</v>
      </c>
      <c r="U2884">
        <v>6.4</v>
      </c>
      <c r="V2884">
        <v>7.8</v>
      </c>
      <c r="W2884">
        <v>8.3000000000000007</v>
      </c>
      <c r="X2884" t="s">
        <v>57</v>
      </c>
    </row>
    <row r="2885" spans="2:24" x14ac:dyDescent="0.3">
      <c r="B2885" t="s">
        <v>2978</v>
      </c>
      <c r="C2885" t="s">
        <v>81</v>
      </c>
      <c r="D2885" t="s">
        <v>5</v>
      </c>
      <c r="E2885" t="s">
        <v>18</v>
      </c>
      <c r="F2885" t="s">
        <v>11</v>
      </c>
      <c r="G2885" t="s">
        <v>112</v>
      </c>
      <c r="H2885">
        <v>2024</v>
      </c>
      <c r="I2885">
        <v>1894</v>
      </c>
      <c r="J2885">
        <v>1.5</v>
      </c>
      <c r="K2885" t="s">
        <v>24</v>
      </c>
      <c r="L2885">
        <v>8.1</v>
      </c>
      <c r="M2885">
        <v>10</v>
      </c>
      <c r="N2885">
        <v>4121</v>
      </c>
      <c r="O2885" t="s">
        <v>118</v>
      </c>
      <c r="P2885">
        <v>37.9</v>
      </c>
      <c r="Q2885" t="s">
        <v>76</v>
      </c>
      <c r="R2885">
        <v>-2.8</v>
      </c>
      <c r="S2885">
        <v>28</v>
      </c>
      <c r="T2885">
        <v>9.8000000000000007</v>
      </c>
      <c r="U2885">
        <v>8.6999999999999993</v>
      </c>
      <c r="V2885">
        <v>9.1999999999999993</v>
      </c>
      <c r="W2885">
        <v>7.1</v>
      </c>
      <c r="X2885" t="s">
        <v>116</v>
      </c>
    </row>
    <row r="2886" spans="2:24" x14ac:dyDescent="0.3">
      <c r="B2886" t="s">
        <v>2979</v>
      </c>
      <c r="C2886" t="s">
        <v>159</v>
      </c>
      <c r="D2886" t="s">
        <v>7</v>
      </c>
      <c r="E2886" t="s">
        <v>19</v>
      </c>
      <c r="F2886" t="s">
        <v>11</v>
      </c>
      <c r="G2886" t="s">
        <v>112</v>
      </c>
      <c r="H2886">
        <v>2025</v>
      </c>
      <c r="I2886">
        <v>15558</v>
      </c>
      <c r="J2886">
        <v>32.700000000000003</v>
      </c>
      <c r="K2886" t="s">
        <v>21</v>
      </c>
      <c r="L2886">
        <v>7</v>
      </c>
      <c r="M2886">
        <v>10</v>
      </c>
      <c r="N2886">
        <v>1049</v>
      </c>
      <c r="O2886" t="s">
        <v>75</v>
      </c>
      <c r="P2886">
        <v>20.399999999999999</v>
      </c>
      <c r="Q2886" t="s">
        <v>56</v>
      </c>
      <c r="R2886">
        <v>-39.5</v>
      </c>
      <c r="S2886">
        <v>-12.7</v>
      </c>
      <c r="T2886">
        <v>-11</v>
      </c>
      <c r="U2886">
        <v>6.3</v>
      </c>
      <c r="V2886">
        <v>4.2</v>
      </c>
      <c r="W2886">
        <v>2</v>
      </c>
      <c r="X2886" t="s">
        <v>66</v>
      </c>
    </row>
    <row r="2887" spans="2:24" x14ac:dyDescent="0.3">
      <c r="B2887" t="s">
        <v>2980</v>
      </c>
      <c r="C2887" t="s">
        <v>53</v>
      </c>
      <c r="D2887" t="s">
        <v>2</v>
      </c>
      <c r="E2887" t="s">
        <v>15</v>
      </c>
      <c r="F2887" t="s">
        <v>9</v>
      </c>
      <c r="G2887" t="s">
        <v>104</v>
      </c>
      <c r="H2887">
        <v>2024</v>
      </c>
      <c r="I2887">
        <v>3158</v>
      </c>
      <c r="J2887">
        <v>5</v>
      </c>
      <c r="K2887" t="s">
        <v>22</v>
      </c>
      <c r="L2887">
        <v>6.7</v>
      </c>
      <c r="M2887">
        <v>5.6</v>
      </c>
      <c r="N2887">
        <v>4624</v>
      </c>
      <c r="O2887" t="s">
        <v>55</v>
      </c>
      <c r="P2887">
        <v>74.900000000000006</v>
      </c>
      <c r="Q2887" t="s">
        <v>76</v>
      </c>
      <c r="R2887">
        <v>25.9</v>
      </c>
      <c r="S2887">
        <v>1.4</v>
      </c>
      <c r="T2887">
        <v>-2.7</v>
      </c>
      <c r="U2887">
        <v>5.5</v>
      </c>
      <c r="V2887">
        <v>5</v>
      </c>
      <c r="W2887">
        <v>6.1</v>
      </c>
      <c r="X2887" t="s">
        <v>116</v>
      </c>
    </row>
    <row r="2888" spans="2:24" x14ac:dyDescent="0.3">
      <c r="B2888" t="s">
        <v>2981</v>
      </c>
      <c r="C2888" t="s">
        <v>90</v>
      </c>
      <c r="D2888" t="s">
        <v>2</v>
      </c>
      <c r="E2888" t="s">
        <v>19</v>
      </c>
      <c r="F2888" t="s">
        <v>11</v>
      </c>
      <c r="G2888" t="s">
        <v>78</v>
      </c>
      <c r="H2888">
        <v>2024</v>
      </c>
      <c r="I2888">
        <v>12174</v>
      </c>
      <c r="J2888">
        <v>10</v>
      </c>
      <c r="K2888" t="s">
        <v>22</v>
      </c>
      <c r="L2888">
        <v>7.5</v>
      </c>
      <c r="M2888">
        <v>10</v>
      </c>
      <c r="N2888">
        <v>3334</v>
      </c>
      <c r="O2888" t="s">
        <v>55</v>
      </c>
      <c r="P2888">
        <v>29.4</v>
      </c>
      <c r="Q2888" t="s">
        <v>76</v>
      </c>
      <c r="R2888">
        <v>19</v>
      </c>
      <c r="S2888">
        <v>34.9</v>
      </c>
      <c r="T2888">
        <v>18.8</v>
      </c>
      <c r="U2888">
        <v>9.3000000000000007</v>
      </c>
      <c r="V2888">
        <v>7</v>
      </c>
      <c r="W2888">
        <v>5.5</v>
      </c>
      <c r="X2888" t="s">
        <v>66</v>
      </c>
    </row>
    <row r="2889" spans="2:24" x14ac:dyDescent="0.3">
      <c r="B2889" t="s">
        <v>2982</v>
      </c>
      <c r="C2889" t="s">
        <v>100</v>
      </c>
      <c r="D2889" t="s">
        <v>3</v>
      </c>
      <c r="E2889" t="s">
        <v>15</v>
      </c>
      <c r="F2889" t="s">
        <v>11</v>
      </c>
      <c r="G2889" t="s">
        <v>115</v>
      </c>
      <c r="H2889">
        <v>2025</v>
      </c>
      <c r="I2889">
        <v>10222</v>
      </c>
      <c r="J2889">
        <v>15.2</v>
      </c>
      <c r="K2889" t="s">
        <v>21</v>
      </c>
      <c r="L2889">
        <v>5</v>
      </c>
      <c r="M2889">
        <v>10</v>
      </c>
      <c r="N2889">
        <v>892</v>
      </c>
      <c r="O2889" t="s">
        <v>64</v>
      </c>
      <c r="P2889">
        <v>72.7</v>
      </c>
      <c r="Q2889" t="s">
        <v>65</v>
      </c>
      <c r="R2889">
        <v>71.7</v>
      </c>
      <c r="S2889">
        <v>3.5</v>
      </c>
      <c r="T2889">
        <v>8.6999999999999993</v>
      </c>
      <c r="U2889">
        <v>7.8</v>
      </c>
      <c r="V2889">
        <v>5.4</v>
      </c>
      <c r="W2889">
        <v>5.3</v>
      </c>
      <c r="X2889" t="s">
        <v>66</v>
      </c>
    </row>
    <row r="2890" spans="2:24" x14ac:dyDescent="0.3">
      <c r="B2890" t="s">
        <v>2983</v>
      </c>
      <c r="C2890" t="s">
        <v>106</v>
      </c>
      <c r="D2890" t="s">
        <v>7</v>
      </c>
      <c r="E2890" t="s">
        <v>17</v>
      </c>
      <c r="F2890" t="s">
        <v>12</v>
      </c>
      <c r="G2890" t="s">
        <v>98</v>
      </c>
      <c r="H2890">
        <v>2024</v>
      </c>
      <c r="I2890">
        <v>1670</v>
      </c>
      <c r="J2890">
        <v>4.0999999999999996</v>
      </c>
      <c r="K2890" t="s">
        <v>23</v>
      </c>
      <c r="L2890">
        <v>9.5</v>
      </c>
      <c r="M2890">
        <v>7</v>
      </c>
      <c r="N2890">
        <v>3415</v>
      </c>
      <c r="O2890" t="s">
        <v>55</v>
      </c>
      <c r="P2890">
        <v>17.100000000000001</v>
      </c>
      <c r="Q2890" t="s">
        <v>76</v>
      </c>
      <c r="R2890">
        <v>74.2</v>
      </c>
      <c r="S2890">
        <v>-7</v>
      </c>
      <c r="T2890">
        <v>-2.6</v>
      </c>
      <c r="U2890">
        <v>8.3000000000000007</v>
      </c>
      <c r="V2890">
        <v>6.9</v>
      </c>
      <c r="W2890">
        <v>5.2</v>
      </c>
      <c r="X2890" t="s">
        <v>116</v>
      </c>
    </row>
    <row r="2891" spans="2:24" x14ac:dyDescent="0.3">
      <c r="B2891" t="s">
        <v>2984</v>
      </c>
      <c r="C2891" t="s">
        <v>71</v>
      </c>
      <c r="D2891" t="s">
        <v>6</v>
      </c>
      <c r="E2891" t="s">
        <v>18</v>
      </c>
      <c r="F2891" t="s">
        <v>10</v>
      </c>
      <c r="G2891" t="s">
        <v>104</v>
      </c>
      <c r="H2891">
        <v>2026</v>
      </c>
      <c r="I2891">
        <v>10803</v>
      </c>
      <c r="J2891">
        <v>27.3</v>
      </c>
      <c r="K2891" t="s">
        <v>25</v>
      </c>
      <c r="L2891">
        <v>7.2</v>
      </c>
      <c r="M2891">
        <v>10</v>
      </c>
      <c r="N2891">
        <v>1707</v>
      </c>
      <c r="O2891" t="s">
        <v>64</v>
      </c>
      <c r="P2891">
        <v>27.3</v>
      </c>
      <c r="Q2891" t="s">
        <v>65</v>
      </c>
      <c r="R2891">
        <v>2.2999999999999998</v>
      </c>
      <c r="S2891">
        <v>44.7</v>
      </c>
      <c r="T2891">
        <v>22.2</v>
      </c>
      <c r="U2891">
        <v>9.1</v>
      </c>
      <c r="V2891">
        <v>4.3</v>
      </c>
      <c r="W2891">
        <v>5.4</v>
      </c>
      <c r="X2891" t="s">
        <v>66</v>
      </c>
    </row>
    <row r="2892" spans="2:24" x14ac:dyDescent="0.3">
      <c r="B2892" t="s">
        <v>2985</v>
      </c>
      <c r="C2892" t="s">
        <v>83</v>
      </c>
      <c r="D2892" t="s">
        <v>4</v>
      </c>
      <c r="E2892" t="s">
        <v>16</v>
      </c>
      <c r="F2892" t="s">
        <v>9</v>
      </c>
      <c r="G2892" t="s">
        <v>131</v>
      </c>
      <c r="H2892">
        <v>2026</v>
      </c>
      <c r="I2892">
        <v>6099</v>
      </c>
      <c r="J2892">
        <v>12.8</v>
      </c>
      <c r="K2892" t="s">
        <v>23</v>
      </c>
      <c r="L2892">
        <v>11.8</v>
      </c>
      <c r="M2892">
        <v>8.6999999999999993</v>
      </c>
      <c r="N2892">
        <v>4736</v>
      </c>
      <c r="O2892" t="s">
        <v>55</v>
      </c>
      <c r="P2892">
        <v>67.7</v>
      </c>
      <c r="Q2892" t="s">
        <v>79</v>
      </c>
      <c r="R2892">
        <v>7.8</v>
      </c>
      <c r="S2892">
        <v>57.5</v>
      </c>
      <c r="T2892">
        <v>13.8</v>
      </c>
      <c r="U2892">
        <v>7.6</v>
      </c>
      <c r="V2892">
        <v>7.1</v>
      </c>
      <c r="W2892">
        <v>6.5</v>
      </c>
      <c r="X2892" t="s">
        <v>116</v>
      </c>
    </row>
    <row r="2893" spans="2:24" x14ac:dyDescent="0.3">
      <c r="B2893" t="s">
        <v>2986</v>
      </c>
      <c r="C2893" t="s">
        <v>59</v>
      </c>
      <c r="D2893" t="s">
        <v>4</v>
      </c>
      <c r="E2893" t="s">
        <v>15</v>
      </c>
      <c r="F2893" t="s">
        <v>9</v>
      </c>
      <c r="G2893" t="s">
        <v>115</v>
      </c>
      <c r="H2893">
        <v>2024</v>
      </c>
      <c r="I2893">
        <v>3265</v>
      </c>
      <c r="J2893">
        <v>1.7</v>
      </c>
      <c r="K2893" t="s">
        <v>22</v>
      </c>
      <c r="L2893">
        <v>11</v>
      </c>
      <c r="M2893">
        <v>9.8000000000000007</v>
      </c>
      <c r="N2893">
        <v>4159</v>
      </c>
      <c r="O2893" t="s">
        <v>118</v>
      </c>
      <c r="P2893">
        <v>27.8</v>
      </c>
      <c r="Q2893" t="s">
        <v>56</v>
      </c>
      <c r="R2893">
        <v>42.6</v>
      </c>
      <c r="S2893">
        <v>46.1</v>
      </c>
      <c r="T2893">
        <v>27.1</v>
      </c>
      <c r="U2893">
        <v>8.1999999999999993</v>
      </c>
      <c r="V2893">
        <v>6.6</v>
      </c>
      <c r="W2893">
        <v>8</v>
      </c>
      <c r="X2893" t="s">
        <v>116</v>
      </c>
    </row>
    <row r="2894" spans="2:24" x14ac:dyDescent="0.3">
      <c r="B2894" t="s">
        <v>2987</v>
      </c>
      <c r="C2894" t="s">
        <v>137</v>
      </c>
      <c r="D2894" t="s">
        <v>3</v>
      </c>
      <c r="E2894" t="s">
        <v>17</v>
      </c>
      <c r="F2894" t="s">
        <v>11</v>
      </c>
      <c r="G2894" t="s">
        <v>131</v>
      </c>
      <c r="H2894">
        <v>2024</v>
      </c>
      <c r="I2894">
        <v>818</v>
      </c>
      <c r="J2894">
        <v>6.1</v>
      </c>
      <c r="K2894" t="s">
        <v>23</v>
      </c>
      <c r="L2894">
        <v>9.1</v>
      </c>
      <c r="M2894">
        <v>10</v>
      </c>
      <c r="N2894">
        <v>3251</v>
      </c>
      <c r="O2894" t="s">
        <v>55</v>
      </c>
      <c r="P2894">
        <v>57.1</v>
      </c>
      <c r="Q2894" t="s">
        <v>125</v>
      </c>
      <c r="R2894">
        <v>61.4</v>
      </c>
      <c r="S2894">
        <v>24.3</v>
      </c>
      <c r="T2894">
        <v>18.600000000000001</v>
      </c>
      <c r="U2894">
        <v>8.1</v>
      </c>
      <c r="V2894">
        <v>8.8000000000000007</v>
      </c>
      <c r="W2894">
        <v>6.8</v>
      </c>
      <c r="X2894" t="s">
        <v>57</v>
      </c>
    </row>
    <row r="2895" spans="2:24" x14ac:dyDescent="0.3">
      <c r="B2895" t="s">
        <v>2988</v>
      </c>
      <c r="C2895" t="s">
        <v>106</v>
      </c>
      <c r="D2895" t="s">
        <v>7</v>
      </c>
      <c r="E2895" t="s">
        <v>16</v>
      </c>
      <c r="F2895" t="s">
        <v>11</v>
      </c>
      <c r="G2895" t="s">
        <v>78</v>
      </c>
      <c r="H2895">
        <v>2025</v>
      </c>
      <c r="I2895">
        <v>1527</v>
      </c>
      <c r="J2895">
        <v>1.3</v>
      </c>
      <c r="K2895" t="s">
        <v>22</v>
      </c>
      <c r="L2895">
        <v>1.9</v>
      </c>
      <c r="M2895">
        <v>4.7</v>
      </c>
      <c r="N2895">
        <v>5544</v>
      </c>
      <c r="O2895" t="s">
        <v>55</v>
      </c>
      <c r="P2895">
        <v>87.4</v>
      </c>
      <c r="Q2895" t="s">
        <v>86</v>
      </c>
      <c r="R2895">
        <v>87.4</v>
      </c>
      <c r="S2895">
        <v>48.5</v>
      </c>
      <c r="T2895">
        <v>12.2</v>
      </c>
      <c r="U2895">
        <v>2.4</v>
      </c>
      <c r="V2895">
        <v>9.3000000000000007</v>
      </c>
      <c r="W2895">
        <v>9.1999999999999993</v>
      </c>
      <c r="X2895" t="s">
        <v>57</v>
      </c>
    </row>
    <row r="2896" spans="2:24" x14ac:dyDescent="0.3">
      <c r="B2896" t="s">
        <v>2989</v>
      </c>
      <c r="C2896" t="s">
        <v>94</v>
      </c>
      <c r="D2896" t="s">
        <v>6</v>
      </c>
      <c r="E2896" t="s">
        <v>18</v>
      </c>
      <c r="F2896" t="s">
        <v>12</v>
      </c>
      <c r="G2896" t="s">
        <v>78</v>
      </c>
      <c r="H2896">
        <v>2026</v>
      </c>
      <c r="I2896">
        <v>2888</v>
      </c>
      <c r="J2896">
        <v>4</v>
      </c>
      <c r="K2896" t="s">
        <v>25</v>
      </c>
      <c r="L2896">
        <v>8.8000000000000007</v>
      </c>
      <c r="M2896">
        <v>7</v>
      </c>
      <c r="N2896">
        <v>5471</v>
      </c>
      <c r="O2896" t="s">
        <v>55</v>
      </c>
      <c r="P2896">
        <v>45.3</v>
      </c>
      <c r="Q2896" t="s">
        <v>84</v>
      </c>
      <c r="R2896">
        <v>1.2</v>
      </c>
      <c r="S2896">
        <v>0.5</v>
      </c>
      <c r="T2896">
        <v>-8.1</v>
      </c>
      <c r="U2896">
        <v>5.4</v>
      </c>
      <c r="V2896">
        <v>4.7</v>
      </c>
      <c r="W2896">
        <v>5.5</v>
      </c>
      <c r="X2896" t="s">
        <v>116</v>
      </c>
    </row>
    <row r="2897" spans="2:24" x14ac:dyDescent="0.3">
      <c r="B2897" t="s">
        <v>2990</v>
      </c>
      <c r="C2897" t="s">
        <v>139</v>
      </c>
      <c r="D2897" t="s">
        <v>8</v>
      </c>
      <c r="E2897" t="s">
        <v>16</v>
      </c>
      <c r="F2897" t="s">
        <v>11</v>
      </c>
      <c r="G2897" t="s">
        <v>115</v>
      </c>
      <c r="H2897">
        <v>2026</v>
      </c>
      <c r="I2897">
        <v>1007</v>
      </c>
      <c r="J2897">
        <v>17.100000000000001</v>
      </c>
      <c r="K2897" t="s">
        <v>25</v>
      </c>
      <c r="L2897">
        <v>6.9</v>
      </c>
      <c r="M2897">
        <v>6.9</v>
      </c>
      <c r="N2897">
        <v>1989</v>
      </c>
      <c r="O2897" t="s">
        <v>64</v>
      </c>
      <c r="P2897">
        <v>51.4</v>
      </c>
      <c r="Q2897" t="s">
        <v>65</v>
      </c>
      <c r="R2897">
        <v>87.5</v>
      </c>
      <c r="S2897">
        <v>18.100000000000001</v>
      </c>
      <c r="T2897">
        <v>-2.2000000000000002</v>
      </c>
      <c r="U2897">
        <v>7.8</v>
      </c>
      <c r="V2897">
        <v>7.7</v>
      </c>
      <c r="W2897">
        <v>4.7</v>
      </c>
      <c r="X2897" t="s">
        <v>116</v>
      </c>
    </row>
    <row r="2898" spans="2:24" x14ac:dyDescent="0.3">
      <c r="B2898" t="s">
        <v>2991</v>
      </c>
      <c r="C2898" t="s">
        <v>139</v>
      </c>
      <c r="D2898" t="s">
        <v>8</v>
      </c>
      <c r="E2898" t="s">
        <v>16</v>
      </c>
      <c r="F2898" t="s">
        <v>9</v>
      </c>
      <c r="G2898" t="s">
        <v>131</v>
      </c>
      <c r="H2898">
        <v>2024</v>
      </c>
      <c r="I2898">
        <v>8935</v>
      </c>
      <c r="J2898">
        <v>19.5</v>
      </c>
      <c r="K2898" t="s">
        <v>25</v>
      </c>
      <c r="L2898">
        <v>9.8000000000000007</v>
      </c>
      <c r="M2898">
        <v>10</v>
      </c>
      <c r="N2898">
        <v>1960</v>
      </c>
      <c r="O2898" t="s">
        <v>64</v>
      </c>
      <c r="P2898">
        <v>72.099999999999994</v>
      </c>
      <c r="Q2898" t="s">
        <v>88</v>
      </c>
      <c r="R2898">
        <v>77.599999999999994</v>
      </c>
      <c r="S2898">
        <v>59.5</v>
      </c>
      <c r="T2898">
        <v>13.8</v>
      </c>
      <c r="U2898">
        <v>6.7</v>
      </c>
      <c r="V2898">
        <v>7.8</v>
      </c>
      <c r="W2898">
        <v>5</v>
      </c>
      <c r="X2898" t="s">
        <v>66</v>
      </c>
    </row>
    <row r="2899" spans="2:24" x14ac:dyDescent="0.3">
      <c r="B2899" t="s">
        <v>2992</v>
      </c>
      <c r="C2899" t="s">
        <v>53</v>
      </c>
      <c r="D2899" t="s">
        <v>7</v>
      </c>
      <c r="E2899" t="s">
        <v>16</v>
      </c>
      <c r="F2899" t="s">
        <v>11</v>
      </c>
      <c r="G2899" t="s">
        <v>63</v>
      </c>
      <c r="H2899">
        <v>2025</v>
      </c>
      <c r="I2899">
        <v>4587</v>
      </c>
      <c r="J2899">
        <v>11.5</v>
      </c>
      <c r="K2899" t="s">
        <v>23</v>
      </c>
      <c r="L2899">
        <v>7.2</v>
      </c>
      <c r="M2899">
        <v>3.9</v>
      </c>
      <c r="N2899">
        <v>4203</v>
      </c>
      <c r="O2899" t="s">
        <v>64</v>
      </c>
      <c r="P2899">
        <v>22.3</v>
      </c>
      <c r="Q2899" t="s">
        <v>56</v>
      </c>
      <c r="R2899">
        <v>-25.9</v>
      </c>
      <c r="S2899">
        <v>-0.9</v>
      </c>
      <c r="T2899">
        <v>4.0999999999999996</v>
      </c>
      <c r="U2899">
        <v>4.5999999999999996</v>
      </c>
      <c r="V2899">
        <v>6.7</v>
      </c>
      <c r="W2899">
        <v>6.1</v>
      </c>
      <c r="X2899" t="s">
        <v>116</v>
      </c>
    </row>
    <row r="2900" spans="2:24" x14ac:dyDescent="0.3">
      <c r="B2900" t="s">
        <v>2993</v>
      </c>
      <c r="C2900" t="s">
        <v>137</v>
      </c>
      <c r="D2900" t="s">
        <v>3</v>
      </c>
      <c r="E2900" t="s">
        <v>17</v>
      </c>
      <c r="F2900" t="s">
        <v>10</v>
      </c>
      <c r="G2900" t="s">
        <v>54</v>
      </c>
      <c r="H2900">
        <v>2026</v>
      </c>
      <c r="I2900">
        <v>2941</v>
      </c>
      <c r="J2900">
        <v>5.7</v>
      </c>
      <c r="K2900" t="s">
        <v>21</v>
      </c>
      <c r="L2900">
        <v>7.5</v>
      </c>
      <c r="M2900">
        <v>9.1</v>
      </c>
      <c r="N2900">
        <v>3278</v>
      </c>
      <c r="O2900" t="s">
        <v>55</v>
      </c>
      <c r="P2900">
        <v>83.9</v>
      </c>
      <c r="Q2900" t="s">
        <v>79</v>
      </c>
      <c r="R2900">
        <v>57.4</v>
      </c>
      <c r="S2900">
        <v>-12.4</v>
      </c>
      <c r="T2900">
        <v>1.3</v>
      </c>
      <c r="U2900">
        <v>6.9</v>
      </c>
      <c r="V2900">
        <v>6.2</v>
      </c>
      <c r="W2900">
        <v>4.9000000000000004</v>
      </c>
      <c r="X2900" t="s">
        <v>116</v>
      </c>
    </row>
    <row r="2901" spans="2:24" x14ac:dyDescent="0.3">
      <c r="B2901" t="s">
        <v>2994</v>
      </c>
      <c r="C2901" t="s">
        <v>71</v>
      </c>
      <c r="D2901" t="s">
        <v>5</v>
      </c>
      <c r="E2901" t="s">
        <v>19</v>
      </c>
      <c r="F2901" t="s">
        <v>10</v>
      </c>
      <c r="G2901" t="s">
        <v>78</v>
      </c>
      <c r="H2901">
        <v>2024</v>
      </c>
      <c r="I2901">
        <v>487</v>
      </c>
      <c r="J2901">
        <v>6.6</v>
      </c>
      <c r="K2901" t="s">
        <v>23</v>
      </c>
      <c r="L2901">
        <v>8.9</v>
      </c>
      <c r="M2901">
        <v>7.9</v>
      </c>
      <c r="N2901">
        <v>1488</v>
      </c>
      <c r="O2901" t="s">
        <v>64</v>
      </c>
      <c r="P2901">
        <v>37.799999999999997</v>
      </c>
      <c r="Q2901" t="s">
        <v>56</v>
      </c>
      <c r="R2901">
        <v>-44.1</v>
      </c>
      <c r="S2901">
        <v>21.2</v>
      </c>
      <c r="T2901">
        <v>15.6</v>
      </c>
      <c r="U2901">
        <v>6.3</v>
      </c>
      <c r="V2901">
        <v>7</v>
      </c>
      <c r="W2901">
        <v>5.7</v>
      </c>
      <c r="X2901" t="s">
        <v>57</v>
      </c>
    </row>
    <row r="2902" spans="2:24" x14ac:dyDescent="0.3">
      <c r="B2902" t="s">
        <v>2995</v>
      </c>
      <c r="C2902" t="s">
        <v>53</v>
      </c>
      <c r="D2902" t="s">
        <v>3</v>
      </c>
      <c r="E2902" t="s">
        <v>15</v>
      </c>
      <c r="F2902" t="s">
        <v>9</v>
      </c>
      <c r="G2902" t="s">
        <v>104</v>
      </c>
      <c r="H2902">
        <v>2024</v>
      </c>
      <c r="I2902">
        <v>1965</v>
      </c>
      <c r="J2902">
        <v>13.7</v>
      </c>
      <c r="K2902" t="s">
        <v>21</v>
      </c>
      <c r="L2902">
        <v>1.6</v>
      </c>
      <c r="M2902">
        <v>2.4</v>
      </c>
      <c r="N2902">
        <v>5390</v>
      </c>
      <c r="O2902" t="s">
        <v>64</v>
      </c>
      <c r="P2902">
        <v>60.4</v>
      </c>
      <c r="Q2902" t="s">
        <v>76</v>
      </c>
      <c r="R2902">
        <v>-22.6</v>
      </c>
      <c r="S2902">
        <v>11</v>
      </c>
      <c r="T2902">
        <v>10.5</v>
      </c>
      <c r="U2902">
        <v>1</v>
      </c>
      <c r="V2902">
        <v>5.6</v>
      </c>
      <c r="W2902">
        <v>6.3</v>
      </c>
      <c r="X2902" t="s">
        <v>116</v>
      </c>
    </row>
    <row r="2903" spans="2:24" x14ac:dyDescent="0.3">
      <c r="B2903" t="s">
        <v>2996</v>
      </c>
      <c r="C2903" t="s">
        <v>92</v>
      </c>
      <c r="D2903" t="s">
        <v>7</v>
      </c>
      <c r="E2903" t="s">
        <v>19</v>
      </c>
      <c r="F2903" t="s">
        <v>11</v>
      </c>
      <c r="G2903" t="s">
        <v>74</v>
      </c>
      <c r="H2903">
        <v>2025</v>
      </c>
      <c r="I2903">
        <v>5245</v>
      </c>
      <c r="J2903">
        <v>1.4</v>
      </c>
      <c r="K2903" t="s">
        <v>23</v>
      </c>
      <c r="L2903">
        <v>6.3</v>
      </c>
      <c r="M2903">
        <v>3.3</v>
      </c>
      <c r="N2903">
        <v>5387</v>
      </c>
      <c r="O2903" t="s">
        <v>55</v>
      </c>
      <c r="P2903">
        <v>21</v>
      </c>
      <c r="Q2903" t="s">
        <v>56</v>
      </c>
      <c r="R2903">
        <v>11.5</v>
      </c>
      <c r="S2903">
        <v>19.7</v>
      </c>
      <c r="T2903">
        <v>11.2</v>
      </c>
      <c r="U2903">
        <v>5.9</v>
      </c>
      <c r="V2903">
        <v>9.4</v>
      </c>
      <c r="W2903">
        <v>7.5</v>
      </c>
      <c r="X2903" t="s">
        <v>116</v>
      </c>
    </row>
    <row r="2904" spans="2:24" x14ac:dyDescent="0.3">
      <c r="B2904" t="s">
        <v>2997</v>
      </c>
      <c r="C2904" t="s">
        <v>90</v>
      </c>
      <c r="D2904" t="s">
        <v>5</v>
      </c>
      <c r="E2904" t="s">
        <v>19</v>
      </c>
      <c r="F2904" t="s">
        <v>9</v>
      </c>
      <c r="G2904" t="s">
        <v>60</v>
      </c>
      <c r="H2904">
        <v>2025</v>
      </c>
      <c r="I2904">
        <v>7426</v>
      </c>
      <c r="J2904">
        <v>10.8</v>
      </c>
      <c r="K2904" t="s">
        <v>25</v>
      </c>
      <c r="L2904">
        <v>2.1</v>
      </c>
      <c r="M2904">
        <v>4.8</v>
      </c>
      <c r="N2904">
        <v>1713</v>
      </c>
      <c r="O2904" t="s">
        <v>75</v>
      </c>
      <c r="P2904">
        <v>73.099999999999994</v>
      </c>
      <c r="Q2904" t="s">
        <v>56</v>
      </c>
      <c r="R2904">
        <v>-10.5</v>
      </c>
      <c r="S2904">
        <v>19.399999999999999</v>
      </c>
      <c r="T2904">
        <v>6.4</v>
      </c>
      <c r="U2904">
        <v>1.7</v>
      </c>
      <c r="V2904">
        <v>7.1</v>
      </c>
      <c r="W2904">
        <v>6.5</v>
      </c>
      <c r="X2904" t="s">
        <v>66</v>
      </c>
    </row>
    <row r="2905" spans="2:24" x14ac:dyDescent="0.3">
      <c r="B2905" t="s">
        <v>2998</v>
      </c>
      <c r="C2905" t="s">
        <v>27</v>
      </c>
      <c r="D2905" t="s">
        <v>3</v>
      </c>
      <c r="E2905" t="s">
        <v>16</v>
      </c>
      <c r="F2905" t="s">
        <v>11</v>
      </c>
      <c r="G2905" t="s">
        <v>104</v>
      </c>
      <c r="H2905">
        <v>2024</v>
      </c>
      <c r="I2905">
        <v>3847</v>
      </c>
      <c r="J2905">
        <v>7.2</v>
      </c>
      <c r="K2905" t="s">
        <v>22</v>
      </c>
      <c r="L2905">
        <v>7.7</v>
      </c>
      <c r="M2905">
        <v>10</v>
      </c>
      <c r="N2905">
        <v>3927</v>
      </c>
      <c r="O2905" t="s">
        <v>55</v>
      </c>
      <c r="P2905">
        <v>62</v>
      </c>
      <c r="Q2905" t="s">
        <v>79</v>
      </c>
      <c r="R2905">
        <v>81.599999999999994</v>
      </c>
      <c r="S2905">
        <v>-19.899999999999999</v>
      </c>
      <c r="T2905">
        <v>-7.4</v>
      </c>
      <c r="U2905">
        <v>9.1999999999999993</v>
      </c>
      <c r="V2905">
        <v>5.3</v>
      </c>
      <c r="W2905">
        <v>5.4</v>
      </c>
      <c r="X2905" t="s">
        <v>116</v>
      </c>
    </row>
    <row r="2906" spans="2:24" x14ac:dyDescent="0.3">
      <c r="B2906" t="s">
        <v>2999</v>
      </c>
      <c r="C2906" t="s">
        <v>73</v>
      </c>
      <c r="D2906" t="s">
        <v>2</v>
      </c>
      <c r="E2906" t="s">
        <v>16</v>
      </c>
      <c r="F2906" t="s">
        <v>10</v>
      </c>
      <c r="G2906" t="s">
        <v>115</v>
      </c>
      <c r="H2906">
        <v>2026</v>
      </c>
      <c r="I2906">
        <v>729</v>
      </c>
      <c r="J2906">
        <v>1.1000000000000001</v>
      </c>
      <c r="K2906" t="s">
        <v>22</v>
      </c>
      <c r="L2906">
        <v>1.4</v>
      </c>
      <c r="M2906">
        <v>1</v>
      </c>
      <c r="N2906">
        <v>5009</v>
      </c>
      <c r="O2906" t="s">
        <v>55</v>
      </c>
      <c r="P2906">
        <v>15.4</v>
      </c>
      <c r="Q2906" t="s">
        <v>56</v>
      </c>
      <c r="R2906">
        <v>82.8</v>
      </c>
      <c r="S2906">
        <v>-13.6</v>
      </c>
      <c r="T2906">
        <v>-4.8</v>
      </c>
      <c r="U2906">
        <v>1.9</v>
      </c>
      <c r="V2906">
        <v>7.6</v>
      </c>
      <c r="W2906">
        <v>6.5</v>
      </c>
      <c r="X2906" t="s">
        <v>116</v>
      </c>
    </row>
    <row r="2907" spans="2:24" x14ac:dyDescent="0.3">
      <c r="B2907" t="s">
        <v>3000</v>
      </c>
      <c r="C2907" t="s">
        <v>122</v>
      </c>
      <c r="D2907" t="s">
        <v>2</v>
      </c>
      <c r="E2907" t="s">
        <v>18</v>
      </c>
      <c r="F2907" t="s">
        <v>10</v>
      </c>
      <c r="G2907" t="s">
        <v>63</v>
      </c>
      <c r="H2907">
        <v>2025</v>
      </c>
      <c r="I2907">
        <v>1344</v>
      </c>
      <c r="J2907">
        <v>5.3</v>
      </c>
      <c r="K2907" t="s">
        <v>24</v>
      </c>
      <c r="L2907">
        <v>6.1</v>
      </c>
      <c r="M2907">
        <v>10</v>
      </c>
      <c r="N2907">
        <v>7975</v>
      </c>
      <c r="O2907" t="s">
        <v>55</v>
      </c>
      <c r="P2907">
        <v>25.5</v>
      </c>
      <c r="Q2907" t="s">
        <v>76</v>
      </c>
      <c r="R2907">
        <v>68.7</v>
      </c>
      <c r="S2907">
        <v>13.8</v>
      </c>
      <c r="T2907">
        <v>8</v>
      </c>
      <c r="U2907">
        <v>8.1999999999999993</v>
      </c>
      <c r="V2907">
        <v>7.3</v>
      </c>
      <c r="W2907">
        <v>6.3</v>
      </c>
      <c r="X2907" t="s">
        <v>57</v>
      </c>
    </row>
    <row r="2908" spans="2:24" x14ac:dyDescent="0.3">
      <c r="B2908" t="s">
        <v>3001</v>
      </c>
      <c r="C2908" t="s">
        <v>71</v>
      </c>
      <c r="D2908" t="s">
        <v>5</v>
      </c>
      <c r="E2908" t="s">
        <v>14</v>
      </c>
      <c r="F2908" t="s">
        <v>12</v>
      </c>
      <c r="G2908" t="s">
        <v>104</v>
      </c>
      <c r="H2908">
        <v>2026</v>
      </c>
      <c r="I2908">
        <v>7786</v>
      </c>
      <c r="J2908">
        <v>37.9</v>
      </c>
      <c r="K2908" t="s">
        <v>22</v>
      </c>
      <c r="L2908">
        <v>10</v>
      </c>
      <c r="M2908">
        <v>10</v>
      </c>
      <c r="N2908">
        <v>637</v>
      </c>
      <c r="O2908" t="s">
        <v>75</v>
      </c>
      <c r="P2908">
        <v>72</v>
      </c>
      <c r="Q2908" t="s">
        <v>86</v>
      </c>
      <c r="R2908">
        <v>36.1</v>
      </c>
      <c r="S2908">
        <v>36.299999999999997</v>
      </c>
      <c r="T2908">
        <v>3.9</v>
      </c>
      <c r="U2908">
        <v>7.4</v>
      </c>
      <c r="V2908">
        <v>3.6</v>
      </c>
      <c r="W2908">
        <v>2.9</v>
      </c>
      <c r="X2908" t="s">
        <v>66</v>
      </c>
    </row>
    <row r="2909" spans="2:24" x14ac:dyDescent="0.3">
      <c r="B2909" t="s">
        <v>3002</v>
      </c>
      <c r="C2909" t="s">
        <v>71</v>
      </c>
      <c r="D2909" t="s">
        <v>5</v>
      </c>
      <c r="E2909" t="s">
        <v>16</v>
      </c>
      <c r="F2909" t="s">
        <v>11</v>
      </c>
      <c r="G2909" t="s">
        <v>78</v>
      </c>
      <c r="H2909">
        <v>2024</v>
      </c>
      <c r="I2909">
        <v>1512</v>
      </c>
      <c r="J2909">
        <v>4</v>
      </c>
      <c r="K2909" t="s">
        <v>24</v>
      </c>
      <c r="L2909">
        <v>4.0999999999999996</v>
      </c>
      <c r="M2909">
        <v>9.1</v>
      </c>
      <c r="N2909">
        <v>2015</v>
      </c>
      <c r="O2909" t="s">
        <v>55</v>
      </c>
      <c r="P2909">
        <v>26.8</v>
      </c>
      <c r="Q2909" t="s">
        <v>125</v>
      </c>
      <c r="R2909">
        <v>65</v>
      </c>
      <c r="S2909">
        <v>-10.3</v>
      </c>
      <c r="T2909">
        <v>-2</v>
      </c>
      <c r="U2909">
        <v>6.2</v>
      </c>
      <c r="V2909">
        <v>7.7</v>
      </c>
      <c r="W2909">
        <v>5.2</v>
      </c>
      <c r="X2909" t="s">
        <v>57</v>
      </c>
    </row>
    <row r="2910" spans="2:24" x14ac:dyDescent="0.3">
      <c r="B2910" t="s">
        <v>3003</v>
      </c>
      <c r="C2910" t="s">
        <v>122</v>
      </c>
      <c r="D2910" t="s">
        <v>2</v>
      </c>
      <c r="E2910" t="s">
        <v>19</v>
      </c>
      <c r="F2910" t="s">
        <v>10</v>
      </c>
      <c r="G2910" t="s">
        <v>63</v>
      </c>
      <c r="H2910">
        <v>2025</v>
      </c>
      <c r="I2910">
        <v>555</v>
      </c>
      <c r="J2910">
        <v>2.2000000000000002</v>
      </c>
      <c r="K2910" t="s">
        <v>23</v>
      </c>
      <c r="L2910">
        <v>2.1</v>
      </c>
      <c r="M2910">
        <v>1</v>
      </c>
      <c r="N2910">
        <v>5696</v>
      </c>
      <c r="O2910" t="s">
        <v>55</v>
      </c>
      <c r="P2910">
        <v>10.9</v>
      </c>
      <c r="Q2910" t="s">
        <v>76</v>
      </c>
      <c r="R2910">
        <v>18.5</v>
      </c>
      <c r="S2910">
        <v>25.3</v>
      </c>
      <c r="T2910">
        <v>15.8</v>
      </c>
      <c r="U2910">
        <v>1.9</v>
      </c>
      <c r="V2910">
        <v>6.2</v>
      </c>
      <c r="W2910">
        <v>8.9</v>
      </c>
      <c r="X2910" t="s">
        <v>57</v>
      </c>
    </row>
    <row r="2911" spans="2:24" x14ac:dyDescent="0.3">
      <c r="B2911" t="s">
        <v>3004</v>
      </c>
      <c r="C2911" t="s">
        <v>73</v>
      </c>
      <c r="D2911" t="s">
        <v>2</v>
      </c>
      <c r="E2911" t="s">
        <v>17</v>
      </c>
      <c r="F2911" t="s">
        <v>9</v>
      </c>
      <c r="G2911" t="s">
        <v>78</v>
      </c>
      <c r="H2911">
        <v>2024</v>
      </c>
      <c r="I2911">
        <v>3599</v>
      </c>
      <c r="J2911">
        <v>34.9</v>
      </c>
      <c r="K2911" t="s">
        <v>21</v>
      </c>
      <c r="L2911">
        <v>6.1</v>
      </c>
      <c r="M2911">
        <v>10</v>
      </c>
      <c r="N2911">
        <v>1420</v>
      </c>
      <c r="O2911" t="s">
        <v>64</v>
      </c>
      <c r="P2911">
        <v>25.8</v>
      </c>
      <c r="Q2911" t="s">
        <v>76</v>
      </c>
      <c r="R2911">
        <v>-32.200000000000003</v>
      </c>
      <c r="S2911">
        <v>39.5</v>
      </c>
      <c r="T2911">
        <v>14.1</v>
      </c>
      <c r="U2911">
        <v>8.6</v>
      </c>
      <c r="V2911">
        <v>6.5</v>
      </c>
      <c r="W2911">
        <v>2.9</v>
      </c>
      <c r="X2911" t="s">
        <v>66</v>
      </c>
    </row>
    <row r="2912" spans="2:24" x14ac:dyDescent="0.3">
      <c r="B2912" t="s">
        <v>3005</v>
      </c>
      <c r="C2912" t="s">
        <v>71</v>
      </c>
      <c r="D2912" t="s">
        <v>6</v>
      </c>
      <c r="E2912" t="s">
        <v>19</v>
      </c>
      <c r="F2912" t="s">
        <v>10</v>
      </c>
      <c r="G2912" t="s">
        <v>63</v>
      </c>
      <c r="H2912">
        <v>2025</v>
      </c>
      <c r="I2912">
        <v>677</v>
      </c>
      <c r="J2912">
        <v>5.9</v>
      </c>
      <c r="K2912" t="s">
        <v>21</v>
      </c>
      <c r="L2912">
        <v>13.9</v>
      </c>
      <c r="M2912">
        <v>10</v>
      </c>
      <c r="N2912">
        <v>4545</v>
      </c>
      <c r="O2912" t="s">
        <v>55</v>
      </c>
      <c r="P2912">
        <v>36.1</v>
      </c>
      <c r="Q2912" t="s">
        <v>84</v>
      </c>
      <c r="R2912">
        <v>65.400000000000006</v>
      </c>
      <c r="S2912">
        <v>55.7</v>
      </c>
      <c r="T2912">
        <v>29.3</v>
      </c>
      <c r="U2912">
        <v>8.4</v>
      </c>
      <c r="V2912">
        <v>9.5</v>
      </c>
      <c r="W2912">
        <v>7</v>
      </c>
      <c r="X2912" t="s">
        <v>57</v>
      </c>
    </row>
    <row r="2913" spans="2:24" x14ac:dyDescent="0.3">
      <c r="B2913" t="s">
        <v>3006</v>
      </c>
      <c r="C2913" t="s">
        <v>90</v>
      </c>
      <c r="D2913" t="s">
        <v>3</v>
      </c>
      <c r="E2913" t="s">
        <v>17</v>
      </c>
      <c r="F2913" t="s">
        <v>12</v>
      </c>
      <c r="G2913" t="s">
        <v>101</v>
      </c>
      <c r="H2913">
        <v>2025</v>
      </c>
      <c r="I2913">
        <v>4263</v>
      </c>
      <c r="J2913">
        <v>5</v>
      </c>
      <c r="K2913" t="s">
        <v>24</v>
      </c>
      <c r="L2913">
        <v>5.7</v>
      </c>
      <c r="M2913">
        <v>10</v>
      </c>
      <c r="N2913">
        <v>4450</v>
      </c>
      <c r="O2913" t="s">
        <v>118</v>
      </c>
      <c r="P2913">
        <v>19.5</v>
      </c>
      <c r="Q2913" t="s">
        <v>56</v>
      </c>
      <c r="R2913">
        <v>-6.6</v>
      </c>
      <c r="S2913">
        <v>37.200000000000003</v>
      </c>
      <c r="T2913">
        <v>11.8</v>
      </c>
      <c r="U2913">
        <v>8.5</v>
      </c>
      <c r="V2913">
        <v>7.3</v>
      </c>
      <c r="W2913">
        <v>7.6</v>
      </c>
      <c r="X2913" t="s">
        <v>116</v>
      </c>
    </row>
    <row r="2914" spans="2:24" x14ac:dyDescent="0.3">
      <c r="B2914" t="s">
        <v>3007</v>
      </c>
      <c r="C2914" t="s">
        <v>59</v>
      </c>
      <c r="D2914" t="s">
        <v>4</v>
      </c>
      <c r="E2914" t="s">
        <v>19</v>
      </c>
      <c r="F2914" t="s">
        <v>11</v>
      </c>
      <c r="G2914" t="s">
        <v>115</v>
      </c>
      <c r="H2914">
        <v>2024</v>
      </c>
      <c r="I2914">
        <v>2495</v>
      </c>
      <c r="J2914">
        <v>6.1</v>
      </c>
      <c r="K2914" t="s">
        <v>21</v>
      </c>
      <c r="L2914">
        <v>2.9</v>
      </c>
      <c r="M2914">
        <v>4.8</v>
      </c>
      <c r="N2914">
        <v>1532</v>
      </c>
      <c r="O2914" t="s">
        <v>55</v>
      </c>
      <c r="P2914">
        <v>29</v>
      </c>
      <c r="Q2914" t="s">
        <v>86</v>
      </c>
      <c r="R2914">
        <v>0.3</v>
      </c>
      <c r="S2914">
        <v>50.8</v>
      </c>
      <c r="T2914">
        <v>24.7</v>
      </c>
      <c r="U2914">
        <v>4.7</v>
      </c>
      <c r="V2914">
        <v>6.1</v>
      </c>
      <c r="W2914">
        <v>7.9</v>
      </c>
      <c r="X2914" t="s">
        <v>57</v>
      </c>
    </row>
    <row r="2915" spans="2:24" x14ac:dyDescent="0.3">
      <c r="B2915" t="s">
        <v>3008</v>
      </c>
      <c r="C2915" t="s">
        <v>159</v>
      </c>
      <c r="D2915" t="s">
        <v>2</v>
      </c>
      <c r="E2915" t="s">
        <v>14</v>
      </c>
      <c r="F2915" t="s">
        <v>9</v>
      </c>
      <c r="G2915" t="s">
        <v>78</v>
      </c>
      <c r="H2915">
        <v>2024</v>
      </c>
      <c r="I2915">
        <v>8471</v>
      </c>
      <c r="J2915">
        <v>19.8</v>
      </c>
      <c r="K2915" t="s">
        <v>23</v>
      </c>
      <c r="L2915">
        <v>8.1</v>
      </c>
      <c r="M2915">
        <v>10</v>
      </c>
      <c r="N2915">
        <v>6134</v>
      </c>
      <c r="O2915" t="s">
        <v>64</v>
      </c>
      <c r="P2915">
        <v>29.3</v>
      </c>
      <c r="Q2915" t="s">
        <v>76</v>
      </c>
      <c r="R2915">
        <v>-27.5</v>
      </c>
      <c r="S2915">
        <v>51.5</v>
      </c>
      <c r="T2915">
        <v>10.1</v>
      </c>
      <c r="U2915">
        <v>5.9</v>
      </c>
      <c r="V2915">
        <v>6.9</v>
      </c>
      <c r="W2915">
        <v>4.7</v>
      </c>
      <c r="X2915" t="s">
        <v>66</v>
      </c>
    </row>
    <row r="2916" spans="2:24" x14ac:dyDescent="0.3">
      <c r="B2916" t="s">
        <v>3009</v>
      </c>
      <c r="C2916" t="s">
        <v>106</v>
      </c>
      <c r="D2916" t="s">
        <v>4</v>
      </c>
      <c r="E2916" t="s">
        <v>19</v>
      </c>
      <c r="F2916" t="s">
        <v>12</v>
      </c>
      <c r="G2916" t="s">
        <v>115</v>
      </c>
      <c r="H2916">
        <v>2024</v>
      </c>
      <c r="I2916">
        <v>10757</v>
      </c>
      <c r="J2916">
        <v>14.5</v>
      </c>
      <c r="K2916" t="s">
        <v>21</v>
      </c>
      <c r="L2916">
        <v>1.4</v>
      </c>
      <c r="M2916">
        <v>4.4000000000000004</v>
      </c>
      <c r="N2916">
        <v>1437</v>
      </c>
      <c r="O2916" t="s">
        <v>75</v>
      </c>
      <c r="P2916">
        <v>69</v>
      </c>
      <c r="Q2916" t="s">
        <v>125</v>
      </c>
      <c r="R2916">
        <v>71.400000000000006</v>
      </c>
      <c r="S2916">
        <v>-9.9</v>
      </c>
      <c r="T2916">
        <v>-6.5</v>
      </c>
      <c r="U2916">
        <v>1</v>
      </c>
      <c r="V2916">
        <v>6.1</v>
      </c>
      <c r="W2916">
        <v>5</v>
      </c>
      <c r="X2916" t="s">
        <v>66</v>
      </c>
    </row>
    <row r="2917" spans="2:24" x14ac:dyDescent="0.3">
      <c r="B2917" t="s">
        <v>3010</v>
      </c>
      <c r="C2917" t="s">
        <v>27</v>
      </c>
      <c r="D2917" t="s">
        <v>3</v>
      </c>
      <c r="E2917" t="s">
        <v>19</v>
      </c>
      <c r="F2917" t="s">
        <v>9</v>
      </c>
      <c r="G2917" t="s">
        <v>112</v>
      </c>
      <c r="H2917">
        <v>2025</v>
      </c>
      <c r="I2917">
        <v>1159</v>
      </c>
      <c r="J2917">
        <v>1.3</v>
      </c>
      <c r="K2917" t="s">
        <v>21</v>
      </c>
      <c r="L2917">
        <v>3.7</v>
      </c>
      <c r="M2917">
        <v>3.9</v>
      </c>
      <c r="N2917">
        <v>4634</v>
      </c>
      <c r="O2917" t="s">
        <v>55</v>
      </c>
      <c r="P2917">
        <v>13.5</v>
      </c>
      <c r="Q2917" t="s">
        <v>65</v>
      </c>
      <c r="R2917">
        <v>-42.9</v>
      </c>
      <c r="S2917">
        <v>-14.8</v>
      </c>
      <c r="T2917">
        <v>-11.9</v>
      </c>
      <c r="U2917">
        <v>2.5</v>
      </c>
      <c r="V2917">
        <v>7.4</v>
      </c>
      <c r="W2917">
        <v>5.9</v>
      </c>
      <c r="X2917" t="s">
        <v>116</v>
      </c>
    </row>
    <row r="2918" spans="2:24" x14ac:dyDescent="0.3">
      <c r="B2918" t="s">
        <v>3011</v>
      </c>
      <c r="C2918" t="s">
        <v>90</v>
      </c>
      <c r="D2918" t="s">
        <v>2</v>
      </c>
      <c r="E2918" t="s">
        <v>16</v>
      </c>
      <c r="F2918" t="s">
        <v>12</v>
      </c>
      <c r="G2918" t="s">
        <v>98</v>
      </c>
      <c r="H2918">
        <v>2024</v>
      </c>
      <c r="I2918">
        <v>17108</v>
      </c>
      <c r="J2918">
        <v>16</v>
      </c>
      <c r="K2918" t="s">
        <v>23</v>
      </c>
      <c r="L2918">
        <v>8.1</v>
      </c>
      <c r="M2918">
        <v>9.4</v>
      </c>
      <c r="N2918">
        <v>3384</v>
      </c>
      <c r="O2918" t="s">
        <v>55</v>
      </c>
      <c r="P2918">
        <v>40.5</v>
      </c>
      <c r="Q2918" t="s">
        <v>56</v>
      </c>
      <c r="R2918">
        <v>-2.5</v>
      </c>
      <c r="S2918">
        <v>54.4</v>
      </c>
      <c r="T2918">
        <v>21.6</v>
      </c>
      <c r="U2918">
        <v>5</v>
      </c>
      <c r="V2918">
        <v>6.1</v>
      </c>
      <c r="W2918">
        <v>6.7</v>
      </c>
      <c r="X2918" t="s">
        <v>66</v>
      </c>
    </row>
    <row r="2919" spans="2:24" x14ac:dyDescent="0.3">
      <c r="B2919" t="s">
        <v>3012</v>
      </c>
      <c r="C2919" t="s">
        <v>59</v>
      </c>
      <c r="D2919" t="s">
        <v>4</v>
      </c>
      <c r="E2919" t="s">
        <v>14</v>
      </c>
      <c r="F2919" t="s">
        <v>11</v>
      </c>
      <c r="G2919" t="s">
        <v>98</v>
      </c>
      <c r="H2919">
        <v>2024</v>
      </c>
      <c r="I2919">
        <v>5466</v>
      </c>
      <c r="J2919">
        <v>18.3</v>
      </c>
      <c r="K2919" t="s">
        <v>25</v>
      </c>
      <c r="L2919">
        <v>6.8</v>
      </c>
      <c r="M2919">
        <v>10</v>
      </c>
      <c r="N2919">
        <v>550</v>
      </c>
      <c r="O2919" t="s">
        <v>64</v>
      </c>
      <c r="P2919">
        <v>53.8</v>
      </c>
      <c r="Q2919" t="s">
        <v>76</v>
      </c>
      <c r="R2919">
        <v>6.1</v>
      </c>
      <c r="S2919">
        <v>3.2</v>
      </c>
      <c r="T2919">
        <v>-8.1</v>
      </c>
      <c r="U2919">
        <v>9.1999999999999993</v>
      </c>
      <c r="V2919">
        <v>7.3</v>
      </c>
      <c r="W2919">
        <v>5.2</v>
      </c>
      <c r="X2919" t="s">
        <v>66</v>
      </c>
    </row>
    <row r="2920" spans="2:24" x14ac:dyDescent="0.3">
      <c r="B2920" t="s">
        <v>3013</v>
      </c>
      <c r="C2920" t="s">
        <v>92</v>
      </c>
      <c r="D2920" t="s">
        <v>7</v>
      </c>
      <c r="E2920" t="s">
        <v>18</v>
      </c>
      <c r="F2920" t="s">
        <v>9</v>
      </c>
      <c r="G2920" t="s">
        <v>115</v>
      </c>
      <c r="H2920">
        <v>2024</v>
      </c>
      <c r="I2920">
        <v>997</v>
      </c>
      <c r="J2920">
        <v>6.5</v>
      </c>
      <c r="K2920" t="s">
        <v>24</v>
      </c>
      <c r="L2920">
        <v>8</v>
      </c>
      <c r="M2920">
        <v>10</v>
      </c>
      <c r="N2920">
        <v>2775</v>
      </c>
      <c r="O2920" t="s">
        <v>55</v>
      </c>
      <c r="P2920">
        <v>64.400000000000006</v>
      </c>
      <c r="Q2920" t="s">
        <v>84</v>
      </c>
      <c r="R2920">
        <v>-39.799999999999997</v>
      </c>
      <c r="S2920">
        <v>37.9</v>
      </c>
      <c r="T2920">
        <v>17.399999999999999</v>
      </c>
      <c r="U2920">
        <v>6.3</v>
      </c>
      <c r="V2920">
        <v>8.9</v>
      </c>
      <c r="W2920">
        <v>5.5</v>
      </c>
      <c r="X2920" t="s">
        <v>57</v>
      </c>
    </row>
    <row r="2921" spans="2:24" x14ac:dyDescent="0.3">
      <c r="B2921" t="s">
        <v>3014</v>
      </c>
      <c r="C2921" t="s">
        <v>139</v>
      </c>
      <c r="D2921" t="s">
        <v>8</v>
      </c>
      <c r="E2921" t="s">
        <v>16</v>
      </c>
      <c r="F2921" t="s">
        <v>12</v>
      </c>
      <c r="G2921" t="s">
        <v>104</v>
      </c>
      <c r="H2921">
        <v>2025</v>
      </c>
      <c r="I2921">
        <v>11565</v>
      </c>
      <c r="J2921">
        <v>37.4</v>
      </c>
      <c r="K2921" t="s">
        <v>22</v>
      </c>
      <c r="L2921">
        <v>10.5</v>
      </c>
      <c r="M2921">
        <v>10</v>
      </c>
      <c r="N2921">
        <v>113</v>
      </c>
      <c r="O2921" t="s">
        <v>75</v>
      </c>
      <c r="P2921">
        <v>75.2</v>
      </c>
      <c r="Q2921" t="s">
        <v>65</v>
      </c>
      <c r="R2921">
        <v>-4.4000000000000004</v>
      </c>
      <c r="S2921">
        <v>-7.7</v>
      </c>
      <c r="T2921">
        <v>-1.5</v>
      </c>
      <c r="U2921">
        <v>6.5</v>
      </c>
      <c r="V2921">
        <v>2.4</v>
      </c>
      <c r="W2921">
        <v>2.4</v>
      </c>
      <c r="X2921" t="s">
        <v>66</v>
      </c>
    </row>
    <row r="2922" spans="2:24" x14ac:dyDescent="0.3">
      <c r="B2922" t="s">
        <v>3015</v>
      </c>
      <c r="C2922" t="s">
        <v>53</v>
      </c>
      <c r="D2922" t="s">
        <v>3</v>
      </c>
      <c r="E2922" t="s">
        <v>15</v>
      </c>
      <c r="F2922" t="s">
        <v>9</v>
      </c>
      <c r="G2922" t="s">
        <v>112</v>
      </c>
      <c r="H2922">
        <v>2024</v>
      </c>
      <c r="I2922">
        <v>2235</v>
      </c>
      <c r="J2922">
        <v>8.5</v>
      </c>
      <c r="K2922" t="s">
        <v>25</v>
      </c>
      <c r="L2922">
        <v>13.1</v>
      </c>
      <c r="M2922">
        <v>10</v>
      </c>
      <c r="N2922">
        <v>5555</v>
      </c>
      <c r="O2922" t="s">
        <v>118</v>
      </c>
      <c r="P2922">
        <v>10.5</v>
      </c>
      <c r="Q2922" t="s">
        <v>79</v>
      </c>
      <c r="R2922">
        <v>30.6</v>
      </c>
      <c r="S2922">
        <v>57.4</v>
      </c>
      <c r="T2922">
        <v>32.200000000000003</v>
      </c>
      <c r="U2922">
        <v>9.4</v>
      </c>
      <c r="V2922">
        <v>6.8</v>
      </c>
      <c r="W2922">
        <v>7.1</v>
      </c>
      <c r="X2922" t="s">
        <v>116</v>
      </c>
    </row>
    <row r="2923" spans="2:24" x14ac:dyDescent="0.3">
      <c r="B2923" t="s">
        <v>3016</v>
      </c>
      <c r="C2923" t="s">
        <v>137</v>
      </c>
      <c r="D2923" t="s">
        <v>3</v>
      </c>
      <c r="E2923" t="s">
        <v>18</v>
      </c>
      <c r="F2923" t="s">
        <v>12</v>
      </c>
      <c r="G2923" t="s">
        <v>104</v>
      </c>
      <c r="H2923">
        <v>2026</v>
      </c>
      <c r="I2923">
        <v>165</v>
      </c>
      <c r="J2923">
        <v>3.2</v>
      </c>
      <c r="K2923" t="s">
        <v>25</v>
      </c>
      <c r="L2923">
        <v>12.9</v>
      </c>
      <c r="M2923">
        <v>8.1999999999999993</v>
      </c>
      <c r="N2923">
        <v>3649</v>
      </c>
      <c r="O2923" t="s">
        <v>118</v>
      </c>
      <c r="P2923">
        <v>25.6</v>
      </c>
      <c r="Q2923" t="s">
        <v>88</v>
      </c>
      <c r="R2923">
        <v>80.099999999999994</v>
      </c>
      <c r="S2923">
        <v>-20.5</v>
      </c>
      <c r="T2923">
        <v>-1.3</v>
      </c>
      <c r="U2923">
        <v>9.6999999999999993</v>
      </c>
      <c r="V2923">
        <v>6.3</v>
      </c>
      <c r="W2923">
        <v>4.5999999999999996</v>
      </c>
      <c r="X2923" t="s">
        <v>116</v>
      </c>
    </row>
    <row r="2924" spans="2:24" x14ac:dyDescent="0.3">
      <c r="B2924" t="s">
        <v>3017</v>
      </c>
      <c r="C2924" t="s">
        <v>90</v>
      </c>
      <c r="D2924" t="s">
        <v>3</v>
      </c>
      <c r="E2924" t="s">
        <v>14</v>
      </c>
      <c r="F2924" t="s">
        <v>12</v>
      </c>
      <c r="G2924" t="s">
        <v>131</v>
      </c>
      <c r="H2924">
        <v>2025</v>
      </c>
      <c r="I2924">
        <v>913</v>
      </c>
      <c r="J2924">
        <v>1.9</v>
      </c>
      <c r="K2924" t="s">
        <v>21</v>
      </c>
      <c r="L2924">
        <v>10.9</v>
      </c>
      <c r="M2924">
        <v>9.5</v>
      </c>
      <c r="N2924">
        <v>2046</v>
      </c>
      <c r="O2924" t="s">
        <v>55</v>
      </c>
      <c r="P2924">
        <v>52.5</v>
      </c>
      <c r="Q2924" t="s">
        <v>76</v>
      </c>
      <c r="R2924">
        <v>-11.8</v>
      </c>
      <c r="S2924">
        <v>-20.7</v>
      </c>
      <c r="T2924">
        <v>-4.0999999999999996</v>
      </c>
      <c r="U2924">
        <v>7.7</v>
      </c>
      <c r="V2924">
        <v>4.5</v>
      </c>
      <c r="W2924">
        <v>5.7</v>
      </c>
      <c r="X2924" t="s">
        <v>57</v>
      </c>
    </row>
    <row r="2925" spans="2:24" x14ac:dyDescent="0.3">
      <c r="B2925" t="s">
        <v>3018</v>
      </c>
      <c r="C2925" t="s">
        <v>106</v>
      </c>
      <c r="D2925" t="s">
        <v>8</v>
      </c>
      <c r="E2925" t="s">
        <v>15</v>
      </c>
      <c r="F2925" t="s">
        <v>11</v>
      </c>
      <c r="G2925" t="s">
        <v>69</v>
      </c>
      <c r="H2925">
        <v>2026</v>
      </c>
      <c r="I2925">
        <v>1766</v>
      </c>
      <c r="J2925">
        <v>2.4</v>
      </c>
      <c r="K2925" t="s">
        <v>24</v>
      </c>
      <c r="L2925">
        <v>5.9</v>
      </c>
      <c r="M2925">
        <v>6.4</v>
      </c>
      <c r="N2925">
        <v>1152</v>
      </c>
      <c r="O2925" t="s">
        <v>55</v>
      </c>
      <c r="P2925">
        <v>13.3</v>
      </c>
      <c r="Q2925" t="s">
        <v>56</v>
      </c>
      <c r="R2925">
        <v>52.2</v>
      </c>
      <c r="S2925">
        <v>32.700000000000003</v>
      </c>
      <c r="T2925">
        <v>21.6</v>
      </c>
      <c r="U2925">
        <v>5.3</v>
      </c>
      <c r="V2925">
        <v>9.8000000000000007</v>
      </c>
      <c r="W2925">
        <v>7.2</v>
      </c>
      <c r="X2925" t="s">
        <v>57</v>
      </c>
    </row>
    <row r="2926" spans="2:24" x14ac:dyDescent="0.3">
      <c r="B2926" t="s">
        <v>3019</v>
      </c>
      <c r="C2926" t="s">
        <v>159</v>
      </c>
      <c r="D2926" t="s">
        <v>7</v>
      </c>
      <c r="E2926" t="s">
        <v>17</v>
      </c>
      <c r="F2926" t="s">
        <v>9</v>
      </c>
      <c r="G2926" t="s">
        <v>98</v>
      </c>
      <c r="H2926">
        <v>2025</v>
      </c>
      <c r="I2926">
        <v>2737</v>
      </c>
      <c r="J2926">
        <v>9.4</v>
      </c>
      <c r="K2926" t="s">
        <v>21</v>
      </c>
      <c r="L2926">
        <v>1.9</v>
      </c>
      <c r="M2926">
        <v>7</v>
      </c>
      <c r="N2926">
        <v>1531</v>
      </c>
      <c r="O2926" t="s">
        <v>64</v>
      </c>
      <c r="P2926">
        <v>79.3</v>
      </c>
      <c r="Q2926" t="s">
        <v>56</v>
      </c>
      <c r="R2926">
        <v>41</v>
      </c>
      <c r="S2926">
        <v>28.3</v>
      </c>
      <c r="T2926">
        <v>13.5</v>
      </c>
      <c r="U2926">
        <v>2.4</v>
      </c>
      <c r="V2926">
        <v>8.5</v>
      </c>
      <c r="W2926">
        <v>6.1</v>
      </c>
      <c r="X2926" t="s">
        <v>66</v>
      </c>
    </row>
    <row r="2927" spans="2:24" x14ac:dyDescent="0.3">
      <c r="B2927" t="s">
        <v>3020</v>
      </c>
      <c r="C2927" t="s">
        <v>159</v>
      </c>
      <c r="D2927" t="s">
        <v>7</v>
      </c>
      <c r="E2927" t="s">
        <v>16</v>
      </c>
      <c r="F2927" t="s">
        <v>11</v>
      </c>
      <c r="G2927" t="s">
        <v>74</v>
      </c>
      <c r="H2927">
        <v>2024</v>
      </c>
      <c r="I2927">
        <v>4808</v>
      </c>
      <c r="J2927">
        <v>10.199999999999999</v>
      </c>
      <c r="K2927" t="s">
        <v>21</v>
      </c>
      <c r="L2927">
        <v>5.7</v>
      </c>
      <c r="M2927">
        <v>6.5</v>
      </c>
      <c r="N2927">
        <v>5960</v>
      </c>
      <c r="O2927" t="s">
        <v>55</v>
      </c>
      <c r="P2927">
        <v>18.899999999999999</v>
      </c>
      <c r="Q2927" t="s">
        <v>65</v>
      </c>
      <c r="R2927">
        <v>57.2</v>
      </c>
      <c r="S2927">
        <v>-9.1</v>
      </c>
      <c r="T2927">
        <v>-12.5</v>
      </c>
      <c r="U2927">
        <v>4.8</v>
      </c>
      <c r="V2927">
        <v>5.2</v>
      </c>
      <c r="W2927">
        <v>6.1</v>
      </c>
      <c r="X2927" t="s">
        <v>116</v>
      </c>
    </row>
    <row r="2928" spans="2:24" x14ac:dyDescent="0.3">
      <c r="B2928" t="s">
        <v>3021</v>
      </c>
      <c r="C2928" t="s">
        <v>106</v>
      </c>
      <c r="D2928" t="s">
        <v>2</v>
      </c>
      <c r="E2928" t="s">
        <v>15</v>
      </c>
      <c r="F2928" t="s">
        <v>11</v>
      </c>
      <c r="G2928" t="s">
        <v>74</v>
      </c>
      <c r="H2928">
        <v>2024</v>
      </c>
      <c r="I2928">
        <v>16087</v>
      </c>
      <c r="J2928">
        <v>16</v>
      </c>
      <c r="K2928" t="s">
        <v>24</v>
      </c>
      <c r="L2928">
        <v>5.3</v>
      </c>
      <c r="M2928">
        <v>5.5</v>
      </c>
      <c r="N2928">
        <v>5568</v>
      </c>
      <c r="O2928" t="s">
        <v>55</v>
      </c>
      <c r="P2928">
        <v>74.900000000000006</v>
      </c>
      <c r="Q2928" t="s">
        <v>76</v>
      </c>
      <c r="R2928">
        <v>32.5</v>
      </c>
      <c r="S2928">
        <v>39.1</v>
      </c>
      <c r="T2928">
        <v>17.899999999999999</v>
      </c>
      <c r="U2928">
        <v>4.2</v>
      </c>
      <c r="V2928">
        <v>5.6</v>
      </c>
      <c r="W2928">
        <v>6.1</v>
      </c>
      <c r="X2928" t="s">
        <v>66</v>
      </c>
    </row>
    <row r="2929" spans="2:24" x14ac:dyDescent="0.3">
      <c r="B2929" t="s">
        <v>3022</v>
      </c>
      <c r="C2929" t="s">
        <v>27</v>
      </c>
      <c r="D2929" t="s">
        <v>2</v>
      </c>
      <c r="E2929" t="s">
        <v>18</v>
      </c>
      <c r="F2929" t="s">
        <v>12</v>
      </c>
      <c r="G2929" t="s">
        <v>78</v>
      </c>
      <c r="H2929">
        <v>2024</v>
      </c>
      <c r="I2929">
        <v>12993</v>
      </c>
      <c r="J2929">
        <v>9.6</v>
      </c>
      <c r="K2929" t="s">
        <v>24</v>
      </c>
      <c r="L2929">
        <v>9.4</v>
      </c>
      <c r="M2929">
        <v>4.5999999999999996</v>
      </c>
      <c r="N2929">
        <v>9572</v>
      </c>
      <c r="O2929" t="s">
        <v>55</v>
      </c>
      <c r="P2929">
        <v>15.4</v>
      </c>
      <c r="Q2929" t="s">
        <v>56</v>
      </c>
      <c r="R2929">
        <v>72.8</v>
      </c>
      <c r="S2929">
        <v>0.7</v>
      </c>
      <c r="T2929">
        <v>2.4</v>
      </c>
      <c r="U2929">
        <v>6.8</v>
      </c>
      <c r="V2929">
        <v>7.6</v>
      </c>
      <c r="W2929">
        <v>5.8</v>
      </c>
      <c r="X2929" t="s">
        <v>66</v>
      </c>
    </row>
    <row r="2930" spans="2:24" x14ac:dyDescent="0.3">
      <c r="B2930" t="s">
        <v>3023</v>
      </c>
      <c r="C2930" t="s">
        <v>159</v>
      </c>
      <c r="D2930" t="s">
        <v>7</v>
      </c>
      <c r="E2930" t="s">
        <v>15</v>
      </c>
      <c r="F2930" t="s">
        <v>9</v>
      </c>
      <c r="G2930" t="s">
        <v>112</v>
      </c>
      <c r="H2930">
        <v>2026</v>
      </c>
      <c r="I2930">
        <v>6421</v>
      </c>
      <c r="J2930">
        <v>15.3</v>
      </c>
      <c r="K2930" t="s">
        <v>22</v>
      </c>
      <c r="L2930">
        <v>6.5</v>
      </c>
      <c r="M2930">
        <v>10</v>
      </c>
      <c r="N2930">
        <v>4454</v>
      </c>
      <c r="O2930" t="s">
        <v>64</v>
      </c>
      <c r="P2930">
        <v>78.400000000000006</v>
      </c>
      <c r="Q2930" t="s">
        <v>76</v>
      </c>
      <c r="R2930">
        <v>78</v>
      </c>
      <c r="S2930">
        <v>35.299999999999997</v>
      </c>
      <c r="T2930">
        <v>18</v>
      </c>
      <c r="U2930">
        <v>5.7</v>
      </c>
      <c r="V2930">
        <v>8.6999999999999993</v>
      </c>
      <c r="W2930">
        <v>5.0999999999999996</v>
      </c>
      <c r="X2930" t="s">
        <v>116</v>
      </c>
    </row>
    <row r="2931" spans="2:24" x14ac:dyDescent="0.3">
      <c r="B2931" t="s">
        <v>3024</v>
      </c>
      <c r="C2931" t="s">
        <v>90</v>
      </c>
      <c r="D2931" t="s">
        <v>3</v>
      </c>
      <c r="E2931" t="s">
        <v>14</v>
      </c>
      <c r="F2931" t="s">
        <v>9</v>
      </c>
      <c r="G2931" t="s">
        <v>98</v>
      </c>
      <c r="H2931">
        <v>2024</v>
      </c>
      <c r="I2931">
        <v>11480</v>
      </c>
      <c r="J2931">
        <v>31.5</v>
      </c>
      <c r="K2931" t="s">
        <v>24</v>
      </c>
      <c r="L2931">
        <v>6.8</v>
      </c>
      <c r="M2931">
        <v>10</v>
      </c>
      <c r="N2931">
        <v>1013</v>
      </c>
      <c r="O2931" t="s">
        <v>64</v>
      </c>
      <c r="P2931">
        <v>78.400000000000006</v>
      </c>
      <c r="Q2931" t="s">
        <v>76</v>
      </c>
      <c r="R2931">
        <v>54.1</v>
      </c>
      <c r="S2931">
        <v>-17</v>
      </c>
      <c r="T2931">
        <v>-9.6999999999999993</v>
      </c>
      <c r="U2931">
        <v>7.1</v>
      </c>
      <c r="V2931">
        <v>3.2</v>
      </c>
      <c r="W2931">
        <v>2.2999999999999998</v>
      </c>
      <c r="X2931" t="s">
        <v>66</v>
      </c>
    </row>
    <row r="2932" spans="2:24" x14ac:dyDescent="0.3">
      <c r="B2932" t="s">
        <v>3025</v>
      </c>
      <c r="C2932" t="s">
        <v>122</v>
      </c>
      <c r="D2932" t="s">
        <v>2</v>
      </c>
      <c r="E2932" t="s">
        <v>17</v>
      </c>
      <c r="F2932" t="s">
        <v>10</v>
      </c>
      <c r="G2932" t="s">
        <v>69</v>
      </c>
      <c r="H2932">
        <v>2025</v>
      </c>
      <c r="I2932">
        <v>1829</v>
      </c>
      <c r="J2932">
        <v>8.3000000000000007</v>
      </c>
      <c r="K2932" t="s">
        <v>22</v>
      </c>
      <c r="L2932">
        <v>4.8</v>
      </c>
      <c r="M2932">
        <v>5.0999999999999996</v>
      </c>
      <c r="N2932">
        <v>1844</v>
      </c>
      <c r="O2932" t="s">
        <v>64</v>
      </c>
      <c r="P2932">
        <v>37</v>
      </c>
      <c r="Q2932" t="s">
        <v>76</v>
      </c>
      <c r="R2932">
        <v>32.6</v>
      </c>
      <c r="S2932">
        <v>39.9</v>
      </c>
      <c r="T2932">
        <v>8.3000000000000007</v>
      </c>
      <c r="U2932">
        <v>3.8</v>
      </c>
      <c r="V2932">
        <v>5.9</v>
      </c>
      <c r="W2932">
        <v>7.8</v>
      </c>
      <c r="X2932" t="s">
        <v>57</v>
      </c>
    </row>
    <row r="2933" spans="2:24" x14ac:dyDescent="0.3">
      <c r="B2933" t="s">
        <v>3026</v>
      </c>
      <c r="C2933" t="s">
        <v>137</v>
      </c>
      <c r="D2933" t="s">
        <v>4</v>
      </c>
      <c r="E2933" t="s">
        <v>17</v>
      </c>
      <c r="F2933" t="s">
        <v>9</v>
      </c>
      <c r="G2933" t="s">
        <v>131</v>
      </c>
      <c r="H2933">
        <v>2024</v>
      </c>
      <c r="I2933">
        <v>18395</v>
      </c>
      <c r="J2933">
        <v>25.4</v>
      </c>
      <c r="K2933" t="s">
        <v>25</v>
      </c>
      <c r="L2933">
        <v>7.8</v>
      </c>
      <c r="M2933">
        <v>9</v>
      </c>
      <c r="N2933">
        <v>442</v>
      </c>
      <c r="O2933" t="s">
        <v>75</v>
      </c>
      <c r="P2933">
        <v>84.2</v>
      </c>
      <c r="Q2933" t="s">
        <v>76</v>
      </c>
      <c r="R2933">
        <v>12.8</v>
      </c>
      <c r="S2933">
        <v>45.9</v>
      </c>
      <c r="T2933">
        <v>22.1</v>
      </c>
      <c r="U2933">
        <v>5.3</v>
      </c>
      <c r="V2933">
        <v>8.1999999999999993</v>
      </c>
      <c r="W2933">
        <v>5.2</v>
      </c>
      <c r="X2933" t="s">
        <v>66</v>
      </c>
    </row>
    <row r="2934" spans="2:24" x14ac:dyDescent="0.3">
      <c r="B2934" t="s">
        <v>3027</v>
      </c>
      <c r="C2934" t="s">
        <v>139</v>
      </c>
      <c r="D2934" t="s">
        <v>8</v>
      </c>
      <c r="E2934" t="s">
        <v>16</v>
      </c>
      <c r="F2934" t="s">
        <v>10</v>
      </c>
      <c r="G2934" t="s">
        <v>60</v>
      </c>
      <c r="H2934">
        <v>2026</v>
      </c>
      <c r="I2934">
        <v>1243</v>
      </c>
      <c r="J2934">
        <v>4.8</v>
      </c>
      <c r="K2934" t="s">
        <v>22</v>
      </c>
      <c r="L2934">
        <v>7.3</v>
      </c>
      <c r="M2934">
        <v>7.4</v>
      </c>
      <c r="N2934">
        <v>5717</v>
      </c>
      <c r="O2934" t="s">
        <v>118</v>
      </c>
      <c r="P2934">
        <v>37.799999999999997</v>
      </c>
      <c r="Q2934" t="s">
        <v>65</v>
      </c>
      <c r="R2934">
        <v>19.399999999999999</v>
      </c>
      <c r="S2934">
        <v>38.4</v>
      </c>
      <c r="T2934">
        <v>15.8</v>
      </c>
      <c r="U2934">
        <v>6.5</v>
      </c>
      <c r="V2934">
        <v>9.1999999999999993</v>
      </c>
      <c r="W2934">
        <v>6.8</v>
      </c>
      <c r="X2934" t="s">
        <v>57</v>
      </c>
    </row>
    <row r="2935" spans="2:24" x14ac:dyDescent="0.3">
      <c r="B2935" t="s">
        <v>3028</v>
      </c>
      <c r="C2935" t="s">
        <v>27</v>
      </c>
      <c r="D2935" t="s">
        <v>3</v>
      </c>
      <c r="E2935" t="s">
        <v>16</v>
      </c>
      <c r="F2935" t="s">
        <v>10</v>
      </c>
      <c r="G2935" t="s">
        <v>101</v>
      </c>
      <c r="H2935">
        <v>2026</v>
      </c>
      <c r="I2935">
        <v>687</v>
      </c>
      <c r="J2935">
        <v>8.6</v>
      </c>
      <c r="K2935" t="s">
        <v>25</v>
      </c>
      <c r="L2935">
        <v>9.1</v>
      </c>
      <c r="M2935">
        <v>8.8000000000000007</v>
      </c>
      <c r="N2935">
        <v>1279</v>
      </c>
      <c r="O2935" t="s">
        <v>55</v>
      </c>
      <c r="P2935">
        <v>62.8</v>
      </c>
      <c r="Q2935" t="s">
        <v>125</v>
      </c>
      <c r="R2935">
        <v>33.9</v>
      </c>
      <c r="S2935">
        <v>52.6</v>
      </c>
      <c r="T2935">
        <v>18.600000000000001</v>
      </c>
      <c r="U2935">
        <v>8.6999999999999993</v>
      </c>
      <c r="V2935">
        <v>8.8000000000000007</v>
      </c>
      <c r="W2935">
        <v>6.7</v>
      </c>
      <c r="X2935" t="s">
        <v>57</v>
      </c>
    </row>
    <row r="2936" spans="2:24" x14ac:dyDescent="0.3">
      <c r="B2936" t="s">
        <v>3029</v>
      </c>
      <c r="C2936" t="s">
        <v>62</v>
      </c>
      <c r="D2936" t="s">
        <v>2</v>
      </c>
      <c r="E2936" t="s">
        <v>18</v>
      </c>
      <c r="F2936" t="s">
        <v>11</v>
      </c>
      <c r="G2936" t="s">
        <v>63</v>
      </c>
      <c r="H2936">
        <v>2024</v>
      </c>
      <c r="I2936">
        <v>4061</v>
      </c>
      <c r="J2936">
        <v>6</v>
      </c>
      <c r="K2936" t="s">
        <v>23</v>
      </c>
      <c r="L2936">
        <v>5.0999999999999996</v>
      </c>
      <c r="M2936">
        <v>7.3</v>
      </c>
      <c r="N2936">
        <v>1694</v>
      </c>
      <c r="O2936" t="s">
        <v>64</v>
      </c>
      <c r="P2936">
        <v>27.8</v>
      </c>
      <c r="Q2936" t="s">
        <v>76</v>
      </c>
      <c r="R2936">
        <v>-29.9</v>
      </c>
      <c r="S2936">
        <v>28</v>
      </c>
      <c r="T2936">
        <v>19.100000000000001</v>
      </c>
      <c r="U2936">
        <v>3</v>
      </c>
      <c r="V2936">
        <v>7.1</v>
      </c>
      <c r="W2936">
        <v>7.1</v>
      </c>
      <c r="X2936" t="s">
        <v>116</v>
      </c>
    </row>
    <row r="2937" spans="2:24" x14ac:dyDescent="0.3">
      <c r="B2937" t="s">
        <v>3030</v>
      </c>
      <c r="C2937" t="s">
        <v>106</v>
      </c>
      <c r="D2937" t="s">
        <v>3</v>
      </c>
      <c r="E2937" t="s">
        <v>15</v>
      </c>
      <c r="F2937" t="s">
        <v>11</v>
      </c>
      <c r="G2937" t="s">
        <v>131</v>
      </c>
      <c r="H2937">
        <v>2026</v>
      </c>
      <c r="I2937">
        <v>19288</v>
      </c>
      <c r="J2937">
        <v>27.4</v>
      </c>
      <c r="K2937" t="s">
        <v>21</v>
      </c>
      <c r="L2937">
        <v>3.3</v>
      </c>
      <c r="M2937">
        <v>9.9</v>
      </c>
      <c r="N2937">
        <v>1542</v>
      </c>
      <c r="O2937" t="s">
        <v>75</v>
      </c>
      <c r="P2937">
        <v>85.4</v>
      </c>
      <c r="Q2937" t="s">
        <v>125</v>
      </c>
      <c r="R2937">
        <v>21.6</v>
      </c>
      <c r="S2937">
        <v>37.9</v>
      </c>
      <c r="T2937">
        <v>17.2</v>
      </c>
      <c r="U2937">
        <v>4.7</v>
      </c>
      <c r="V2937">
        <v>6.9</v>
      </c>
      <c r="W2937">
        <v>5.3</v>
      </c>
      <c r="X2937" t="s">
        <v>66</v>
      </c>
    </row>
    <row r="2938" spans="2:24" x14ac:dyDescent="0.3">
      <c r="B2938" t="s">
        <v>3031</v>
      </c>
      <c r="C2938" t="s">
        <v>90</v>
      </c>
      <c r="D2938" t="s">
        <v>5</v>
      </c>
      <c r="E2938" t="s">
        <v>19</v>
      </c>
      <c r="F2938" t="s">
        <v>9</v>
      </c>
      <c r="G2938" t="s">
        <v>74</v>
      </c>
      <c r="H2938">
        <v>2025</v>
      </c>
      <c r="I2938">
        <v>6214</v>
      </c>
      <c r="J2938">
        <v>11.7</v>
      </c>
      <c r="K2938" t="s">
        <v>23</v>
      </c>
      <c r="L2938">
        <v>7.6</v>
      </c>
      <c r="M2938">
        <v>7.6</v>
      </c>
      <c r="N2938">
        <v>385</v>
      </c>
      <c r="O2938" t="s">
        <v>64</v>
      </c>
      <c r="P2938">
        <v>30.2</v>
      </c>
      <c r="Q2938" t="s">
        <v>79</v>
      </c>
      <c r="R2938">
        <v>20.6</v>
      </c>
      <c r="S2938">
        <v>1.5</v>
      </c>
      <c r="T2938">
        <v>7.1</v>
      </c>
      <c r="U2938">
        <v>4.5</v>
      </c>
      <c r="V2938">
        <v>7.8</v>
      </c>
      <c r="W2938">
        <v>5.4</v>
      </c>
      <c r="X2938" t="s">
        <v>116</v>
      </c>
    </row>
    <row r="2939" spans="2:24" x14ac:dyDescent="0.3">
      <c r="B2939" t="s">
        <v>3032</v>
      </c>
      <c r="C2939" t="s">
        <v>106</v>
      </c>
      <c r="D2939" t="s">
        <v>8</v>
      </c>
      <c r="E2939" t="s">
        <v>15</v>
      </c>
      <c r="F2939" t="s">
        <v>9</v>
      </c>
      <c r="G2939" t="s">
        <v>104</v>
      </c>
      <c r="H2939">
        <v>2026</v>
      </c>
      <c r="I2939">
        <v>7709</v>
      </c>
      <c r="J2939">
        <v>37.6</v>
      </c>
      <c r="K2939" t="s">
        <v>24</v>
      </c>
      <c r="L2939">
        <v>5.8</v>
      </c>
      <c r="M2939">
        <v>10</v>
      </c>
      <c r="N2939">
        <v>1664</v>
      </c>
      <c r="O2939" t="s">
        <v>75</v>
      </c>
      <c r="P2939">
        <v>80.099999999999994</v>
      </c>
      <c r="Q2939" t="s">
        <v>86</v>
      </c>
      <c r="R2939">
        <v>81.099999999999994</v>
      </c>
      <c r="S2939">
        <v>37.1</v>
      </c>
      <c r="T2939">
        <v>8.1</v>
      </c>
      <c r="U2939">
        <v>6.9</v>
      </c>
      <c r="V2939">
        <v>5.9</v>
      </c>
      <c r="W2939">
        <v>3</v>
      </c>
      <c r="X2939" t="s">
        <v>66</v>
      </c>
    </row>
    <row r="2940" spans="2:24" x14ac:dyDescent="0.3">
      <c r="B2940" t="s">
        <v>3033</v>
      </c>
      <c r="C2940" t="s">
        <v>142</v>
      </c>
      <c r="D2940" t="s">
        <v>2</v>
      </c>
      <c r="E2940" t="s">
        <v>18</v>
      </c>
      <c r="F2940" t="s">
        <v>10</v>
      </c>
      <c r="G2940" t="s">
        <v>74</v>
      </c>
      <c r="H2940">
        <v>2026</v>
      </c>
      <c r="I2940">
        <v>992</v>
      </c>
      <c r="J2940">
        <v>1.7</v>
      </c>
      <c r="K2940" t="s">
        <v>23</v>
      </c>
      <c r="L2940">
        <v>6</v>
      </c>
      <c r="M2940">
        <v>7.8</v>
      </c>
      <c r="N2940">
        <v>5741</v>
      </c>
      <c r="O2940" t="s">
        <v>55</v>
      </c>
      <c r="P2940">
        <v>36.299999999999997</v>
      </c>
      <c r="Q2940" t="s">
        <v>56</v>
      </c>
      <c r="R2940">
        <v>42.2</v>
      </c>
      <c r="S2940">
        <v>36.700000000000003</v>
      </c>
      <c r="T2940">
        <v>14.6</v>
      </c>
      <c r="U2940">
        <v>4.2</v>
      </c>
      <c r="V2940">
        <v>7.8</v>
      </c>
      <c r="W2940">
        <v>8.1</v>
      </c>
      <c r="X2940" t="s">
        <v>57</v>
      </c>
    </row>
    <row r="2941" spans="2:24" x14ac:dyDescent="0.3">
      <c r="B2941" t="s">
        <v>3034</v>
      </c>
      <c r="C2941" t="s">
        <v>137</v>
      </c>
      <c r="D2941" t="s">
        <v>3</v>
      </c>
      <c r="E2941" t="s">
        <v>14</v>
      </c>
      <c r="F2941" t="s">
        <v>12</v>
      </c>
      <c r="G2941" t="s">
        <v>63</v>
      </c>
      <c r="H2941">
        <v>2024</v>
      </c>
      <c r="I2941">
        <v>568</v>
      </c>
      <c r="J2941">
        <v>4.7</v>
      </c>
      <c r="K2941" t="s">
        <v>24</v>
      </c>
      <c r="L2941">
        <v>2.2999999999999998</v>
      </c>
      <c r="M2941">
        <v>1.8</v>
      </c>
      <c r="N2941">
        <v>3686</v>
      </c>
      <c r="O2941" t="s">
        <v>55</v>
      </c>
      <c r="P2941">
        <v>75.3</v>
      </c>
      <c r="Q2941" t="s">
        <v>79</v>
      </c>
      <c r="R2941">
        <v>-30.2</v>
      </c>
      <c r="S2941">
        <v>-4.5999999999999996</v>
      </c>
      <c r="T2941">
        <v>-4.9000000000000004</v>
      </c>
      <c r="U2941">
        <v>3.4</v>
      </c>
      <c r="V2941">
        <v>7.1</v>
      </c>
      <c r="W2941">
        <v>6.6</v>
      </c>
      <c r="X2941" t="s">
        <v>57</v>
      </c>
    </row>
    <row r="2942" spans="2:24" x14ac:dyDescent="0.3">
      <c r="B2942" t="s">
        <v>3035</v>
      </c>
      <c r="C2942" t="s">
        <v>68</v>
      </c>
      <c r="D2942" t="s">
        <v>8</v>
      </c>
      <c r="E2942" t="s">
        <v>17</v>
      </c>
      <c r="F2942" t="s">
        <v>12</v>
      </c>
      <c r="G2942" t="s">
        <v>69</v>
      </c>
      <c r="H2942">
        <v>2025</v>
      </c>
      <c r="I2942">
        <v>1204</v>
      </c>
      <c r="J2942">
        <v>3.2</v>
      </c>
      <c r="K2942" t="s">
        <v>22</v>
      </c>
      <c r="L2942">
        <v>9.4</v>
      </c>
      <c r="M2942">
        <v>4.9000000000000004</v>
      </c>
      <c r="N2942">
        <v>4666</v>
      </c>
      <c r="O2942" t="s">
        <v>55</v>
      </c>
      <c r="P2942">
        <v>75.400000000000006</v>
      </c>
      <c r="Q2942" t="s">
        <v>56</v>
      </c>
      <c r="R2942">
        <v>55.7</v>
      </c>
      <c r="S2942">
        <v>2.5</v>
      </c>
      <c r="T2942">
        <v>11.6</v>
      </c>
      <c r="U2942">
        <v>6.8</v>
      </c>
      <c r="V2942">
        <v>8.6</v>
      </c>
      <c r="W2942">
        <v>6.2</v>
      </c>
      <c r="X2942" t="s">
        <v>116</v>
      </c>
    </row>
    <row r="2943" spans="2:24" x14ac:dyDescent="0.3">
      <c r="B2943" t="s">
        <v>3036</v>
      </c>
      <c r="C2943" t="s">
        <v>92</v>
      </c>
      <c r="D2943" t="s">
        <v>7</v>
      </c>
      <c r="E2943" t="s">
        <v>14</v>
      </c>
      <c r="F2943" t="s">
        <v>9</v>
      </c>
      <c r="G2943" t="s">
        <v>101</v>
      </c>
      <c r="H2943">
        <v>2025</v>
      </c>
      <c r="I2943">
        <v>1841</v>
      </c>
      <c r="J2943">
        <v>6.2</v>
      </c>
      <c r="K2943" t="s">
        <v>21</v>
      </c>
      <c r="L2943">
        <v>9.6999999999999993</v>
      </c>
      <c r="M2943">
        <v>5.9</v>
      </c>
      <c r="N2943">
        <v>4616</v>
      </c>
      <c r="O2943" t="s">
        <v>55</v>
      </c>
      <c r="P2943">
        <v>68.400000000000006</v>
      </c>
      <c r="Q2943" t="s">
        <v>65</v>
      </c>
      <c r="R2943">
        <v>39.1</v>
      </c>
      <c r="S2943">
        <v>16.5</v>
      </c>
      <c r="T2943">
        <v>9.3000000000000007</v>
      </c>
      <c r="U2943">
        <v>5.8</v>
      </c>
      <c r="V2943">
        <v>5.8</v>
      </c>
      <c r="W2943">
        <v>7.5</v>
      </c>
      <c r="X2943" t="s">
        <v>57</v>
      </c>
    </row>
    <row r="2944" spans="2:24" x14ac:dyDescent="0.3">
      <c r="B2944" t="s">
        <v>3037</v>
      </c>
      <c r="C2944" t="s">
        <v>90</v>
      </c>
      <c r="D2944" t="s">
        <v>2</v>
      </c>
      <c r="E2944" t="s">
        <v>17</v>
      </c>
      <c r="F2944" t="s">
        <v>11</v>
      </c>
      <c r="G2944" t="s">
        <v>69</v>
      </c>
      <c r="H2944">
        <v>2026</v>
      </c>
      <c r="I2944">
        <v>503</v>
      </c>
      <c r="J2944">
        <v>2.2000000000000002</v>
      </c>
      <c r="K2944" t="s">
        <v>24</v>
      </c>
      <c r="L2944">
        <v>8.9</v>
      </c>
      <c r="M2944">
        <v>10</v>
      </c>
      <c r="N2944">
        <v>1268</v>
      </c>
      <c r="O2944" t="s">
        <v>55</v>
      </c>
      <c r="P2944">
        <v>78.3</v>
      </c>
      <c r="Q2944" t="s">
        <v>56</v>
      </c>
      <c r="R2944">
        <v>2.6</v>
      </c>
      <c r="S2944">
        <v>51.8</v>
      </c>
      <c r="T2944">
        <v>21.9</v>
      </c>
      <c r="U2944">
        <v>6.8</v>
      </c>
      <c r="V2944">
        <v>10</v>
      </c>
      <c r="W2944">
        <v>7.6</v>
      </c>
      <c r="X2944" t="s">
        <v>116</v>
      </c>
    </row>
    <row r="2945" spans="2:24" x14ac:dyDescent="0.3">
      <c r="B2945" t="s">
        <v>3038</v>
      </c>
      <c r="C2945" t="s">
        <v>137</v>
      </c>
      <c r="D2945" t="s">
        <v>3</v>
      </c>
      <c r="E2945" t="s">
        <v>19</v>
      </c>
      <c r="F2945" t="s">
        <v>12</v>
      </c>
      <c r="G2945" t="s">
        <v>63</v>
      </c>
      <c r="H2945">
        <v>2024</v>
      </c>
      <c r="I2945">
        <v>843</v>
      </c>
      <c r="J2945">
        <v>2</v>
      </c>
      <c r="K2945" t="s">
        <v>21</v>
      </c>
      <c r="L2945">
        <v>1.5</v>
      </c>
      <c r="M2945">
        <v>3</v>
      </c>
      <c r="N2945">
        <v>5116</v>
      </c>
      <c r="O2945" t="s">
        <v>55</v>
      </c>
      <c r="P2945">
        <v>56.9</v>
      </c>
      <c r="Q2945" t="s">
        <v>65</v>
      </c>
      <c r="R2945">
        <v>-10.4</v>
      </c>
      <c r="S2945">
        <v>6</v>
      </c>
      <c r="T2945">
        <v>-3.4</v>
      </c>
      <c r="U2945">
        <v>2</v>
      </c>
      <c r="V2945">
        <v>5.8</v>
      </c>
      <c r="W2945">
        <v>8.1999999999999993</v>
      </c>
      <c r="X2945" t="s">
        <v>57</v>
      </c>
    </row>
    <row r="2946" spans="2:24" x14ac:dyDescent="0.3">
      <c r="B2946" t="s">
        <v>3039</v>
      </c>
      <c r="C2946" t="s">
        <v>73</v>
      </c>
      <c r="D2946" t="s">
        <v>2</v>
      </c>
      <c r="E2946" t="s">
        <v>15</v>
      </c>
      <c r="F2946" t="s">
        <v>10</v>
      </c>
      <c r="G2946" t="s">
        <v>104</v>
      </c>
      <c r="H2946">
        <v>2026</v>
      </c>
      <c r="I2946">
        <v>5028</v>
      </c>
      <c r="J2946">
        <v>16.899999999999999</v>
      </c>
      <c r="K2946" t="s">
        <v>21</v>
      </c>
      <c r="L2946">
        <v>7</v>
      </c>
      <c r="M2946">
        <v>7.8</v>
      </c>
      <c r="N2946">
        <v>9356</v>
      </c>
      <c r="O2946" t="s">
        <v>55</v>
      </c>
      <c r="P2946">
        <v>21.7</v>
      </c>
      <c r="Q2946" t="s">
        <v>56</v>
      </c>
      <c r="R2946">
        <v>28.6</v>
      </c>
      <c r="S2946">
        <v>60</v>
      </c>
      <c r="T2946">
        <v>27.2</v>
      </c>
      <c r="U2946">
        <v>4.7</v>
      </c>
      <c r="V2946">
        <v>7.1</v>
      </c>
      <c r="W2946">
        <v>7.1</v>
      </c>
      <c r="X2946" t="s">
        <v>116</v>
      </c>
    </row>
    <row r="2947" spans="2:24" x14ac:dyDescent="0.3">
      <c r="B2947" t="s">
        <v>3040</v>
      </c>
      <c r="C2947" t="s">
        <v>137</v>
      </c>
      <c r="D2947" t="s">
        <v>3</v>
      </c>
      <c r="E2947" t="s">
        <v>19</v>
      </c>
      <c r="F2947" t="s">
        <v>12</v>
      </c>
      <c r="G2947" t="s">
        <v>60</v>
      </c>
      <c r="H2947">
        <v>2026</v>
      </c>
      <c r="I2947">
        <v>2359</v>
      </c>
      <c r="J2947">
        <v>6.4</v>
      </c>
      <c r="K2947" t="s">
        <v>23</v>
      </c>
      <c r="L2947">
        <v>10.9</v>
      </c>
      <c r="M2947">
        <v>10</v>
      </c>
      <c r="N2947">
        <v>4722</v>
      </c>
      <c r="O2947" t="s">
        <v>55</v>
      </c>
      <c r="P2947">
        <v>60.4</v>
      </c>
      <c r="Q2947" t="s">
        <v>65</v>
      </c>
      <c r="R2947">
        <v>24.9</v>
      </c>
      <c r="S2947">
        <v>10.3</v>
      </c>
      <c r="T2947">
        <v>12.8</v>
      </c>
      <c r="U2947">
        <v>9.3000000000000007</v>
      </c>
      <c r="V2947">
        <v>5.7</v>
      </c>
      <c r="W2947">
        <v>5</v>
      </c>
      <c r="X2947" t="s">
        <v>57</v>
      </c>
    </row>
    <row r="2948" spans="2:24" x14ac:dyDescent="0.3">
      <c r="B2948" t="s">
        <v>3041</v>
      </c>
      <c r="C2948" t="s">
        <v>71</v>
      </c>
      <c r="D2948" t="s">
        <v>6</v>
      </c>
      <c r="E2948" t="s">
        <v>18</v>
      </c>
      <c r="F2948" t="s">
        <v>9</v>
      </c>
      <c r="G2948" t="s">
        <v>63</v>
      </c>
      <c r="H2948">
        <v>2025</v>
      </c>
      <c r="I2948">
        <v>2395</v>
      </c>
      <c r="J2948">
        <v>8</v>
      </c>
      <c r="K2948" t="s">
        <v>24</v>
      </c>
      <c r="L2948">
        <v>2.6</v>
      </c>
      <c r="M2948">
        <v>2.2999999999999998</v>
      </c>
      <c r="N2948">
        <v>1502</v>
      </c>
      <c r="O2948" t="s">
        <v>64</v>
      </c>
      <c r="P2948">
        <v>68.5</v>
      </c>
      <c r="Q2948" t="s">
        <v>65</v>
      </c>
      <c r="R2948">
        <v>-36.299999999999997</v>
      </c>
      <c r="S2948">
        <v>51.5</v>
      </c>
      <c r="T2948">
        <v>11.6</v>
      </c>
      <c r="U2948">
        <v>1.9</v>
      </c>
      <c r="V2948">
        <v>8.3000000000000007</v>
      </c>
      <c r="W2948">
        <v>9</v>
      </c>
      <c r="X2948" t="s">
        <v>57</v>
      </c>
    </row>
    <row r="2949" spans="2:24" x14ac:dyDescent="0.3">
      <c r="B2949" t="s">
        <v>3042</v>
      </c>
      <c r="C2949" t="s">
        <v>142</v>
      </c>
      <c r="D2949" t="s">
        <v>2</v>
      </c>
      <c r="E2949" t="s">
        <v>18</v>
      </c>
      <c r="F2949" t="s">
        <v>10</v>
      </c>
      <c r="G2949" t="s">
        <v>60</v>
      </c>
      <c r="H2949">
        <v>2026</v>
      </c>
      <c r="I2949">
        <v>2228</v>
      </c>
      <c r="J2949">
        <v>1.5</v>
      </c>
      <c r="K2949" t="s">
        <v>22</v>
      </c>
      <c r="L2949">
        <v>1.5</v>
      </c>
      <c r="M2949">
        <v>3.3</v>
      </c>
      <c r="N2949">
        <v>3493</v>
      </c>
      <c r="O2949" t="s">
        <v>64</v>
      </c>
      <c r="P2949">
        <v>73.400000000000006</v>
      </c>
      <c r="Q2949" t="s">
        <v>76</v>
      </c>
      <c r="R2949">
        <v>-34.5</v>
      </c>
      <c r="S2949">
        <v>57.6</v>
      </c>
      <c r="T2949">
        <v>20</v>
      </c>
      <c r="U2949">
        <v>2.2000000000000002</v>
      </c>
      <c r="V2949">
        <v>10</v>
      </c>
      <c r="W2949">
        <v>8.3000000000000007</v>
      </c>
      <c r="X2949" t="s">
        <v>57</v>
      </c>
    </row>
    <row r="2950" spans="2:24" x14ac:dyDescent="0.3">
      <c r="B2950" t="s">
        <v>3043</v>
      </c>
      <c r="C2950" t="s">
        <v>73</v>
      </c>
      <c r="D2950" t="s">
        <v>2</v>
      </c>
      <c r="E2950" t="s">
        <v>14</v>
      </c>
      <c r="F2950" t="s">
        <v>12</v>
      </c>
      <c r="G2950" t="s">
        <v>69</v>
      </c>
      <c r="H2950">
        <v>2024</v>
      </c>
      <c r="I2950">
        <v>4835</v>
      </c>
      <c r="J2950">
        <v>14.3</v>
      </c>
      <c r="K2950" t="s">
        <v>24</v>
      </c>
      <c r="L2950">
        <v>1.4</v>
      </c>
      <c r="M2950">
        <v>4.5</v>
      </c>
      <c r="N2950">
        <v>7708</v>
      </c>
      <c r="O2950" t="s">
        <v>55</v>
      </c>
      <c r="P2950">
        <v>75.900000000000006</v>
      </c>
      <c r="Q2950" t="s">
        <v>56</v>
      </c>
      <c r="R2950">
        <v>20.399999999999999</v>
      </c>
      <c r="S2950">
        <v>28.3</v>
      </c>
      <c r="T2950">
        <v>7.3</v>
      </c>
      <c r="U2950">
        <v>1</v>
      </c>
      <c r="V2950">
        <v>5.0999999999999996</v>
      </c>
      <c r="W2950">
        <v>7.5</v>
      </c>
      <c r="X2950" t="s">
        <v>116</v>
      </c>
    </row>
    <row r="2951" spans="2:24" x14ac:dyDescent="0.3">
      <c r="B2951" t="s">
        <v>3044</v>
      </c>
      <c r="C2951" t="s">
        <v>100</v>
      </c>
      <c r="D2951" t="s">
        <v>3</v>
      </c>
      <c r="E2951" t="s">
        <v>16</v>
      </c>
      <c r="F2951" t="s">
        <v>10</v>
      </c>
      <c r="G2951" t="s">
        <v>112</v>
      </c>
      <c r="H2951">
        <v>2025</v>
      </c>
      <c r="I2951">
        <v>758</v>
      </c>
      <c r="J2951">
        <v>17.5</v>
      </c>
      <c r="K2951" t="s">
        <v>22</v>
      </c>
      <c r="L2951">
        <v>1.2</v>
      </c>
      <c r="M2951">
        <v>5.3</v>
      </c>
      <c r="N2951">
        <v>578</v>
      </c>
      <c r="O2951" t="s">
        <v>64</v>
      </c>
      <c r="P2951">
        <v>85.2</v>
      </c>
      <c r="Q2951" t="s">
        <v>56</v>
      </c>
      <c r="R2951">
        <v>-18.7</v>
      </c>
      <c r="S2951">
        <v>44.1</v>
      </c>
      <c r="T2951">
        <v>9.6999999999999993</v>
      </c>
      <c r="U2951">
        <v>1</v>
      </c>
      <c r="V2951">
        <v>6.4</v>
      </c>
      <c r="W2951">
        <v>7.2</v>
      </c>
      <c r="X2951" t="s">
        <v>116</v>
      </c>
    </row>
    <row r="2952" spans="2:24" x14ac:dyDescent="0.3">
      <c r="B2952" t="s">
        <v>3045</v>
      </c>
      <c r="C2952" t="s">
        <v>53</v>
      </c>
      <c r="D2952" t="s">
        <v>4</v>
      </c>
      <c r="E2952" t="s">
        <v>14</v>
      </c>
      <c r="F2952" t="s">
        <v>11</v>
      </c>
      <c r="G2952" t="s">
        <v>63</v>
      </c>
      <c r="H2952">
        <v>2024</v>
      </c>
      <c r="I2952">
        <v>6371</v>
      </c>
      <c r="J2952">
        <v>27.2</v>
      </c>
      <c r="K2952" t="s">
        <v>24</v>
      </c>
      <c r="L2952">
        <v>4.9000000000000004</v>
      </c>
      <c r="M2952">
        <v>10</v>
      </c>
      <c r="N2952">
        <v>1137</v>
      </c>
      <c r="O2952" t="s">
        <v>75</v>
      </c>
      <c r="P2952">
        <v>37.200000000000003</v>
      </c>
      <c r="Q2952" t="s">
        <v>125</v>
      </c>
      <c r="R2952">
        <v>65</v>
      </c>
      <c r="S2952">
        <v>1.8</v>
      </c>
      <c r="T2952">
        <v>2.2000000000000002</v>
      </c>
      <c r="U2952">
        <v>4.5999999999999996</v>
      </c>
      <c r="V2952">
        <v>6.4</v>
      </c>
      <c r="W2952">
        <v>2.6</v>
      </c>
      <c r="X2952" t="s">
        <v>66</v>
      </c>
    </row>
    <row r="2953" spans="2:24" x14ac:dyDescent="0.3">
      <c r="B2953" t="s">
        <v>3046</v>
      </c>
      <c r="C2953" t="s">
        <v>90</v>
      </c>
      <c r="D2953" t="s">
        <v>5</v>
      </c>
      <c r="E2953" t="s">
        <v>16</v>
      </c>
      <c r="F2953" t="s">
        <v>10</v>
      </c>
      <c r="G2953" t="s">
        <v>115</v>
      </c>
      <c r="H2953">
        <v>2026</v>
      </c>
      <c r="I2953">
        <v>2912</v>
      </c>
      <c r="J2953">
        <v>16.3</v>
      </c>
      <c r="K2953" t="s">
        <v>22</v>
      </c>
      <c r="L2953">
        <v>7.1</v>
      </c>
      <c r="M2953">
        <v>7.4</v>
      </c>
      <c r="N2953">
        <v>1791</v>
      </c>
      <c r="O2953" t="s">
        <v>64</v>
      </c>
      <c r="P2953">
        <v>35.1</v>
      </c>
      <c r="Q2953" t="s">
        <v>125</v>
      </c>
      <c r="R2953">
        <v>26.5</v>
      </c>
      <c r="S2953">
        <v>14.8</v>
      </c>
      <c r="T2953">
        <v>-0.4</v>
      </c>
      <c r="U2953">
        <v>7.5</v>
      </c>
      <c r="V2953">
        <v>8</v>
      </c>
      <c r="W2953">
        <v>4.9000000000000004</v>
      </c>
      <c r="X2953" t="s">
        <v>116</v>
      </c>
    </row>
    <row r="2954" spans="2:24" x14ac:dyDescent="0.3">
      <c r="B2954" t="s">
        <v>3047</v>
      </c>
      <c r="C2954" t="s">
        <v>90</v>
      </c>
      <c r="D2954" t="s">
        <v>5</v>
      </c>
      <c r="E2954" t="s">
        <v>16</v>
      </c>
      <c r="F2954" t="s">
        <v>10</v>
      </c>
      <c r="G2954" t="s">
        <v>115</v>
      </c>
      <c r="H2954">
        <v>2026</v>
      </c>
      <c r="I2954">
        <v>1255</v>
      </c>
      <c r="J2954">
        <v>1.3</v>
      </c>
      <c r="K2954" t="s">
        <v>22</v>
      </c>
      <c r="L2954">
        <v>8.6999999999999993</v>
      </c>
      <c r="M2954">
        <v>6.7</v>
      </c>
      <c r="N2954">
        <v>4633</v>
      </c>
      <c r="O2954" t="s">
        <v>55</v>
      </c>
      <c r="P2954">
        <v>88.8</v>
      </c>
      <c r="Q2954" t="s">
        <v>86</v>
      </c>
      <c r="R2954">
        <v>58.8</v>
      </c>
      <c r="S2954">
        <v>25.6</v>
      </c>
      <c r="T2954">
        <v>12.4</v>
      </c>
      <c r="U2954">
        <v>6.2</v>
      </c>
      <c r="V2954">
        <v>9.1999999999999993</v>
      </c>
      <c r="W2954">
        <v>7.6</v>
      </c>
      <c r="X2954" t="s">
        <v>116</v>
      </c>
    </row>
    <row r="2955" spans="2:24" x14ac:dyDescent="0.3">
      <c r="B2955" t="s">
        <v>3048</v>
      </c>
      <c r="C2955" t="s">
        <v>97</v>
      </c>
      <c r="D2955" t="s">
        <v>3</v>
      </c>
      <c r="E2955" t="s">
        <v>16</v>
      </c>
      <c r="F2955" t="s">
        <v>12</v>
      </c>
      <c r="G2955" t="s">
        <v>69</v>
      </c>
      <c r="H2955">
        <v>2025</v>
      </c>
      <c r="I2955">
        <v>477</v>
      </c>
      <c r="J2955">
        <v>7</v>
      </c>
      <c r="K2955" t="s">
        <v>25</v>
      </c>
      <c r="L2955">
        <v>7.1</v>
      </c>
      <c r="M2955">
        <v>10</v>
      </c>
      <c r="N2955">
        <v>4543</v>
      </c>
      <c r="O2955" t="s">
        <v>55</v>
      </c>
      <c r="P2955">
        <v>78.099999999999994</v>
      </c>
      <c r="Q2955" t="s">
        <v>86</v>
      </c>
      <c r="R2955">
        <v>85.3</v>
      </c>
      <c r="S2955">
        <v>18.3</v>
      </c>
      <c r="T2955">
        <v>3</v>
      </c>
      <c r="U2955">
        <v>8.6</v>
      </c>
      <c r="V2955">
        <v>7</v>
      </c>
      <c r="W2955">
        <v>6.3</v>
      </c>
      <c r="X2955" t="s">
        <v>57</v>
      </c>
    </row>
    <row r="2956" spans="2:24" x14ac:dyDescent="0.3">
      <c r="B2956" t="s">
        <v>3049</v>
      </c>
      <c r="C2956" t="s">
        <v>59</v>
      </c>
      <c r="D2956" t="s">
        <v>4</v>
      </c>
      <c r="E2956" t="s">
        <v>18</v>
      </c>
      <c r="F2956" t="s">
        <v>10</v>
      </c>
      <c r="G2956" t="s">
        <v>74</v>
      </c>
      <c r="H2956">
        <v>2024</v>
      </c>
      <c r="I2956">
        <v>2308</v>
      </c>
      <c r="J2956">
        <v>4.3</v>
      </c>
      <c r="K2956" t="s">
        <v>21</v>
      </c>
      <c r="L2956">
        <v>1.1000000000000001</v>
      </c>
      <c r="M2956">
        <v>1</v>
      </c>
      <c r="N2956">
        <v>1449</v>
      </c>
      <c r="O2956" t="s">
        <v>64</v>
      </c>
      <c r="P2956">
        <v>49</v>
      </c>
      <c r="Q2956" t="s">
        <v>86</v>
      </c>
      <c r="R2956">
        <v>-34.5</v>
      </c>
      <c r="S2956">
        <v>21.3</v>
      </c>
      <c r="T2956">
        <v>8.4</v>
      </c>
      <c r="U2956">
        <v>1.2</v>
      </c>
      <c r="V2956">
        <v>9.1999999999999993</v>
      </c>
      <c r="W2956">
        <v>7.5</v>
      </c>
      <c r="X2956" t="s">
        <v>57</v>
      </c>
    </row>
    <row r="2957" spans="2:24" x14ac:dyDescent="0.3">
      <c r="B2957" t="s">
        <v>3050</v>
      </c>
      <c r="C2957" t="s">
        <v>106</v>
      </c>
      <c r="D2957" t="s">
        <v>4</v>
      </c>
      <c r="E2957" t="s">
        <v>14</v>
      </c>
      <c r="F2957" t="s">
        <v>9</v>
      </c>
      <c r="G2957" t="s">
        <v>78</v>
      </c>
      <c r="H2957">
        <v>2026</v>
      </c>
      <c r="I2957">
        <v>2192</v>
      </c>
      <c r="J2957">
        <v>12.9</v>
      </c>
      <c r="K2957" t="s">
        <v>25</v>
      </c>
      <c r="L2957">
        <v>1.3</v>
      </c>
      <c r="M2957">
        <v>5.6</v>
      </c>
      <c r="N2957">
        <v>2093</v>
      </c>
      <c r="O2957" t="s">
        <v>64</v>
      </c>
      <c r="P2957">
        <v>39.9</v>
      </c>
      <c r="Q2957" t="s">
        <v>125</v>
      </c>
      <c r="R2957">
        <v>-3.3</v>
      </c>
      <c r="S2957">
        <v>-23.5</v>
      </c>
      <c r="T2957">
        <v>-7.2</v>
      </c>
      <c r="U2957">
        <v>1.2</v>
      </c>
      <c r="V2957">
        <v>5.6</v>
      </c>
      <c r="W2957">
        <v>5.0999999999999996</v>
      </c>
      <c r="X2957" t="s">
        <v>116</v>
      </c>
    </row>
    <row r="2958" spans="2:24" x14ac:dyDescent="0.3">
      <c r="B2958" t="s">
        <v>3051</v>
      </c>
      <c r="C2958" t="s">
        <v>53</v>
      </c>
      <c r="D2958" t="s">
        <v>4</v>
      </c>
      <c r="E2958" t="s">
        <v>19</v>
      </c>
      <c r="F2958" t="s">
        <v>10</v>
      </c>
      <c r="G2958" t="s">
        <v>60</v>
      </c>
      <c r="H2958">
        <v>2026</v>
      </c>
      <c r="I2958">
        <v>2329</v>
      </c>
      <c r="J2958">
        <v>3.3</v>
      </c>
      <c r="K2958" t="s">
        <v>23</v>
      </c>
      <c r="L2958">
        <v>14</v>
      </c>
      <c r="M2958">
        <v>7.8</v>
      </c>
      <c r="N2958">
        <v>4158</v>
      </c>
      <c r="O2958" t="s">
        <v>55</v>
      </c>
      <c r="P2958">
        <v>35.9</v>
      </c>
      <c r="Q2958" t="s">
        <v>86</v>
      </c>
      <c r="R2958">
        <v>11</v>
      </c>
      <c r="S2958">
        <v>30.3</v>
      </c>
      <c r="T2958">
        <v>14.6</v>
      </c>
      <c r="U2958">
        <v>8.8000000000000007</v>
      </c>
      <c r="V2958">
        <v>7.4</v>
      </c>
      <c r="W2958">
        <v>7.9</v>
      </c>
      <c r="X2958" t="s">
        <v>116</v>
      </c>
    </row>
    <row r="2959" spans="2:24" x14ac:dyDescent="0.3">
      <c r="B2959" t="s">
        <v>3052</v>
      </c>
      <c r="C2959" t="s">
        <v>53</v>
      </c>
      <c r="D2959" t="s">
        <v>3</v>
      </c>
      <c r="E2959" t="s">
        <v>17</v>
      </c>
      <c r="F2959" t="s">
        <v>9</v>
      </c>
      <c r="G2959" t="s">
        <v>54</v>
      </c>
      <c r="H2959">
        <v>2025</v>
      </c>
      <c r="I2959">
        <v>3187</v>
      </c>
      <c r="J2959">
        <v>13.1</v>
      </c>
      <c r="K2959" t="s">
        <v>25</v>
      </c>
      <c r="L2959">
        <v>5.0999999999999996</v>
      </c>
      <c r="M2959">
        <v>5.6</v>
      </c>
      <c r="N2959">
        <v>5148</v>
      </c>
      <c r="O2959" t="s">
        <v>55</v>
      </c>
      <c r="P2959">
        <v>45</v>
      </c>
      <c r="Q2959" t="s">
        <v>76</v>
      </c>
      <c r="R2959">
        <v>41.4</v>
      </c>
      <c r="S2959">
        <v>-23.8</v>
      </c>
      <c r="T2959">
        <v>-7.4</v>
      </c>
      <c r="U2959">
        <v>5.2</v>
      </c>
      <c r="V2959">
        <v>3.5</v>
      </c>
      <c r="W2959">
        <v>5.8</v>
      </c>
      <c r="X2959" t="s">
        <v>116</v>
      </c>
    </row>
    <row r="2960" spans="2:24" x14ac:dyDescent="0.3">
      <c r="B2960" t="s">
        <v>3053</v>
      </c>
      <c r="C2960" t="s">
        <v>53</v>
      </c>
      <c r="D2960" t="s">
        <v>4</v>
      </c>
      <c r="E2960" t="s">
        <v>14</v>
      </c>
      <c r="F2960" t="s">
        <v>10</v>
      </c>
      <c r="G2960" t="s">
        <v>98</v>
      </c>
      <c r="H2960">
        <v>2026</v>
      </c>
      <c r="I2960">
        <v>1510</v>
      </c>
      <c r="J2960">
        <v>7.9</v>
      </c>
      <c r="K2960" t="s">
        <v>23</v>
      </c>
      <c r="L2960">
        <v>1.5</v>
      </c>
      <c r="M2960">
        <v>2.1</v>
      </c>
      <c r="N2960">
        <v>5382</v>
      </c>
      <c r="O2960" t="s">
        <v>55</v>
      </c>
      <c r="P2960">
        <v>75.3</v>
      </c>
      <c r="Q2960" t="s">
        <v>76</v>
      </c>
      <c r="R2960">
        <v>33.299999999999997</v>
      </c>
      <c r="S2960">
        <v>-1.7</v>
      </c>
      <c r="T2960">
        <v>3.1</v>
      </c>
      <c r="U2960">
        <v>1.1000000000000001</v>
      </c>
      <c r="V2960">
        <v>4.5</v>
      </c>
      <c r="W2960">
        <v>7.1</v>
      </c>
      <c r="X2960" t="s">
        <v>57</v>
      </c>
    </row>
    <row r="2961" spans="2:24" x14ac:dyDescent="0.3">
      <c r="B2961" t="s">
        <v>3054</v>
      </c>
      <c r="C2961" t="s">
        <v>90</v>
      </c>
      <c r="D2961" t="s">
        <v>5</v>
      </c>
      <c r="E2961" t="s">
        <v>15</v>
      </c>
      <c r="F2961" t="s">
        <v>11</v>
      </c>
      <c r="G2961" t="s">
        <v>78</v>
      </c>
      <c r="H2961">
        <v>2025</v>
      </c>
      <c r="I2961">
        <v>12534</v>
      </c>
      <c r="J2961">
        <v>19.7</v>
      </c>
      <c r="K2961" t="s">
        <v>21</v>
      </c>
      <c r="L2961">
        <v>11</v>
      </c>
      <c r="M2961">
        <v>10</v>
      </c>
      <c r="N2961">
        <v>973</v>
      </c>
      <c r="O2961" t="s">
        <v>64</v>
      </c>
      <c r="P2961">
        <v>49.9</v>
      </c>
      <c r="Q2961" t="s">
        <v>56</v>
      </c>
      <c r="R2961">
        <v>-35.200000000000003</v>
      </c>
      <c r="S2961">
        <v>49.6</v>
      </c>
      <c r="T2961">
        <v>19.399999999999999</v>
      </c>
      <c r="U2961">
        <v>7.8</v>
      </c>
      <c r="V2961">
        <v>7.6</v>
      </c>
      <c r="W2961">
        <v>6.1</v>
      </c>
      <c r="X2961" t="s">
        <v>66</v>
      </c>
    </row>
    <row r="2962" spans="2:24" x14ac:dyDescent="0.3">
      <c r="B2962" t="s">
        <v>3055</v>
      </c>
      <c r="C2962" t="s">
        <v>137</v>
      </c>
      <c r="D2962" t="s">
        <v>3</v>
      </c>
      <c r="E2962" t="s">
        <v>15</v>
      </c>
      <c r="F2962" t="s">
        <v>11</v>
      </c>
      <c r="G2962" t="s">
        <v>131</v>
      </c>
      <c r="H2962">
        <v>2024</v>
      </c>
      <c r="I2962">
        <v>891</v>
      </c>
      <c r="J2962">
        <v>6.8</v>
      </c>
      <c r="K2962" t="s">
        <v>24</v>
      </c>
      <c r="L2962">
        <v>3.4</v>
      </c>
      <c r="M2962">
        <v>4.2</v>
      </c>
      <c r="N2962">
        <v>3054</v>
      </c>
      <c r="O2962" t="s">
        <v>64</v>
      </c>
      <c r="P2962">
        <v>87.1</v>
      </c>
      <c r="Q2962" t="s">
        <v>79</v>
      </c>
      <c r="R2962">
        <v>-29.4</v>
      </c>
      <c r="S2962">
        <v>51.8</v>
      </c>
      <c r="T2962">
        <v>16.600000000000001</v>
      </c>
      <c r="U2962">
        <v>3.9</v>
      </c>
      <c r="V2962">
        <v>6.5</v>
      </c>
      <c r="W2962">
        <v>8.8000000000000007</v>
      </c>
      <c r="X2962" t="s">
        <v>57</v>
      </c>
    </row>
    <row r="2963" spans="2:24" x14ac:dyDescent="0.3">
      <c r="B2963" t="s">
        <v>3056</v>
      </c>
      <c r="C2963" t="s">
        <v>90</v>
      </c>
      <c r="D2963" t="s">
        <v>3</v>
      </c>
      <c r="E2963" t="s">
        <v>18</v>
      </c>
      <c r="F2963" t="s">
        <v>9</v>
      </c>
      <c r="G2963" t="s">
        <v>74</v>
      </c>
      <c r="H2963">
        <v>2025</v>
      </c>
      <c r="I2963">
        <v>11440</v>
      </c>
      <c r="J2963">
        <v>23.9</v>
      </c>
      <c r="K2963" t="s">
        <v>23</v>
      </c>
      <c r="L2963">
        <v>10.9</v>
      </c>
      <c r="M2963">
        <v>10</v>
      </c>
      <c r="N2963">
        <v>124</v>
      </c>
      <c r="O2963" t="s">
        <v>64</v>
      </c>
      <c r="P2963">
        <v>87.4</v>
      </c>
      <c r="Q2963" t="s">
        <v>86</v>
      </c>
      <c r="R2963">
        <v>33.4</v>
      </c>
      <c r="S2963">
        <v>44</v>
      </c>
      <c r="T2963">
        <v>13.4</v>
      </c>
      <c r="U2963">
        <v>6.9</v>
      </c>
      <c r="V2963">
        <v>5.9</v>
      </c>
      <c r="W2963">
        <v>4</v>
      </c>
      <c r="X2963" t="s">
        <v>66</v>
      </c>
    </row>
    <row r="2964" spans="2:24" x14ac:dyDescent="0.3">
      <c r="B2964" t="s">
        <v>3057</v>
      </c>
      <c r="C2964" t="s">
        <v>53</v>
      </c>
      <c r="D2964" t="s">
        <v>7</v>
      </c>
      <c r="E2964" t="s">
        <v>15</v>
      </c>
      <c r="F2964" t="s">
        <v>9</v>
      </c>
      <c r="G2964" t="s">
        <v>112</v>
      </c>
      <c r="H2964">
        <v>2025</v>
      </c>
      <c r="I2964">
        <v>4717</v>
      </c>
      <c r="J2964">
        <v>6.5</v>
      </c>
      <c r="K2964" t="s">
        <v>23</v>
      </c>
      <c r="L2964">
        <v>7.3</v>
      </c>
      <c r="M2964">
        <v>5.9</v>
      </c>
      <c r="N2964">
        <v>2943</v>
      </c>
      <c r="O2964" t="s">
        <v>55</v>
      </c>
      <c r="P2964">
        <v>67.3</v>
      </c>
      <c r="Q2964" t="s">
        <v>86</v>
      </c>
      <c r="R2964">
        <v>26.6</v>
      </c>
      <c r="S2964">
        <v>18.899999999999999</v>
      </c>
      <c r="T2964">
        <v>9.6999999999999993</v>
      </c>
      <c r="U2964">
        <v>4.9000000000000004</v>
      </c>
      <c r="V2964">
        <v>6.4</v>
      </c>
      <c r="W2964">
        <v>7</v>
      </c>
      <c r="X2964" t="s">
        <v>116</v>
      </c>
    </row>
    <row r="2965" spans="2:24" x14ac:dyDescent="0.3">
      <c r="B2965" t="s">
        <v>3058</v>
      </c>
      <c r="C2965" t="s">
        <v>137</v>
      </c>
      <c r="D2965" t="s">
        <v>3</v>
      </c>
      <c r="E2965" t="s">
        <v>15</v>
      </c>
      <c r="F2965" t="s">
        <v>12</v>
      </c>
      <c r="G2965" t="s">
        <v>69</v>
      </c>
      <c r="H2965">
        <v>2025</v>
      </c>
      <c r="I2965">
        <v>1302</v>
      </c>
      <c r="J2965">
        <v>0.9</v>
      </c>
      <c r="K2965" t="s">
        <v>22</v>
      </c>
      <c r="L2965">
        <v>13.1</v>
      </c>
      <c r="M2965">
        <v>6.2</v>
      </c>
      <c r="N2965">
        <v>3626</v>
      </c>
      <c r="O2965" t="s">
        <v>55</v>
      </c>
      <c r="P2965">
        <v>14.3</v>
      </c>
      <c r="Q2965" t="s">
        <v>79</v>
      </c>
      <c r="R2965">
        <v>25.5</v>
      </c>
      <c r="S2965">
        <v>0.1</v>
      </c>
      <c r="T2965">
        <v>5.4</v>
      </c>
      <c r="U2965">
        <v>8.6999999999999993</v>
      </c>
      <c r="V2965">
        <v>8.3000000000000007</v>
      </c>
      <c r="W2965">
        <v>6.2</v>
      </c>
      <c r="X2965" t="s">
        <v>57</v>
      </c>
    </row>
    <row r="2966" spans="2:24" x14ac:dyDescent="0.3">
      <c r="B2966" t="s">
        <v>3059</v>
      </c>
      <c r="C2966" t="s">
        <v>73</v>
      </c>
      <c r="D2966" t="s">
        <v>2</v>
      </c>
      <c r="E2966" t="s">
        <v>14</v>
      </c>
      <c r="F2966" t="s">
        <v>12</v>
      </c>
      <c r="G2966" t="s">
        <v>69</v>
      </c>
      <c r="H2966">
        <v>2026</v>
      </c>
      <c r="I2966">
        <v>6092</v>
      </c>
      <c r="J2966">
        <v>3</v>
      </c>
      <c r="K2966" t="s">
        <v>21</v>
      </c>
      <c r="L2966">
        <v>4.0999999999999996</v>
      </c>
      <c r="M2966">
        <v>4.8</v>
      </c>
      <c r="N2966">
        <v>5937</v>
      </c>
      <c r="O2966" t="s">
        <v>55</v>
      </c>
      <c r="P2966">
        <v>51.1</v>
      </c>
      <c r="Q2966" t="s">
        <v>76</v>
      </c>
      <c r="R2966">
        <v>-15.4</v>
      </c>
      <c r="S2966">
        <v>9</v>
      </c>
      <c r="T2966">
        <v>-4</v>
      </c>
      <c r="U2966">
        <v>4.2</v>
      </c>
      <c r="V2966">
        <v>8.1999999999999993</v>
      </c>
      <c r="W2966">
        <v>7.9</v>
      </c>
      <c r="X2966" t="s">
        <v>116</v>
      </c>
    </row>
    <row r="2967" spans="2:24" x14ac:dyDescent="0.3">
      <c r="B2967" t="s">
        <v>3060</v>
      </c>
      <c r="C2967" t="s">
        <v>68</v>
      </c>
      <c r="D2967" t="s">
        <v>8</v>
      </c>
      <c r="E2967" t="s">
        <v>19</v>
      </c>
      <c r="F2967" t="s">
        <v>12</v>
      </c>
      <c r="G2967" t="s">
        <v>74</v>
      </c>
      <c r="H2967">
        <v>2024</v>
      </c>
      <c r="I2967">
        <v>11286</v>
      </c>
      <c r="J2967">
        <v>17.5</v>
      </c>
      <c r="K2967" t="s">
        <v>22</v>
      </c>
      <c r="L2967">
        <v>7.3</v>
      </c>
      <c r="M2967">
        <v>10</v>
      </c>
      <c r="N2967">
        <v>1100</v>
      </c>
      <c r="O2967" t="s">
        <v>55</v>
      </c>
      <c r="P2967">
        <v>32.799999999999997</v>
      </c>
      <c r="Q2967" t="s">
        <v>125</v>
      </c>
      <c r="R2967">
        <v>23.5</v>
      </c>
      <c r="S2967">
        <v>-8.8000000000000007</v>
      </c>
      <c r="T2967">
        <v>-13.1</v>
      </c>
      <c r="U2967">
        <v>8.6999999999999993</v>
      </c>
      <c r="V2967">
        <v>6.5</v>
      </c>
      <c r="W2967">
        <v>4.2</v>
      </c>
      <c r="X2967" t="s">
        <v>66</v>
      </c>
    </row>
    <row r="2968" spans="2:24" x14ac:dyDescent="0.3">
      <c r="B2968" t="s">
        <v>3061</v>
      </c>
      <c r="C2968" t="s">
        <v>53</v>
      </c>
      <c r="D2968" t="s">
        <v>7</v>
      </c>
      <c r="E2968" t="s">
        <v>18</v>
      </c>
      <c r="F2968" t="s">
        <v>10</v>
      </c>
      <c r="G2968" t="s">
        <v>131</v>
      </c>
      <c r="H2968">
        <v>2024</v>
      </c>
      <c r="I2968">
        <v>2513</v>
      </c>
      <c r="J2968">
        <v>5.0999999999999996</v>
      </c>
      <c r="K2968" t="s">
        <v>23</v>
      </c>
      <c r="L2968">
        <v>1.8</v>
      </c>
      <c r="M2968">
        <v>1</v>
      </c>
      <c r="N2968">
        <v>4928</v>
      </c>
      <c r="O2968" t="s">
        <v>64</v>
      </c>
      <c r="P2968">
        <v>69.599999999999994</v>
      </c>
      <c r="Q2968" t="s">
        <v>86</v>
      </c>
      <c r="R2968">
        <v>45.1</v>
      </c>
      <c r="S2968">
        <v>43.9</v>
      </c>
      <c r="T2968">
        <v>21.3</v>
      </c>
      <c r="U2968">
        <v>1.2</v>
      </c>
      <c r="V2968">
        <v>7.2</v>
      </c>
      <c r="W2968">
        <v>8.3000000000000007</v>
      </c>
      <c r="X2968" t="s">
        <v>116</v>
      </c>
    </row>
    <row r="2969" spans="2:24" x14ac:dyDescent="0.3">
      <c r="B2969" t="s">
        <v>3062</v>
      </c>
      <c r="C2969" t="s">
        <v>94</v>
      </c>
      <c r="D2969" t="s">
        <v>6</v>
      </c>
      <c r="E2969" t="s">
        <v>15</v>
      </c>
      <c r="F2969" t="s">
        <v>10</v>
      </c>
      <c r="G2969" t="s">
        <v>54</v>
      </c>
      <c r="H2969">
        <v>2024</v>
      </c>
      <c r="I2969">
        <v>842</v>
      </c>
      <c r="J2969">
        <v>6.4</v>
      </c>
      <c r="K2969" t="s">
        <v>22</v>
      </c>
      <c r="L2969">
        <v>5.8</v>
      </c>
      <c r="M2969">
        <v>4.5999999999999996</v>
      </c>
      <c r="N2969">
        <v>4411</v>
      </c>
      <c r="O2969" t="s">
        <v>55</v>
      </c>
      <c r="P2969">
        <v>15</v>
      </c>
      <c r="Q2969" t="s">
        <v>65</v>
      </c>
      <c r="R2969">
        <v>37.6</v>
      </c>
      <c r="S2969">
        <v>17.600000000000001</v>
      </c>
      <c r="T2969">
        <v>11.2</v>
      </c>
      <c r="U2969">
        <v>4.2</v>
      </c>
      <c r="V2969">
        <v>8.6</v>
      </c>
      <c r="W2969">
        <v>6.6</v>
      </c>
      <c r="X2969" t="s">
        <v>116</v>
      </c>
    </row>
    <row r="2970" spans="2:24" x14ac:dyDescent="0.3">
      <c r="B2970" t="s">
        <v>3063</v>
      </c>
      <c r="C2970" t="s">
        <v>106</v>
      </c>
      <c r="D2970" t="s">
        <v>4</v>
      </c>
      <c r="E2970" t="s">
        <v>19</v>
      </c>
      <c r="F2970" t="s">
        <v>9</v>
      </c>
      <c r="G2970" t="s">
        <v>101</v>
      </c>
      <c r="H2970">
        <v>2024</v>
      </c>
      <c r="I2970">
        <v>31</v>
      </c>
      <c r="J2970">
        <v>7.8</v>
      </c>
      <c r="K2970" t="s">
        <v>21</v>
      </c>
      <c r="L2970">
        <v>3.7</v>
      </c>
      <c r="M2970">
        <v>7.5</v>
      </c>
      <c r="N2970">
        <v>5362</v>
      </c>
      <c r="O2970" t="s">
        <v>55</v>
      </c>
      <c r="P2970">
        <v>84.1</v>
      </c>
      <c r="Q2970" t="s">
        <v>65</v>
      </c>
      <c r="R2970">
        <v>86.1</v>
      </c>
      <c r="S2970">
        <v>35.299999999999997</v>
      </c>
      <c r="T2970">
        <v>24.4</v>
      </c>
      <c r="U2970">
        <v>5.5</v>
      </c>
      <c r="V2970">
        <v>6.9</v>
      </c>
      <c r="W2970">
        <v>5.9</v>
      </c>
      <c r="X2970" t="s">
        <v>57</v>
      </c>
    </row>
    <row r="2971" spans="2:24" x14ac:dyDescent="0.3">
      <c r="B2971" t="s">
        <v>3064</v>
      </c>
      <c r="C2971" t="s">
        <v>73</v>
      </c>
      <c r="D2971" t="s">
        <v>2</v>
      </c>
      <c r="E2971" t="s">
        <v>15</v>
      </c>
      <c r="F2971" t="s">
        <v>11</v>
      </c>
      <c r="G2971" t="s">
        <v>112</v>
      </c>
      <c r="H2971">
        <v>2026</v>
      </c>
      <c r="I2971">
        <v>2370</v>
      </c>
      <c r="J2971">
        <v>3.5</v>
      </c>
      <c r="K2971" t="s">
        <v>22</v>
      </c>
      <c r="L2971">
        <v>2.6</v>
      </c>
      <c r="M2971">
        <v>2.8</v>
      </c>
      <c r="N2971">
        <v>1741</v>
      </c>
      <c r="O2971" t="s">
        <v>64</v>
      </c>
      <c r="P2971">
        <v>50.2</v>
      </c>
      <c r="Q2971" t="s">
        <v>76</v>
      </c>
      <c r="R2971">
        <v>-41.9</v>
      </c>
      <c r="S2971">
        <v>-19.7</v>
      </c>
      <c r="T2971">
        <v>-15.6</v>
      </c>
      <c r="U2971">
        <v>2.4</v>
      </c>
      <c r="V2971">
        <v>7.8</v>
      </c>
      <c r="W2971">
        <v>6.9</v>
      </c>
      <c r="X2971" t="s">
        <v>57</v>
      </c>
    </row>
    <row r="2972" spans="2:24" x14ac:dyDescent="0.3">
      <c r="B2972" t="s">
        <v>3065</v>
      </c>
      <c r="C2972" t="s">
        <v>142</v>
      </c>
      <c r="D2972" t="s">
        <v>8</v>
      </c>
      <c r="E2972" t="s">
        <v>17</v>
      </c>
      <c r="F2972" t="s">
        <v>10</v>
      </c>
      <c r="G2972" t="s">
        <v>63</v>
      </c>
      <c r="H2972">
        <v>2025</v>
      </c>
      <c r="I2972">
        <v>17472</v>
      </c>
      <c r="J2972">
        <v>18.399999999999999</v>
      </c>
      <c r="K2972" t="s">
        <v>21</v>
      </c>
      <c r="L2972">
        <v>5.9</v>
      </c>
      <c r="M2972">
        <v>10</v>
      </c>
      <c r="N2972">
        <v>1594</v>
      </c>
      <c r="O2972" t="s">
        <v>64</v>
      </c>
      <c r="P2972">
        <v>76.599999999999994</v>
      </c>
      <c r="Q2972" t="s">
        <v>86</v>
      </c>
      <c r="R2972">
        <v>52.7</v>
      </c>
      <c r="S2972">
        <v>6.5</v>
      </c>
      <c r="T2972">
        <v>-8</v>
      </c>
      <c r="U2972">
        <v>8.1</v>
      </c>
      <c r="V2972">
        <v>3.9</v>
      </c>
      <c r="W2972">
        <v>4</v>
      </c>
      <c r="X2972" t="s">
        <v>66</v>
      </c>
    </row>
    <row r="2973" spans="2:24" x14ac:dyDescent="0.3">
      <c r="B2973" t="s">
        <v>3066</v>
      </c>
      <c r="C2973" t="s">
        <v>94</v>
      </c>
      <c r="D2973" t="s">
        <v>6</v>
      </c>
      <c r="E2973" t="s">
        <v>15</v>
      </c>
      <c r="F2973" t="s">
        <v>11</v>
      </c>
      <c r="G2973" t="s">
        <v>60</v>
      </c>
      <c r="H2973">
        <v>2025</v>
      </c>
      <c r="I2973">
        <v>3044</v>
      </c>
      <c r="J2973">
        <v>10.6</v>
      </c>
      <c r="K2973" t="s">
        <v>24</v>
      </c>
      <c r="L2973">
        <v>6.7</v>
      </c>
      <c r="M2973">
        <v>10</v>
      </c>
      <c r="N2973">
        <v>2012</v>
      </c>
      <c r="O2973" t="s">
        <v>55</v>
      </c>
      <c r="P2973">
        <v>50</v>
      </c>
      <c r="Q2973" t="s">
        <v>79</v>
      </c>
      <c r="R2973">
        <v>79.7</v>
      </c>
      <c r="S2973">
        <v>-9.6</v>
      </c>
      <c r="T2973">
        <v>-11.3</v>
      </c>
      <c r="U2973">
        <v>9.3000000000000007</v>
      </c>
      <c r="V2973">
        <v>6.1</v>
      </c>
      <c r="W2973">
        <v>3.9</v>
      </c>
      <c r="X2973" t="s">
        <v>116</v>
      </c>
    </row>
    <row r="2974" spans="2:24" x14ac:dyDescent="0.3">
      <c r="B2974" t="s">
        <v>3067</v>
      </c>
      <c r="C2974" t="s">
        <v>106</v>
      </c>
      <c r="D2974" t="s">
        <v>7</v>
      </c>
      <c r="E2974" t="s">
        <v>14</v>
      </c>
      <c r="F2974" t="s">
        <v>11</v>
      </c>
      <c r="G2974" t="s">
        <v>98</v>
      </c>
      <c r="H2974">
        <v>2024</v>
      </c>
      <c r="I2974">
        <v>5384</v>
      </c>
      <c r="J2974">
        <v>3.6</v>
      </c>
      <c r="K2974" t="s">
        <v>22</v>
      </c>
      <c r="L2974">
        <v>8.4</v>
      </c>
      <c r="M2974">
        <v>6.7</v>
      </c>
      <c r="N2974">
        <v>4198</v>
      </c>
      <c r="O2974" t="s">
        <v>55</v>
      </c>
      <c r="P2974">
        <v>50.3</v>
      </c>
      <c r="Q2974" t="s">
        <v>88</v>
      </c>
      <c r="R2974">
        <v>7.4</v>
      </c>
      <c r="S2974">
        <v>18.600000000000001</v>
      </c>
      <c r="T2974">
        <v>1.1000000000000001</v>
      </c>
      <c r="U2974">
        <v>6.2</v>
      </c>
      <c r="V2974">
        <v>6.1</v>
      </c>
      <c r="W2974">
        <v>6.8</v>
      </c>
      <c r="X2974" t="s">
        <v>116</v>
      </c>
    </row>
    <row r="2975" spans="2:24" x14ac:dyDescent="0.3">
      <c r="B2975" t="s">
        <v>3068</v>
      </c>
      <c r="C2975" t="s">
        <v>106</v>
      </c>
      <c r="D2975" t="s">
        <v>4</v>
      </c>
      <c r="E2975" t="s">
        <v>16</v>
      </c>
      <c r="F2975" t="s">
        <v>9</v>
      </c>
      <c r="G2975" t="s">
        <v>69</v>
      </c>
      <c r="H2975">
        <v>2024</v>
      </c>
      <c r="I2975">
        <v>1003</v>
      </c>
      <c r="J2975">
        <v>6.8</v>
      </c>
      <c r="K2975" t="s">
        <v>23</v>
      </c>
      <c r="L2975">
        <v>5.4</v>
      </c>
      <c r="M2975">
        <v>9.5</v>
      </c>
      <c r="N2975">
        <v>2047</v>
      </c>
      <c r="O2975" t="s">
        <v>55</v>
      </c>
      <c r="P2975">
        <v>77.599999999999994</v>
      </c>
      <c r="Q2975" t="s">
        <v>88</v>
      </c>
      <c r="R2975">
        <v>36.200000000000003</v>
      </c>
      <c r="S2975">
        <v>8.9</v>
      </c>
      <c r="T2975">
        <v>7.8</v>
      </c>
      <c r="U2975">
        <v>8.4</v>
      </c>
      <c r="V2975">
        <v>8</v>
      </c>
      <c r="W2975">
        <v>6.6</v>
      </c>
      <c r="X2975" t="s">
        <v>57</v>
      </c>
    </row>
    <row r="2976" spans="2:24" x14ac:dyDescent="0.3">
      <c r="B2976" t="s">
        <v>3069</v>
      </c>
      <c r="C2976" t="s">
        <v>53</v>
      </c>
      <c r="D2976" t="s">
        <v>7</v>
      </c>
      <c r="E2976" t="s">
        <v>18</v>
      </c>
      <c r="F2976" t="s">
        <v>9</v>
      </c>
      <c r="G2976" t="s">
        <v>98</v>
      </c>
      <c r="H2976">
        <v>2025</v>
      </c>
      <c r="I2976">
        <v>9518</v>
      </c>
      <c r="J2976">
        <v>8.8000000000000007</v>
      </c>
      <c r="K2976" t="s">
        <v>25</v>
      </c>
      <c r="L2976">
        <v>4.8</v>
      </c>
      <c r="M2976">
        <v>5.0999999999999996</v>
      </c>
      <c r="N2976">
        <v>773</v>
      </c>
      <c r="O2976" t="s">
        <v>64</v>
      </c>
      <c r="P2976">
        <v>60.3</v>
      </c>
      <c r="Q2976" t="s">
        <v>79</v>
      </c>
      <c r="R2976">
        <v>-36.1</v>
      </c>
      <c r="S2976">
        <v>33.200000000000003</v>
      </c>
      <c r="T2976">
        <v>11.5</v>
      </c>
      <c r="U2976">
        <v>7.5</v>
      </c>
      <c r="V2976">
        <v>8.6999999999999993</v>
      </c>
      <c r="W2976">
        <v>7</v>
      </c>
      <c r="X2976" t="s">
        <v>66</v>
      </c>
    </row>
    <row r="2977" spans="2:24" x14ac:dyDescent="0.3">
      <c r="B2977" t="s">
        <v>3070</v>
      </c>
      <c r="C2977" t="s">
        <v>73</v>
      </c>
      <c r="D2977" t="s">
        <v>3</v>
      </c>
      <c r="E2977" t="s">
        <v>15</v>
      </c>
      <c r="F2977" t="s">
        <v>10</v>
      </c>
      <c r="G2977" t="s">
        <v>69</v>
      </c>
      <c r="H2977">
        <v>2024</v>
      </c>
      <c r="I2977">
        <v>7224</v>
      </c>
      <c r="J2977">
        <v>37.200000000000003</v>
      </c>
      <c r="K2977" t="s">
        <v>24</v>
      </c>
      <c r="L2977">
        <v>6.4</v>
      </c>
      <c r="M2977">
        <v>10</v>
      </c>
      <c r="N2977">
        <v>1513</v>
      </c>
      <c r="O2977" t="s">
        <v>75</v>
      </c>
      <c r="P2977">
        <v>71.3</v>
      </c>
      <c r="Q2977" t="s">
        <v>125</v>
      </c>
      <c r="R2977">
        <v>-26</v>
      </c>
      <c r="S2977">
        <v>17.7</v>
      </c>
      <c r="T2977">
        <v>4.4000000000000004</v>
      </c>
      <c r="U2977">
        <v>5.4</v>
      </c>
      <c r="V2977">
        <v>5.2</v>
      </c>
      <c r="W2977">
        <v>3.4</v>
      </c>
      <c r="X2977" t="s">
        <v>66</v>
      </c>
    </row>
    <row r="2978" spans="2:24" x14ac:dyDescent="0.3">
      <c r="B2978" t="s">
        <v>3071</v>
      </c>
      <c r="C2978" t="s">
        <v>90</v>
      </c>
      <c r="D2978" t="s">
        <v>6</v>
      </c>
      <c r="E2978" t="s">
        <v>15</v>
      </c>
      <c r="F2978" t="s">
        <v>11</v>
      </c>
      <c r="G2978" t="s">
        <v>63</v>
      </c>
      <c r="H2978">
        <v>2026</v>
      </c>
      <c r="I2978">
        <v>1843</v>
      </c>
      <c r="J2978">
        <v>2.9</v>
      </c>
      <c r="K2978" t="s">
        <v>23</v>
      </c>
      <c r="L2978">
        <v>9.3000000000000007</v>
      </c>
      <c r="M2978">
        <v>6.4</v>
      </c>
      <c r="N2978">
        <v>1693</v>
      </c>
      <c r="O2978" t="s">
        <v>55</v>
      </c>
      <c r="P2978">
        <v>27.6</v>
      </c>
      <c r="Q2978" t="s">
        <v>88</v>
      </c>
      <c r="R2978">
        <v>66.2</v>
      </c>
      <c r="S2978">
        <v>32.799999999999997</v>
      </c>
      <c r="T2978">
        <v>9.5</v>
      </c>
      <c r="U2978">
        <v>6.9</v>
      </c>
      <c r="V2978">
        <v>7.4</v>
      </c>
      <c r="W2978">
        <v>7.9</v>
      </c>
      <c r="X2978" t="s">
        <v>116</v>
      </c>
    </row>
    <row r="2979" spans="2:24" x14ac:dyDescent="0.3">
      <c r="B2979" t="s">
        <v>3072</v>
      </c>
      <c r="C2979" t="s">
        <v>92</v>
      </c>
      <c r="D2979" t="s">
        <v>7</v>
      </c>
      <c r="E2979" t="s">
        <v>15</v>
      </c>
      <c r="F2979" t="s">
        <v>11</v>
      </c>
      <c r="G2979" t="s">
        <v>115</v>
      </c>
      <c r="H2979">
        <v>2026</v>
      </c>
      <c r="I2979">
        <v>14462</v>
      </c>
      <c r="J2979">
        <v>34.299999999999997</v>
      </c>
      <c r="K2979" t="s">
        <v>22</v>
      </c>
      <c r="L2979">
        <v>9.3000000000000007</v>
      </c>
      <c r="M2979">
        <v>10</v>
      </c>
      <c r="N2979">
        <v>1594</v>
      </c>
      <c r="O2979" t="s">
        <v>75</v>
      </c>
      <c r="P2979">
        <v>74.400000000000006</v>
      </c>
      <c r="Q2979" t="s">
        <v>76</v>
      </c>
      <c r="R2979">
        <v>47.7</v>
      </c>
      <c r="S2979">
        <v>42.1</v>
      </c>
      <c r="T2979">
        <v>14.1</v>
      </c>
      <c r="U2979">
        <v>8.1</v>
      </c>
      <c r="V2979">
        <v>4.0999999999999996</v>
      </c>
      <c r="W2979">
        <v>2.8</v>
      </c>
      <c r="X2979" t="s">
        <v>66</v>
      </c>
    </row>
    <row r="2980" spans="2:24" x14ac:dyDescent="0.3">
      <c r="B2980" t="s">
        <v>3073</v>
      </c>
      <c r="C2980" t="s">
        <v>159</v>
      </c>
      <c r="D2980" t="s">
        <v>2</v>
      </c>
      <c r="E2980" t="s">
        <v>18</v>
      </c>
      <c r="F2980" t="s">
        <v>10</v>
      </c>
      <c r="G2980" t="s">
        <v>104</v>
      </c>
      <c r="H2980">
        <v>2024</v>
      </c>
      <c r="I2980">
        <v>4948</v>
      </c>
      <c r="J2980">
        <v>15.3</v>
      </c>
      <c r="K2980" t="s">
        <v>25</v>
      </c>
      <c r="L2980">
        <v>5.7</v>
      </c>
      <c r="M2980">
        <v>10</v>
      </c>
      <c r="N2980">
        <v>4467</v>
      </c>
      <c r="O2980" t="s">
        <v>55</v>
      </c>
      <c r="P2980">
        <v>49.7</v>
      </c>
      <c r="Q2980" t="s">
        <v>56</v>
      </c>
      <c r="R2980">
        <v>-14.4</v>
      </c>
      <c r="S2980">
        <v>17.399999999999999</v>
      </c>
      <c r="T2980">
        <v>15.5</v>
      </c>
      <c r="U2980">
        <v>6.7</v>
      </c>
      <c r="V2980">
        <v>5.0999999999999996</v>
      </c>
      <c r="W2980">
        <v>4.5999999999999996</v>
      </c>
      <c r="X2980" t="s">
        <v>66</v>
      </c>
    </row>
    <row r="2981" spans="2:24" x14ac:dyDescent="0.3">
      <c r="B2981" t="s">
        <v>3074</v>
      </c>
      <c r="C2981" t="s">
        <v>92</v>
      </c>
      <c r="D2981" t="s">
        <v>7</v>
      </c>
      <c r="E2981" t="s">
        <v>17</v>
      </c>
      <c r="F2981" t="s">
        <v>11</v>
      </c>
      <c r="G2981" t="s">
        <v>63</v>
      </c>
      <c r="H2981">
        <v>2026</v>
      </c>
      <c r="I2981">
        <v>16547</v>
      </c>
      <c r="J2981">
        <v>35</v>
      </c>
      <c r="K2981" t="s">
        <v>21</v>
      </c>
      <c r="L2981">
        <v>7.2</v>
      </c>
      <c r="M2981">
        <v>10</v>
      </c>
      <c r="N2981">
        <v>617</v>
      </c>
      <c r="O2981" t="s">
        <v>64</v>
      </c>
      <c r="P2981">
        <v>13.4</v>
      </c>
      <c r="Q2981" t="s">
        <v>88</v>
      </c>
      <c r="R2981">
        <v>29.5</v>
      </c>
      <c r="S2981">
        <v>-11.3</v>
      </c>
      <c r="T2981">
        <v>-3.8</v>
      </c>
      <c r="U2981">
        <v>7.9</v>
      </c>
      <c r="V2981">
        <v>4.7</v>
      </c>
      <c r="W2981">
        <v>1.8</v>
      </c>
      <c r="X2981" t="s">
        <v>66</v>
      </c>
    </row>
    <row r="2982" spans="2:24" x14ac:dyDescent="0.3">
      <c r="B2982" t="s">
        <v>3075</v>
      </c>
      <c r="C2982" t="s">
        <v>159</v>
      </c>
      <c r="D2982" t="s">
        <v>2</v>
      </c>
      <c r="E2982" t="s">
        <v>16</v>
      </c>
      <c r="F2982" t="s">
        <v>10</v>
      </c>
      <c r="G2982" t="s">
        <v>60</v>
      </c>
      <c r="H2982">
        <v>2024</v>
      </c>
      <c r="I2982">
        <v>5461</v>
      </c>
      <c r="J2982">
        <v>11.4</v>
      </c>
      <c r="K2982" t="s">
        <v>25</v>
      </c>
      <c r="L2982">
        <v>3.4</v>
      </c>
      <c r="M2982">
        <v>4.3</v>
      </c>
      <c r="N2982">
        <v>8622</v>
      </c>
      <c r="O2982" t="s">
        <v>55</v>
      </c>
      <c r="P2982">
        <v>89.2</v>
      </c>
      <c r="Q2982" t="s">
        <v>56</v>
      </c>
      <c r="R2982">
        <v>42.4</v>
      </c>
      <c r="S2982">
        <v>21.7</v>
      </c>
      <c r="T2982">
        <v>0.2</v>
      </c>
      <c r="U2982">
        <v>4.5999999999999996</v>
      </c>
      <c r="V2982">
        <v>6.9</v>
      </c>
      <c r="W2982">
        <v>6.2</v>
      </c>
      <c r="X2982" t="s">
        <v>116</v>
      </c>
    </row>
    <row r="2983" spans="2:24" x14ac:dyDescent="0.3">
      <c r="B2983" t="s">
        <v>3076</v>
      </c>
      <c r="C2983" t="s">
        <v>81</v>
      </c>
      <c r="D2983" t="s">
        <v>5</v>
      </c>
      <c r="E2983" t="s">
        <v>16</v>
      </c>
      <c r="F2983" t="s">
        <v>12</v>
      </c>
      <c r="G2983" t="s">
        <v>131</v>
      </c>
      <c r="H2983">
        <v>2025</v>
      </c>
      <c r="I2983">
        <v>5145</v>
      </c>
      <c r="J2983">
        <v>7.2</v>
      </c>
      <c r="K2983" t="s">
        <v>25</v>
      </c>
      <c r="L2983">
        <v>11.2</v>
      </c>
      <c r="M2983">
        <v>8.6</v>
      </c>
      <c r="N2983">
        <v>1410</v>
      </c>
      <c r="O2983" t="s">
        <v>55</v>
      </c>
      <c r="P2983">
        <v>19.2</v>
      </c>
      <c r="Q2983" t="s">
        <v>86</v>
      </c>
      <c r="R2983">
        <v>61.8</v>
      </c>
      <c r="S2983">
        <v>37</v>
      </c>
      <c r="T2983">
        <v>15.6</v>
      </c>
      <c r="U2983">
        <v>8</v>
      </c>
      <c r="V2983">
        <v>6.7</v>
      </c>
      <c r="W2983">
        <v>6.3</v>
      </c>
      <c r="X2983" t="s">
        <v>116</v>
      </c>
    </row>
    <row r="2984" spans="2:24" x14ac:dyDescent="0.3">
      <c r="B2984" t="s">
        <v>3077</v>
      </c>
      <c r="C2984" t="s">
        <v>83</v>
      </c>
      <c r="D2984" t="s">
        <v>4</v>
      </c>
      <c r="E2984" t="s">
        <v>14</v>
      </c>
      <c r="F2984" t="s">
        <v>11</v>
      </c>
      <c r="G2984" t="s">
        <v>54</v>
      </c>
      <c r="H2984">
        <v>2025</v>
      </c>
      <c r="I2984">
        <v>14671</v>
      </c>
      <c r="J2984">
        <v>22.2</v>
      </c>
      <c r="K2984" t="s">
        <v>22</v>
      </c>
      <c r="L2984">
        <v>3.6</v>
      </c>
      <c r="M2984">
        <v>5.4</v>
      </c>
      <c r="N2984">
        <v>1915</v>
      </c>
      <c r="O2984" t="s">
        <v>75</v>
      </c>
      <c r="P2984">
        <v>26.5</v>
      </c>
      <c r="Q2984" t="s">
        <v>84</v>
      </c>
      <c r="R2984">
        <v>-38.799999999999997</v>
      </c>
      <c r="S2984">
        <v>53.8</v>
      </c>
      <c r="T2984">
        <v>23.2</v>
      </c>
      <c r="U2984">
        <v>2.2000000000000002</v>
      </c>
      <c r="V2984">
        <v>8.4</v>
      </c>
      <c r="W2984">
        <v>6.5</v>
      </c>
      <c r="X2984" t="s">
        <v>66</v>
      </c>
    </row>
    <row r="2985" spans="2:24" x14ac:dyDescent="0.3">
      <c r="B2985" t="s">
        <v>3078</v>
      </c>
      <c r="C2985" t="s">
        <v>71</v>
      </c>
      <c r="D2985" t="s">
        <v>5</v>
      </c>
      <c r="E2985" t="s">
        <v>18</v>
      </c>
      <c r="F2985" t="s">
        <v>12</v>
      </c>
      <c r="G2985" t="s">
        <v>98</v>
      </c>
      <c r="H2985">
        <v>2026</v>
      </c>
      <c r="I2985">
        <v>710</v>
      </c>
      <c r="J2985">
        <v>7.2</v>
      </c>
      <c r="K2985" t="s">
        <v>21</v>
      </c>
      <c r="L2985">
        <v>7.1</v>
      </c>
      <c r="M2985">
        <v>4.2</v>
      </c>
      <c r="N2985">
        <v>5697</v>
      </c>
      <c r="O2985" t="s">
        <v>55</v>
      </c>
      <c r="P2985">
        <v>51.3</v>
      </c>
      <c r="Q2985" t="s">
        <v>86</v>
      </c>
      <c r="R2985">
        <v>36.4</v>
      </c>
      <c r="S2985">
        <v>29.9</v>
      </c>
      <c r="T2985">
        <v>9.9</v>
      </c>
      <c r="U2985">
        <v>5</v>
      </c>
      <c r="V2985">
        <v>7.9</v>
      </c>
      <c r="W2985">
        <v>7.1</v>
      </c>
      <c r="X2985" t="s">
        <v>57</v>
      </c>
    </row>
    <row r="2986" spans="2:24" x14ac:dyDescent="0.3">
      <c r="B2986" t="s">
        <v>3079</v>
      </c>
      <c r="C2986" t="s">
        <v>62</v>
      </c>
      <c r="D2986" t="s">
        <v>2</v>
      </c>
      <c r="E2986" t="s">
        <v>14</v>
      </c>
      <c r="F2986" t="s">
        <v>12</v>
      </c>
      <c r="G2986" t="s">
        <v>60</v>
      </c>
      <c r="H2986">
        <v>2025</v>
      </c>
      <c r="I2986">
        <v>112</v>
      </c>
      <c r="J2986">
        <v>8.9</v>
      </c>
      <c r="K2986" t="s">
        <v>21</v>
      </c>
      <c r="L2986">
        <v>6.3</v>
      </c>
      <c r="M2986">
        <v>10</v>
      </c>
      <c r="N2986">
        <v>3910</v>
      </c>
      <c r="O2986" t="s">
        <v>55</v>
      </c>
      <c r="P2986">
        <v>40.1</v>
      </c>
      <c r="Q2986" t="s">
        <v>56</v>
      </c>
      <c r="R2986">
        <v>8.6999999999999993</v>
      </c>
      <c r="S2986">
        <v>2</v>
      </c>
      <c r="T2986">
        <v>12.5</v>
      </c>
      <c r="U2986">
        <v>8.9</v>
      </c>
      <c r="V2986">
        <v>6.7</v>
      </c>
      <c r="W2986">
        <v>4.3</v>
      </c>
      <c r="X2986" t="s">
        <v>57</v>
      </c>
    </row>
    <row r="2987" spans="2:24" x14ac:dyDescent="0.3">
      <c r="B2987" t="s">
        <v>3080</v>
      </c>
      <c r="C2987" t="s">
        <v>62</v>
      </c>
      <c r="D2987" t="s">
        <v>2</v>
      </c>
      <c r="E2987" t="s">
        <v>18</v>
      </c>
      <c r="F2987" t="s">
        <v>11</v>
      </c>
      <c r="G2987" t="s">
        <v>78</v>
      </c>
      <c r="H2987">
        <v>2024</v>
      </c>
      <c r="I2987">
        <v>1634</v>
      </c>
      <c r="J2987">
        <v>0.8</v>
      </c>
      <c r="K2987" t="s">
        <v>21</v>
      </c>
      <c r="L2987">
        <v>4.9000000000000004</v>
      </c>
      <c r="M2987">
        <v>6.7</v>
      </c>
      <c r="N2987">
        <v>7983</v>
      </c>
      <c r="O2987" t="s">
        <v>55</v>
      </c>
      <c r="P2987">
        <v>14.1</v>
      </c>
      <c r="Q2987" t="s">
        <v>56</v>
      </c>
      <c r="R2987">
        <v>67.099999999999994</v>
      </c>
      <c r="S2987">
        <v>-20.399999999999999</v>
      </c>
      <c r="T2987">
        <v>-9.1999999999999993</v>
      </c>
      <c r="U2987">
        <v>4.7</v>
      </c>
      <c r="V2987">
        <v>6.9</v>
      </c>
      <c r="W2987">
        <v>6.7</v>
      </c>
      <c r="X2987" t="s">
        <v>57</v>
      </c>
    </row>
    <row r="2988" spans="2:24" x14ac:dyDescent="0.3">
      <c r="B2988" t="s">
        <v>3081</v>
      </c>
      <c r="C2988" t="s">
        <v>73</v>
      </c>
      <c r="D2988" t="s">
        <v>2</v>
      </c>
      <c r="E2988" t="s">
        <v>14</v>
      </c>
      <c r="F2988" t="s">
        <v>12</v>
      </c>
      <c r="G2988" t="s">
        <v>74</v>
      </c>
      <c r="H2988">
        <v>2025</v>
      </c>
      <c r="I2988">
        <v>2950</v>
      </c>
      <c r="J2988">
        <v>17.3</v>
      </c>
      <c r="K2988" t="s">
        <v>25</v>
      </c>
      <c r="L2988">
        <v>11.6</v>
      </c>
      <c r="M2988">
        <v>10</v>
      </c>
      <c r="N2988">
        <v>6553</v>
      </c>
      <c r="O2988" t="s">
        <v>55</v>
      </c>
      <c r="P2988">
        <v>75.5</v>
      </c>
      <c r="Q2988" t="s">
        <v>76</v>
      </c>
      <c r="R2988">
        <v>83.2</v>
      </c>
      <c r="S2988">
        <v>-19.100000000000001</v>
      </c>
      <c r="T2988">
        <v>-13</v>
      </c>
      <c r="U2988">
        <v>7.5</v>
      </c>
      <c r="V2988">
        <v>4</v>
      </c>
      <c r="W2988">
        <v>3.1</v>
      </c>
      <c r="X2988" t="s">
        <v>116</v>
      </c>
    </row>
    <row r="2989" spans="2:24" x14ac:dyDescent="0.3">
      <c r="B2989" t="s">
        <v>3082</v>
      </c>
      <c r="C2989" t="s">
        <v>100</v>
      </c>
      <c r="D2989" t="s">
        <v>3</v>
      </c>
      <c r="E2989" t="s">
        <v>14</v>
      </c>
      <c r="F2989" t="s">
        <v>12</v>
      </c>
      <c r="G2989" t="s">
        <v>104</v>
      </c>
      <c r="H2989">
        <v>2024</v>
      </c>
      <c r="I2989">
        <v>17266</v>
      </c>
      <c r="J2989">
        <v>29.6</v>
      </c>
      <c r="K2989" t="s">
        <v>25</v>
      </c>
      <c r="L2989">
        <v>11.4</v>
      </c>
      <c r="M2989">
        <v>10</v>
      </c>
      <c r="N2989">
        <v>618</v>
      </c>
      <c r="O2989" t="s">
        <v>75</v>
      </c>
      <c r="P2989">
        <v>12.7</v>
      </c>
      <c r="Q2989" t="s">
        <v>88</v>
      </c>
      <c r="R2989">
        <v>-11.4</v>
      </c>
      <c r="S2989">
        <v>-3.8</v>
      </c>
      <c r="T2989">
        <v>-6.8</v>
      </c>
      <c r="U2989">
        <v>6.7</v>
      </c>
      <c r="V2989">
        <v>4.2</v>
      </c>
      <c r="W2989">
        <v>3.6</v>
      </c>
      <c r="X2989" t="s">
        <v>66</v>
      </c>
    </row>
    <row r="2990" spans="2:24" x14ac:dyDescent="0.3">
      <c r="B2990" t="s">
        <v>3083</v>
      </c>
      <c r="C2990" t="s">
        <v>81</v>
      </c>
      <c r="D2990" t="s">
        <v>5</v>
      </c>
      <c r="E2990" t="s">
        <v>14</v>
      </c>
      <c r="F2990" t="s">
        <v>9</v>
      </c>
      <c r="G2990" t="s">
        <v>69</v>
      </c>
      <c r="H2990">
        <v>2025</v>
      </c>
      <c r="I2990">
        <v>2385</v>
      </c>
      <c r="J2990">
        <v>9</v>
      </c>
      <c r="K2990" t="s">
        <v>25</v>
      </c>
      <c r="L2990">
        <v>4</v>
      </c>
      <c r="M2990">
        <v>4.2</v>
      </c>
      <c r="N2990">
        <v>361</v>
      </c>
      <c r="O2990" t="s">
        <v>64</v>
      </c>
      <c r="P2990">
        <v>31</v>
      </c>
      <c r="Q2990" t="s">
        <v>86</v>
      </c>
      <c r="R2990">
        <v>79.900000000000006</v>
      </c>
      <c r="S2990">
        <v>10.1</v>
      </c>
      <c r="T2990">
        <v>-1.8</v>
      </c>
      <c r="U2990">
        <v>2.6</v>
      </c>
      <c r="V2990">
        <v>6.9</v>
      </c>
      <c r="W2990">
        <v>5.6</v>
      </c>
      <c r="X2990" t="s">
        <v>57</v>
      </c>
    </row>
    <row r="2991" spans="2:24" x14ac:dyDescent="0.3">
      <c r="B2991" t="s">
        <v>3084</v>
      </c>
      <c r="C2991" t="s">
        <v>83</v>
      </c>
      <c r="D2991" t="s">
        <v>4</v>
      </c>
      <c r="E2991" t="s">
        <v>14</v>
      </c>
      <c r="F2991" t="s">
        <v>11</v>
      </c>
      <c r="G2991" t="s">
        <v>74</v>
      </c>
      <c r="H2991">
        <v>2026</v>
      </c>
      <c r="I2991">
        <v>3407</v>
      </c>
      <c r="J2991">
        <v>13.9</v>
      </c>
      <c r="K2991" t="s">
        <v>23</v>
      </c>
      <c r="L2991">
        <v>3.4</v>
      </c>
      <c r="M2991">
        <v>5.7</v>
      </c>
      <c r="N2991">
        <v>3865</v>
      </c>
      <c r="O2991" t="s">
        <v>64</v>
      </c>
      <c r="P2991">
        <v>51.8</v>
      </c>
      <c r="Q2991" t="s">
        <v>84</v>
      </c>
      <c r="R2991">
        <v>75.3</v>
      </c>
      <c r="S2991">
        <v>9.6999999999999993</v>
      </c>
      <c r="T2991">
        <v>-1.7</v>
      </c>
      <c r="U2991">
        <v>2.2999999999999998</v>
      </c>
      <c r="V2991">
        <v>7.7</v>
      </c>
      <c r="W2991">
        <v>6.2</v>
      </c>
      <c r="X2991" t="s">
        <v>116</v>
      </c>
    </row>
    <row r="2992" spans="2:24" x14ac:dyDescent="0.3">
      <c r="B2992" t="s">
        <v>3085</v>
      </c>
      <c r="C2992" t="s">
        <v>139</v>
      </c>
      <c r="D2992" t="s">
        <v>8</v>
      </c>
      <c r="E2992" t="s">
        <v>19</v>
      </c>
      <c r="F2992" t="s">
        <v>9</v>
      </c>
      <c r="G2992" t="s">
        <v>131</v>
      </c>
      <c r="H2992">
        <v>2025</v>
      </c>
      <c r="I2992">
        <v>2576</v>
      </c>
      <c r="J2992">
        <v>8.6999999999999993</v>
      </c>
      <c r="K2992" t="s">
        <v>25</v>
      </c>
      <c r="L2992">
        <v>8.3000000000000007</v>
      </c>
      <c r="M2992">
        <v>8.6999999999999993</v>
      </c>
      <c r="N2992">
        <v>544</v>
      </c>
      <c r="O2992" t="s">
        <v>55</v>
      </c>
      <c r="P2992">
        <v>88.8</v>
      </c>
      <c r="Q2992" t="s">
        <v>86</v>
      </c>
      <c r="R2992">
        <v>40.9</v>
      </c>
      <c r="S2992">
        <v>11.1</v>
      </c>
      <c r="T2992">
        <v>10.7</v>
      </c>
      <c r="U2992">
        <v>7</v>
      </c>
      <c r="V2992">
        <v>8</v>
      </c>
      <c r="W2992">
        <v>5.0999999999999996</v>
      </c>
      <c r="X2992" t="s">
        <v>66</v>
      </c>
    </row>
    <row r="2993" spans="2:24" x14ac:dyDescent="0.3">
      <c r="B2993" t="s">
        <v>3086</v>
      </c>
      <c r="C2993" t="s">
        <v>73</v>
      </c>
      <c r="D2993" t="s">
        <v>2</v>
      </c>
      <c r="E2993" t="s">
        <v>15</v>
      </c>
      <c r="F2993" t="s">
        <v>9</v>
      </c>
      <c r="G2993" t="s">
        <v>54</v>
      </c>
      <c r="H2993">
        <v>2026</v>
      </c>
      <c r="I2993">
        <v>493</v>
      </c>
      <c r="J2993">
        <v>6.6</v>
      </c>
      <c r="K2993" t="s">
        <v>23</v>
      </c>
      <c r="L2993">
        <v>2.4</v>
      </c>
      <c r="M2993">
        <v>3.2</v>
      </c>
      <c r="N2993">
        <v>6987</v>
      </c>
      <c r="O2993" t="s">
        <v>55</v>
      </c>
      <c r="P2993">
        <v>32.6</v>
      </c>
      <c r="Q2993" t="s">
        <v>56</v>
      </c>
      <c r="R2993">
        <v>45.1</v>
      </c>
      <c r="S2993">
        <v>-9.3000000000000007</v>
      </c>
      <c r="T2993">
        <v>-7.2</v>
      </c>
      <c r="U2993">
        <v>2.9</v>
      </c>
      <c r="V2993">
        <v>4.9000000000000004</v>
      </c>
      <c r="W2993">
        <v>6</v>
      </c>
      <c r="X2993" t="s">
        <v>57</v>
      </c>
    </row>
  </sheetData>
  <phoneticPr fontId="18"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 Modi</dc:creator>
  <cp:lastModifiedBy>Chirag Modi</cp:lastModifiedBy>
  <dcterms:created xsi:type="dcterms:W3CDTF">2026-05-28T05:07:48Z</dcterms:created>
  <dcterms:modified xsi:type="dcterms:W3CDTF">2026-05-30T06:53:56Z</dcterms:modified>
</cp:coreProperties>
</file>